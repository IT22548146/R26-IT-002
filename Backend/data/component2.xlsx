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liit\Y4 2026\Research\MY Part\Garment_model_backend\data\"/>
    </mc:Choice>
  </mc:AlternateContent>
  <xr:revisionPtr revIDLastSave="0" documentId="13_ncr:1_{C21601B1-CFBE-4334-9272-11F3E6FE75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ll Deta set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F6" i="6"/>
  <c r="J4" i="6"/>
  <c r="J3" i="6"/>
  <c r="K2" i="6"/>
  <c r="J2" i="6"/>
</calcChain>
</file>

<file path=xl/sharedStrings.xml><?xml version="1.0" encoding="utf-8"?>
<sst xmlns="http://schemas.openxmlformats.org/spreadsheetml/2006/main" count="22464" uniqueCount="2329">
  <si>
    <t>Bulk_Order_ID</t>
  </si>
  <si>
    <t>Style_ID</t>
  </si>
  <si>
    <t>Buyer_Name</t>
  </si>
  <si>
    <t>Sample_Shipment_Date</t>
  </si>
  <si>
    <t>Bulk_Order_Approved_Date</t>
  </si>
  <si>
    <t>Buyer_Required_Date</t>
  </si>
  <si>
    <t>Sample_Plant_Name</t>
  </si>
  <si>
    <t>Sample_Plant_Location</t>
  </si>
  <si>
    <t>Style_Priority</t>
  </si>
  <si>
    <t>Bulk_Order_Quantity</t>
  </si>
  <si>
    <t>Damage_Percentage_Qty</t>
  </si>
  <si>
    <t>Design_Width</t>
  </si>
  <si>
    <t>Design_Length</t>
  </si>
  <si>
    <t>Color_Count</t>
  </si>
  <si>
    <t>Stitch_Count</t>
  </si>
  <si>
    <t>Design_Complexity</t>
  </si>
  <si>
    <t>Cutting_Days</t>
  </si>
  <si>
    <t>Sewing_Days</t>
  </si>
  <si>
    <t>Embroidery_Days</t>
  </si>
  <si>
    <t>Daily_Commitment</t>
  </si>
  <si>
    <t>Allocated_Bulk_Plant</t>
  </si>
  <si>
    <t>Allocated_Bulk_Plant_Location</t>
  </si>
  <si>
    <t>Bulk_Capacity_Status</t>
  </si>
  <si>
    <t>Bulk_Plant_Manager_Confirmation</t>
  </si>
  <si>
    <t>Allocation_Type</t>
  </si>
  <si>
    <t>Predicted_Bulk_Completion_Date</t>
  </si>
  <si>
    <t>Bulk_Shipment_Date</t>
  </si>
  <si>
    <t>Deadline_Match_Status</t>
  </si>
  <si>
    <t>Buyer_Email_Required</t>
  </si>
  <si>
    <t>System_Action</t>
  </si>
  <si>
    <t>Plant_1</t>
  </si>
  <si>
    <t>Plant_2</t>
  </si>
  <si>
    <t>Allocation_Path</t>
  </si>
  <si>
    <t>Total_Production_Days</t>
  </si>
  <si>
    <t>Lead_Days</t>
  </si>
  <si>
    <t>Shipment_Days</t>
  </si>
  <si>
    <t>Order_Month</t>
  </si>
  <si>
    <t>Order_Month_Name</t>
  </si>
  <si>
    <t>Is_Q4</t>
  </si>
  <si>
    <t>Complexity_Matrix</t>
  </si>
  <si>
    <t>Color_Impact</t>
  </si>
  <si>
    <t>Stitch_Impact</t>
  </si>
  <si>
    <t>Design_Area</t>
  </si>
  <si>
    <t>Design_Complexity_Enc</t>
  </si>
  <si>
    <t>Complexity_Matrix_Enc</t>
  </si>
  <si>
    <t>Color_Impact_Enc</t>
  </si>
  <si>
    <t>Stitch_Impact_Enc</t>
  </si>
  <si>
    <t>Design_Score</t>
  </si>
  <si>
    <t>Plant_1_Quality</t>
  </si>
  <si>
    <t>Plant_2_Quality</t>
  </si>
  <si>
    <t>Sample_Plant_Quality</t>
  </si>
  <si>
    <t>Buyer_Enc</t>
  </si>
  <si>
    <t>Priority_Enc</t>
  </si>
  <si>
    <t>P1_Machine_Count</t>
  </si>
  <si>
    <t>P1_Working_Days</t>
  </si>
  <si>
    <t>P1_Avg_Alloc_Machines</t>
  </si>
  <si>
    <t>P1_Monthly_Style_Cap</t>
  </si>
  <si>
    <t>P1_Cap_Util_Pct</t>
  </si>
  <si>
    <t>SP_Machine_Count</t>
  </si>
  <si>
    <t>SP_Working_Days</t>
  </si>
  <si>
    <t>SP_Avg_Alloc_Machines</t>
  </si>
  <si>
    <t>SP_Monthly_Style_Cap</t>
  </si>
  <si>
    <t>SP_Cap_Util_Pct</t>
  </si>
  <si>
    <t>Combined_Monthly_Cap</t>
  </si>
  <si>
    <t>Order_vs_P1_Cap_Ratio</t>
  </si>
  <si>
    <t>BULK0001</t>
  </si>
  <si>
    <t>BULK0002</t>
  </si>
  <si>
    <t>BULK0003</t>
  </si>
  <si>
    <t>BULK0004</t>
  </si>
  <si>
    <t>BULK0005</t>
  </si>
  <si>
    <t>BULK0006</t>
  </si>
  <si>
    <t>BULK0007</t>
  </si>
  <si>
    <t>BULK0008</t>
  </si>
  <si>
    <t>BULK0009</t>
  </si>
  <si>
    <t>BULK0010</t>
  </si>
  <si>
    <t>BULK0011</t>
  </si>
  <si>
    <t>BULK0012</t>
  </si>
  <si>
    <t>BULK0013</t>
  </si>
  <si>
    <t>BULK0014</t>
  </si>
  <si>
    <t>BULK0015</t>
  </si>
  <si>
    <t>BULK0016</t>
  </si>
  <si>
    <t>BULK0017</t>
  </si>
  <si>
    <t>BULK0018</t>
  </si>
  <si>
    <t>BULK0019</t>
  </si>
  <si>
    <t>BULK0020</t>
  </si>
  <si>
    <t>BULK0021</t>
  </si>
  <si>
    <t>BULK0022</t>
  </si>
  <si>
    <t>BULK0023</t>
  </si>
  <si>
    <t>BULK0024</t>
  </si>
  <si>
    <t>BULK0025</t>
  </si>
  <si>
    <t>BULK0026</t>
  </si>
  <si>
    <t>BULK0027</t>
  </si>
  <si>
    <t>BULK0028</t>
  </si>
  <si>
    <t>BULK0029</t>
  </si>
  <si>
    <t>BULK0030</t>
  </si>
  <si>
    <t>BULK0031</t>
  </si>
  <si>
    <t>BULK0032</t>
  </si>
  <si>
    <t>BULK0033</t>
  </si>
  <si>
    <t>BULK0034</t>
  </si>
  <si>
    <t>BULK0035</t>
  </si>
  <si>
    <t>BULK0036</t>
  </si>
  <si>
    <t>BULK0037</t>
  </si>
  <si>
    <t>BULK0038</t>
  </si>
  <si>
    <t>BULK0039</t>
  </si>
  <si>
    <t>BULK0040</t>
  </si>
  <si>
    <t>BULK0041</t>
  </si>
  <si>
    <t>BULK0042</t>
  </si>
  <si>
    <t>BULK0043</t>
  </si>
  <si>
    <t>BULK0044</t>
  </si>
  <si>
    <t>BULK0045</t>
  </si>
  <si>
    <t>BULK0046</t>
  </si>
  <si>
    <t>BULK0047</t>
  </si>
  <si>
    <t>BULK0048</t>
  </si>
  <si>
    <t>BULK0049</t>
  </si>
  <si>
    <t>BULK0050</t>
  </si>
  <si>
    <t>BULK0051</t>
  </si>
  <si>
    <t>BULK0052</t>
  </si>
  <si>
    <t>BULK0053</t>
  </si>
  <si>
    <t>BULK0054</t>
  </si>
  <si>
    <t>BULK0055</t>
  </si>
  <si>
    <t>BULK0056</t>
  </si>
  <si>
    <t>BULK0057</t>
  </si>
  <si>
    <t>BULK0058</t>
  </si>
  <si>
    <t>BULK0059</t>
  </si>
  <si>
    <t>BULK0060</t>
  </si>
  <si>
    <t>BULK0061</t>
  </si>
  <si>
    <t>BULK0062</t>
  </si>
  <si>
    <t>BULK0063</t>
  </si>
  <si>
    <t>BULK0064</t>
  </si>
  <si>
    <t>BULK0065</t>
  </si>
  <si>
    <t>BULK0066</t>
  </si>
  <si>
    <t>BULK0067</t>
  </si>
  <si>
    <t>BULK0068</t>
  </si>
  <si>
    <t>BULK0069</t>
  </si>
  <si>
    <t>BULK0070</t>
  </si>
  <si>
    <t>BULK0071</t>
  </si>
  <si>
    <t>BULK0072</t>
  </si>
  <si>
    <t>BULK0073</t>
  </si>
  <si>
    <t>BULK0074</t>
  </si>
  <si>
    <t>BULK0075</t>
  </si>
  <si>
    <t>BULK0076</t>
  </si>
  <si>
    <t>BULK0077</t>
  </si>
  <si>
    <t>BULK0078</t>
  </si>
  <si>
    <t>BULK0079</t>
  </si>
  <si>
    <t>BULK0080</t>
  </si>
  <si>
    <t>BULK0081</t>
  </si>
  <si>
    <t>BULK0082</t>
  </si>
  <si>
    <t>BULK0083</t>
  </si>
  <si>
    <t>BULK0084</t>
  </si>
  <si>
    <t>BULK0085</t>
  </si>
  <si>
    <t>BULK0086</t>
  </si>
  <si>
    <t>BULK0087</t>
  </si>
  <si>
    <t>BULK0088</t>
  </si>
  <si>
    <t>BULK0089</t>
  </si>
  <si>
    <t>BULK0090</t>
  </si>
  <si>
    <t>BULK0091</t>
  </si>
  <si>
    <t>BULK0092</t>
  </si>
  <si>
    <t>BULK0093</t>
  </si>
  <si>
    <t>BULK0094</t>
  </si>
  <si>
    <t>BULK0095</t>
  </si>
  <si>
    <t>BULK0096</t>
  </si>
  <si>
    <t>BULK0097</t>
  </si>
  <si>
    <t>BULK0098</t>
  </si>
  <si>
    <t>BULK0099</t>
  </si>
  <si>
    <t>BULK0100</t>
  </si>
  <si>
    <t>BULK0101</t>
  </si>
  <si>
    <t>BULK0102</t>
  </si>
  <si>
    <t>BULK0103</t>
  </si>
  <si>
    <t>BULK0104</t>
  </si>
  <si>
    <t>BULK0105</t>
  </si>
  <si>
    <t>BULK0106</t>
  </si>
  <si>
    <t>BULK0107</t>
  </si>
  <si>
    <t>BULK0108</t>
  </si>
  <si>
    <t>BULK0109</t>
  </si>
  <si>
    <t>BULK0110</t>
  </si>
  <si>
    <t>BULK0111</t>
  </si>
  <si>
    <t>BULK0112</t>
  </si>
  <si>
    <t>BULK0113</t>
  </si>
  <si>
    <t>BULK0114</t>
  </si>
  <si>
    <t>BULK0115</t>
  </si>
  <si>
    <t>BULK0116</t>
  </si>
  <si>
    <t>BULK0117</t>
  </si>
  <si>
    <t>BULK0118</t>
  </si>
  <si>
    <t>BULK0119</t>
  </si>
  <si>
    <t>BULK0120</t>
  </si>
  <si>
    <t>BULK0121</t>
  </si>
  <si>
    <t>BULK0122</t>
  </si>
  <si>
    <t>BULK0123</t>
  </si>
  <si>
    <t>BULK0124</t>
  </si>
  <si>
    <t>BULK0125</t>
  </si>
  <si>
    <t>BULK0126</t>
  </si>
  <si>
    <t>BULK0127</t>
  </si>
  <si>
    <t>BULK0128</t>
  </si>
  <si>
    <t>BULK0129</t>
  </si>
  <si>
    <t>BULK0130</t>
  </si>
  <si>
    <t>BULK0131</t>
  </si>
  <si>
    <t>BULK0132</t>
  </si>
  <si>
    <t>BULK0133</t>
  </si>
  <si>
    <t>BULK0134</t>
  </si>
  <si>
    <t>BULK0135</t>
  </si>
  <si>
    <t>BULK0136</t>
  </si>
  <si>
    <t>BULK0137</t>
  </si>
  <si>
    <t>BULK0138</t>
  </si>
  <si>
    <t>BULK0139</t>
  </si>
  <si>
    <t>BULK0140</t>
  </si>
  <si>
    <t>BULK0141</t>
  </si>
  <si>
    <t>BULK0142</t>
  </si>
  <si>
    <t>BULK0143</t>
  </si>
  <si>
    <t>BULK0144</t>
  </si>
  <si>
    <t>BULK0145</t>
  </si>
  <si>
    <t>BULK0146</t>
  </si>
  <si>
    <t>BULK0147</t>
  </si>
  <si>
    <t>BULK0148</t>
  </si>
  <si>
    <t>BULK0149</t>
  </si>
  <si>
    <t>BULK0150</t>
  </si>
  <si>
    <t>BULK0151</t>
  </si>
  <si>
    <t>BULK0152</t>
  </si>
  <si>
    <t>BULK0153</t>
  </si>
  <si>
    <t>BULK0154</t>
  </si>
  <si>
    <t>BULK0155</t>
  </si>
  <si>
    <t>BULK0156</t>
  </si>
  <si>
    <t>BULK0157</t>
  </si>
  <si>
    <t>BULK0158</t>
  </si>
  <si>
    <t>BULK0159</t>
  </si>
  <si>
    <t>BULK0160</t>
  </si>
  <si>
    <t>BULK0161</t>
  </si>
  <si>
    <t>BULK0162</t>
  </si>
  <si>
    <t>BULK0163</t>
  </si>
  <si>
    <t>BULK0164</t>
  </si>
  <si>
    <t>BULK0165</t>
  </si>
  <si>
    <t>BULK0166</t>
  </si>
  <si>
    <t>BULK0167</t>
  </si>
  <si>
    <t>BULK0168</t>
  </si>
  <si>
    <t>BULK0169</t>
  </si>
  <si>
    <t>BULK0170</t>
  </si>
  <si>
    <t>BULK0171</t>
  </si>
  <si>
    <t>BULK0172</t>
  </si>
  <si>
    <t>BULK0173</t>
  </si>
  <si>
    <t>BULK0174</t>
  </si>
  <si>
    <t>BULK0175</t>
  </si>
  <si>
    <t>BULK0176</t>
  </si>
  <si>
    <t>BULK0177</t>
  </si>
  <si>
    <t>BULK0178</t>
  </si>
  <si>
    <t>BULK0179</t>
  </si>
  <si>
    <t>BULK0180</t>
  </si>
  <si>
    <t>BULK0181</t>
  </si>
  <si>
    <t>BULK0182</t>
  </si>
  <si>
    <t>BULK0183</t>
  </si>
  <si>
    <t>BULK0184</t>
  </si>
  <si>
    <t>BULK0185</t>
  </si>
  <si>
    <t>BULK0186</t>
  </si>
  <si>
    <t>BULK0187</t>
  </si>
  <si>
    <t>BULK0188</t>
  </si>
  <si>
    <t>BULK0189</t>
  </si>
  <si>
    <t>BULK0190</t>
  </si>
  <si>
    <t>BULK0191</t>
  </si>
  <si>
    <t>BULK0192</t>
  </si>
  <si>
    <t>BULK0193</t>
  </si>
  <si>
    <t>BULK0194</t>
  </si>
  <si>
    <t>BULK0195</t>
  </si>
  <si>
    <t>BULK0196</t>
  </si>
  <si>
    <t>BULK0197</t>
  </si>
  <si>
    <t>BULK0198</t>
  </si>
  <si>
    <t>BULK0199</t>
  </si>
  <si>
    <t>BULK0200</t>
  </si>
  <si>
    <t>BULK0201</t>
  </si>
  <si>
    <t>BULK0202</t>
  </si>
  <si>
    <t>BULK0203</t>
  </si>
  <si>
    <t>BULK0204</t>
  </si>
  <si>
    <t>BULK0205</t>
  </si>
  <si>
    <t>BULK0206</t>
  </si>
  <si>
    <t>BULK0207</t>
  </si>
  <si>
    <t>BULK0208</t>
  </si>
  <si>
    <t>BULK0209</t>
  </si>
  <si>
    <t>BULK0210</t>
  </si>
  <si>
    <t>BULK0211</t>
  </si>
  <si>
    <t>BULK0212</t>
  </si>
  <si>
    <t>BULK0213</t>
  </si>
  <si>
    <t>BULK0214</t>
  </si>
  <si>
    <t>BULK0215</t>
  </si>
  <si>
    <t>BULK0216</t>
  </si>
  <si>
    <t>BULK0217</t>
  </si>
  <si>
    <t>BULK0218</t>
  </si>
  <si>
    <t>BULK0219</t>
  </si>
  <si>
    <t>BULK0220</t>
  </si>
  <si>
    <t>BULK0221</t>
  </si>
  <si>
    <t>BULK0222</t>
  </si>
  <si>
    <t>BULK0223</t>
  </si>
  <si>
    <t>BULK0224</t>
  </si>
  <si>
    <t>BULK0225</t>
  </si>
  <si>
    <t>BULK0226</t>
  </si>
  <si>
    <t>BULK0227</t>
  </si>
  <si>
    <t>BULK0228</t>
  </si>
  <si>
    <t>BULK0229</t>
  </si>
  <si>
    <t>BULK0230</t>
  </si>
  <si>
    <t>BULK0231</t>
  </si>
  <si>
    <t>BULK0232</t>
  </si>
  <si>
    <t>BULK0233</t>
  </si>
  <si>
    <t>BULK0234</t>
  </si>
  <si>
    <t>BULK0235</t>
  </si>
  <si>
    <t>BULK0236</t>
  </si>
  <si>
    <t>BULK0237</t>
  </si>
  <si>
    <t>BULK0238</t>
  </si>
  <si>
    <t>BULK0239</t>
  </si>
  <si>
    <t>BULK0240</t>
  </si>
  <si>
    <t>BULK0241</t>
  </si>
  <si>
    <t>BULK0242</t>
  </si>
  <si>
    <t>BULK0243</t>
  </si>
  <si>
    <t>BULK0244</t>
  </si>
  <si>
    <t>BULK0245</t>
  </si>
  <si>
    <t>BULK0246</t>
  </si>
  <si>
    <t>BULK0247</t>
  </si>
  <si>
    <t>BULK0248</t>
  </si>
  <si>
    <t>BULK0249</t>
  </si>
  <si>
    <t>BULK0250</t>
  </si>
  <si>
    <t>BULK0251</t>
  </si>
  <si>
    <t>BULK0252</t>
  </si>
  <si>
    <t>BULK0253</t>
  </si>
  <si>
    <t>BULK0254</t>
  </si>
  <si>
    <t>BULK0255</t>
  </si>
  <si>
    <t>BULK0256</t>
  </si>
  <si>
    <t>BULK0257</t>
  </si>
  <si>
    <t>BULK0258</t>
  </si>
  <si>
    <t>BULK0259</t>
  </si>
  <si>
    <t>BULK0260</t>
  </si>
  <si>
    <t>BULK0261</t>
  </si>
  <si>
    <t>BULK0262</t>
  </si>
  <si>
    <t>BULK0263</t>
  </si>
  <si>
    <t>BULK0264</t>
  </si>
  <si>
    <t>BULK0265</t>
  </si>
  <si>
    <t>BULK0266</t>
  </si>
  <si>
    <t>BULK0267</t>
  </si>
  <si>
    <t>BULK0268</t>
  </si>
  <si>
    <t>BULK0269</t>
  </si>
  <si>
    <t>BULK0270</t>
  </si>
  <si>
    <t>BULK0271</t>
  </si>
  <si>
    <t>BULK0272</t>
  </si>
  <si>
    <t>BULK0273</t>
  </si>
  <si>
    <t>BULK0274</t>
  </si>
  <si>
    <t>BULK0275</t>
  </si>
  <si>
    <t>BULK0276</t>
  </si>
  <si>
    <t>BULK0277</t>
  </si>
  <si>
    <t>BULK0278</t>
  </si>
  <si>
    <t>BULK0279</t>
  </si>
  <si>
    <t>BULK0280</t>
  </si>
  <si>
    <t>BULK0281</t>
  </si>
  <si>
    <t>BULK0282</t>
  </si>
  <si>
    <t>BULK0283</t>
  </si>
  <si>
    <t>BULK0284</t>
  </si>
  <si>
    <t>BULK0285</t>
  </si>
  <si>
    <t>BULK0286</t>
  </si>
  <si>
    <t>BULK0287</t>
  </si>
  <si>
    <t>BULK0288</t>
  </si>
  <si>
    <t>BULK0289</t>
  </si>
  <si>
    <t>BULK0290</t>
  </si>
  <si>
    <t>BULK0291</t>
  </si>
  <si>
    <t>BULK0292</t>
  </si>
  <si>
    <t>BULK0293</t>
  </si>
  <si>
    <t>BULK0294</t>
  </si>
  <si>
    <t>BULK0295</t>
  </si>
  <si>
    <t>BULK0296</t>
  </si>
  <si>
    <t>BULK0297</t>
  </si>
  <si>
    <t>BULK0298</t>
  </si>
  <si>
    <t>BULK0299</t>
  </si>
  <si>
    <t>BULK0300</t>
  </si>
  <si>
    <t>BULK0301</t>
  </si>
  <si>
    <t>BULK0302</t>
  </si>
  <si>
    <t>BULK0303</t>
  </si>
  <si>
    <t>BULK0304</t>
  </si>
  <si>
    <t>BULK0305</t>
  </si>
  <si>
    <t>BULK0306</t>
  </si>
  <si>
    <t>BULK0307</t>
  </si>
  <si>
    <t>BULK0308</t>
  </si>
  <si>
    <t>BULK0309</t>
  </si>
  <si>
    <t>BULK0310</t>
  </si>
  <si>
    <t>BULK0311</t>
  </si>
  <si>
    <t>BULK0312</t>
  </si>
  <si>
    <t>BULK0313</t>
  </si>
  <si>
    <t>BULK0314</t>
  </si>
  <si>
    <t>BULK0315</t>
  </si>
  <si>
    <t>BULK0316</t>
  </si>
  <si>
    <t>BULK0317</t>
  </si>
  <si>
    <t>BULK0318</t>
  </si>
  <si>
    <t>BULK0319</t>
  </si>
  <si>
    <t>BULK0320</t>
  </si>
  <si>
    <t>BULK0321</t>
  </si>
  <si>
    <t>BULK0322</t>
  </si>
  <si>
    <t>BULK0323</t>
  </si>
  <si>
    <t>BULK0324</t>
  </si>
  <si>
    <t>BULK0325</t>
  </si>
  <si>
    <t>BULK0326</t>
  </si>
  <si>
    <t>BULK0327</t>
  </si>
  <si>
    <t>BULK0328</t>
  </si>
  <si>
    <t>BULK0329</t>
  </si>
  <si>
    <t>BULK0330</t>
  </si>
  <si>
    <t>BULK0331</t>
  </si>
  <si>
    <t>BULK0332</t>
  </si>
  <si>
    <t>BULK0333</t>
  </si>
  <si>
    <t>BULK0334</t>
  </si>
  <si>
    <t>BULK0335</t>
  </si>
  <si>
    <t>BULK0336</t>
  </si>
  <si>
    <t>BULK0337</t>
  </si>
  <si>
    <t>BULK0338</t>
  </si>
  <si>
    <t>BULK0339</t>
  </si>
  <si>
    <t>BULK0340</t>
  </si>
  <si>
    <t>BULK0341</t>
  </si>
  <si>
    <t>BULK0342</t>
  </si>
  <si>
    <t>BULK0343</t>
  </si>
  <si>
    <t>BULK0344</t>
  </si>
  <si>
    <t>BULK0345</t>
  </si>
  <si>
    <t>BULK0346</t>
  </si>
  <si>
    <t>BULK0347</t>
  </si>
  <si>
    <t>BULK0348</t>
  </si>
  <si>
    <t>BULK0349</t>
  </si>
  <si>
    <t>BULK0350</t>
  </si>
  <si>
    <t>BULK0351</t>
  </si>
  <si>
    <t>BULK0352</t>
  </si>
  <si>
    <t>BULK0353</t>
  </si>
  <si>
    <t>BULK0354</t>
  </si>
  <si>
    <t>BULK0355</t>
  </si>
  <si>
    <t>BULK0356</t>
  </si>
  <si>
    <t>BULK0357</t>
  </si>
  <si>
    <t>BULK0358</t>
  </si>
  <si>
    <t>BULK0359</t>
  </si>
  <si>
    <t>BULK0360</t>
  </si>
  <si>
    <t>BULK0361</t>
  </si>
  <si>
    <t>BULK0362</t>
  </si>
  <si>
    <t>BULK0363</t>
  </si>
  <si>
    <t>BULK0364</t>
  </si>
  <si>
    <t>BULK0365</t>
  </si>
  <si>
    <t>BULK0366</t>
  </si>
  <si>
    <t>BULK0367</t>
  </si>
  <si>
    <t>BULK0368</t>
  </si>
  <si>
    <t>BULK0369</t>
  </si>
  <si>
    <t>BULK0370</t>
  </si>
  <si>
    <t>BULK0371</t>
  </si>
  <si>
    <t>BULK0372</t>
  </si>
  <si>
    <t>BULK0373</t>
  </si>
  <si>
    <t>BULK0374</t>
  </si>
  <si>
    <t>BULK0375</t>
  </si>
  <si>
    <t>BULK0376</t>
  </si>
  <si>
    <t>BULK0377</t>
  </si>
  <si>
    <t>BULK0378</t>
  </si>
  <si>
    <t>BULK0379</t>
  </si>
  <si>
    <t>BULK0380</t>
  </si>
  <si>
    <t>BULK0381</t>
  </si>
  <si>
    <t>BULK0382</t>
  </si>
  <si>
    <t>BULK0383</t>
  </si>
  <si>
    <t>BULK0384</t>
  </si>
  <si>
    <t>BULK0385</t>
  </si>
  <si>
    <t>BULK0386</t>
  </si>
  <si>
    <t>BULK0387</t>
  </si>
  <si>
    <t>BULK0388</t>
  </si>
  <si>
    <t>BULK0389</t>
  </si>
  <si>
    <t>BULK0390</t>
  </si>
  <si>
    <t>BULK0391</t>
  </si>
  <si>
    <t>BULK0392</t>
  </si>
  <si>
    <t>BULK0393</t>
  </si>
  <si>
    <t>BULK0394</t>
  </si>
  <si>
    <t>BULK0395</t>
  </si>
  <si>
    <t>BULK0396</t>
  </si>
  <si>
    <t>BULK0397</t>
  </si>
  <si>
    <t>BULK0398</t>
  </si>
  <si>
    <t>BULK0399</t>
  </si>
  <si>
    <t>BULK0400</t>
  </si>
  <si>
    <t>BULK9001</t>
  </si>
  <si>
    <t>BULK9002</t>
  </si>
  <si>
    <t>BULK9003</t>
  </si>
  <si>
    <t>BULK9004</t>
  </si>
  <si>
    <t>BULK9005</t>
  </si>
  <si>
    <t>BULK9006</t>
  </si>
  <si>
    <t>BULK9007</t>
  </si>
  <si>
    <t>BULK9008</t>
  </si>
  <si>
    <t>BULK9009</t>
  </si>
  <si>
    <t>BULK9010</t>
  </si>
  <si>
    <t>BULK9011</t>
  </si>
  <si>
    <t>BULK9012</t>
  </si>
  <si>
    <t>BULK9013</t>
  </si>
  <si>
    <t>BULK9014</t>
  </si>
  <si>
    <t>BULK9015</t>
  </si>
  <si>
    <t>BULK9016</t>
  </si>
  <si>
    <t>BULK9017</t>
  </si>
  <si>
    <t>BULK9018</t>
  </si>
  <si>
    <t>BULK9019</t>
  </si>
  <si>
    <t>BULK9020</t>
  </si>
  <si>
    <t>BULK9021</t>
  </si>
  <si>
    <t>BULK9022</t>
  </si>
  <si>
    <t>BULK9023</t>
  </si>
  <si>
    <t>BULK9024</t>
  </si>
  <si>
    <t>BULK9025</t>
  </si>
  <si>
    <t>BULK9026</t>
  </si>
  <si>
    <t>BULK9027</t>
  </si>
  <si>
    <t>BULK9028</t>
  </si>
  <si>
    <t>BULK9029</t>
  </si>
  <si>
    <t>BULK9030</t>
  </si>
  <si>
    <t>BULK9031</t>
  </si>
  <si>
    <t>BULK9032</t>
  </si>
  <si>
    <t>BULK9033</t>
  </si>
  <si>
    <t>BULK9034</t>
  </si>
  <si>
    <t>BULK9035</t>
  </si>
  <si>
    <t>BULK9036</t>
  </si>
  <si>
    <t>BULK9037</t>
  </si>
  <si>
    <t>BULK9038</t>
  </si>
  <si>
    <t>BULK9039</t>
  </si>
  <si>
    <t>BULK9040</t>
  </si>
  <si>
    <t>BULK9041</t>
  </si>
  <si>
    <t>BULK9042</t>
  </si>
  <si>
    <t>BULK9043</t>
  </si>
  <si>
    <t>BULK9044</t>
  </si>
  <si>
    <t>BULK9045</t>
  </si>
  <si>
    <t>BULK9046</t>
  </si>
  <si>
    <t>BULK9047</t>
  </si>
  <si>
    <t>BULK9048</t>
  </si>
  <si>
    <t>BULK9049</t>
  </si>
  <si>
    <t>BULK9050</t>
  </si>
  <si>
    <t>BULK9051</t>
  </si>
  <si>
    <t>BULK9052</t>
  </si>
  <si>
    <t>BULK9053</t>
  </si>
  <si>
    <t>BULK9054</t>
  </si>
  <si>
    <t>BULK9055</t>
  </si>
  <si>
    <t>BULK9056</t>
  </si>
  <si>
    <t>BULK9057</t>
  </si>
  <si>
    <t>BULK9058</t>
  </si>
  <si>
    <t>BULK9059</t>
  </si>
  <si>
    <t>BULK9060</t>
  </si>
  <si>
    <t>BULK9061</t>
  </si>
  <si>
    <t>BULK9062</t>
  </si>
  <si>
    <t>BULK9063</t>
  </si>
  <si>
    <t>BULK9064</t>
  </si>
  <si>
    <t>BULK9065</t>
  </si>
  <si>
    <t>BULK9066</t>
  </si>
  <si>
    <t>BULK9067</t>
  </si>
  <si>
    <t>BULK9068</t>
  </si>
  <si>
    <t>BULK9069</t>
  </si>
  <si>
    <t>BULK9070</t>
  </si>
  <si>
    <t>BULK9071</t>
  </si>
  <si>
    <t>BULK9072</t>
  </si>
  <si>
    <t>BULK9073</t>
  </si>
  <si>
    <t>BULK9074</t>
  </si>
  <si>
    <t>BULK9075</t>
  </si>
  <si>
    <t>BULK9076</t>
  </si>
  <si>
    <t>BULK9077</t>
  </si>
  <si>
    <t>BULK9078</t>
  </si>
  <si>
    <t>BULK9079</t>
  </si>
  <si>
    <t>BULK9080</t>
  </si>
  <si>
    <t>BULK9081</t>
  </si>
  <si>
    <t>BULK9082</t>
  </si>
  <si>
    <t>BULK9083</t>
  </si>
  <si>
    <t>BULK9084</t>
  </si>
  <si>
    <t>BULK9085</t>
  </si>
  <si>
    <t>BULK9086</t>
  </si>
  <si>
    <t>BULK9087</t>
  </si>
  <si>
    <t>BULK9088</t>
  </si>
  <si>
    <t>BULK9089</t>
  </si>
  <si>
    <t>BULK9090</t>
  </si>
  <si>
    <t>BULK9091</t>
  </si>
  <si>
    <t>BULK9092</t>
  </si>
  <si>
    <t>BULK9093</t>
  </si>
  <si>
    <t>BULK9094</t>
  </si>
  <si>
    <t>BULK9095</t>
  </si>
  <si>
    <t>BULK9096</t>
  </si>
  <si>
    <t>BULK9097</t>
  </si>
  <si>
    <t>BULK9098</t>
  </si>
  <si>
    <t>BULK9099</t>
  </si>
  <si>
    <t>BULK9100</t>
  </si>
  <si>
    <t>BULK9101</t>
  </si>
  <si>
    <t>BULK9102</t>
  </si>
  <si>
    <t>BULK9103</t>
  </si>
  <si>
    <t>BULK9104</t>
  </si>
  <si>
    <t>BULK9105</t>
  </si>
  <si>
    <t>BULK9106</t>
  </si>
  <si>
    <t>BULK9107</t>
  </si>
  <si>
    <t>BULK9108</t>
  </si>
  <si>
    <t>BULK9109</t>
  </si>
  <si>
    <t>BULK9110</t>
  </si>
  <si>
    <t>BULK9111</t>
  </si>
  <si>
    <t>BULK9112</t>
  </si>
  <si>
    <t>BULK9113</t>
  </si>
  <si>
    <t>BULK9114</t>
  </si>
  <si>
    <t>BULK9115</t>
  </si>
  <si>
    <t>BULK9116</t>
  </si>
  <si>
    <t>BULK9117</t>
  </si>
  <si>
    <t>BULK9118</t>
  </si>
  <si>
    <t>BULK9119</t>
  </si>
  <si>
    <t>BULK9120</t>
  </si>
  <si>
    <t>BULK9121</t>
  </si>
  <si>
    <t>BULK9122</t>
  </si>
  <si>
    <t>BULK9123</t>
  </si>
  <si>
    <t>BULK9124</t>
  </si>
  <si>
    <t>BULK9125</t>
  </si>
  <si>
    <t>BULK9126</t>
  </si>
  <si>
    <t>BULK9127</t>
  </si>
  <si>
    <t>BULK9128</t>
  </si>
  <si>
    <t>BULK9129</t>
  </si>
  <si>
    <t>BULK9130</t>
  </si>
  <si>
    <t>BULK9131</t>
  </si>
  <si>
    <t>BULK9132</t>
  </si>
  <si>
    <t>BULK9133</t>
  </si>
  <si>
    <t>BULK9134</t>
  </si>
  <si>
    <t>BULK9135</t>
  </si>
  <si>
    <t>BULK9136</t>
  </si>
  <si>
    <t>BULK9137</t>
  </si>
  <si>
    <t>BULK9138</t>
  </si>
  <si>
    <t>BULK9139</t>
  </si>
  <si>
    <t>BULK9140</t>
  </si>
  <si>
    <t>BULK9141</t>
  </si>
  <si>
    <t>BULK9142</t>
  </si>
  <si>
    <t>BULK9143</t>
  </si>
  <si>
    <t>BULK9144</t>
  </si>
  <si>
    <t>BULK9145</t>
  </si>
  <si>
    <t>BULK9146</t>
  </si>
  <si>
    <t>BULK9147</t>
  </si>
  <si>
    <t>BULK9148</t>
  </si>
  <si>
    <t>BULK9149</t>
  </si>
  <si>
    <t>BULK9150</t>
  </si>
  <si>
    <t>BULK9151</t>
  </si>
  <si>
    <t>BULK9152</t>
  </si>
  <si>
    <t>BULK9153</t>
  </si>
  <si>
    <t>BULK9154</t>
  </si>
  <si>
    <t>BULK9155</t>
  </si>
  <si>
    <t>BULK9156</t>
  </si>
  <si>
    <t>BULK9157</t>
  </si>
  <si>
    <t>BULK9158</t>
  </si>
  <si>
    <t>BULK9159</t>
  </si>
  <si>
    <t>BULK9160</t>
  </si>
  <si>
    <t>BULK9161</t>
  </si>
  <si>
    <t>BULK9162</t>
  </si>
  <si>
    <t>BULK9163</t>
  </si>
  <si>
    <t>BULK9164</t>
  </si>
  <si>
    <t>BULK9165</t>
  </si>
  <si>
    <t>BULK9166</t>
  </si>
  <si>
    <t>BULK9167</t>
  </si>
  <si>
    <t>BULK9168</t>
  </si>
  <si>
    <t>BULK9169</t>
  </si>
  <si>
    <t>BULK9170</t>
  </si>
  <si>
    <t>BULK9171</t>
  </si>
  <si>
    <t>BULK9172</t>
  </si>
  <si>
    <t>BULK9173</t>
  </si>
  <si>
    <t>BULK9174</t>
  </si>
  <si>
    <t>BULK9175</t>
  </si>
  <si>
    <t>BULK9176</t>
  </si>
  <si>
    <t>BULK9177</t>
  </si>
  <si>
    <t>BULK9178</t>
  </si>
  <si>
    <t>BULK9179</t>
  </si>
  <si>
    <t>BULK9180</t>
  </si>
  <si>
    <t>BULK9181</t>
  </si>
  <si>
    <t>BULK9182</t>
  </si>
  <si>
    <t>BULK9183</t>
  </si>
  <si>
    <t>BULK9184</t>
  </si>
  <si>
    <t>BULK9185</t>
  </si>
  <si>
    <t>BULK9186</t>
  </si>
  <si>
    <t>BULK9187</t>
  </si>
  <si>
    <t>BULK9188</t>
  </si>
  <si>
    <t>BULK9189</t>
  </si>
  <si>
    <t>BULK9190</t>
  </si>
  <si>
    <t>BULK9191</t>
  </si>
  <si>
    <t>BULK9192</t>
  </si>
  <si>
    <t>BULK9193</t>
  </si>
  <si>
    <t>BULK9194</t>
  </si>
  <si>
    <t>BULK9195</t>
  </si>
  <si>
    <t>BULK9196</t>
  </si>
  <si>
    <t>BULK9197</t>
  </si>
  <si>
    <t>BULK9198</t>
  </si>
  <si>
    <t>BULK9199</t>
  </si>
  <si>
    <t>BULK9200</t>
  </si>
  <si>
    <t>BULK9201</t>
  </si>
  <si>
    <t>BULK9202</t>
  </si>
  <si>
    <t>BULK9203</t>
  </si>
  <si>
    <t>BULK9204</t>
  </si>
  <si>
    <t>BULK9205</t>
  </si>
  <si>
    <t>BULK9206</t>
  </si>
  <si>
    <t>BULK9207</t>
  </si>
  <si>
    <t>BULK9208</t>
  </si>
  <si>
    <t>BULK9209</t>
  </si>
  <si>
    <t>BULK9210</t>
  </si>
  <si>
    <t>BULK9211</t>
  </si>
  <si>
    <t>BULK9212</t>
  </si>
  <si>
    <t>BULK9213</t>
  </si>
  <si>
    <t>BULK9214</t>
  </si>
  <si>
    <t>BULK9215</t>
  </si>
  <si>
    <t>BULK9216</t>
  </si>
  <si>
    <t>BULK9217</t>
  </si>
  <si>
    <t>BULK9218</t>
  </si>
  <si>
    <t>BULK9219</t>
  </si>
  <si>
    <t>BULK9220</t>
  </si>
  <si>
    <t>BULK9221</t>
  </si>
  <si>
    <t>BULK9222</t>
  </si>
  <si>
    <t>BULK9223</t>
  </si>
  <si>
    <t>BULK9224</t>
  </si>
  <si>
    <t>BULK9225</t>
  </si>
  <si>
    <t>BULK9226</t>
  </si>
  <si>
    <t>BULK9227</t>
  </si>
  <si>
    <t>BULK9228</t>
  </si>
  <si>
    <t>BULK9229</t>
  </si>
  <si>
    <t>BULK9230</t>
  </si>
  <si>
    <t>BULK9231</t>
  </si>
  <si>
    <t>BULK9232</t>
  </si>
  <si>
    <t>BULK9233</t>
  </si>
  <si>
    <t>BULK9234</t>
  </si>
  <si>
    <t>BULK9235</t>
  </si>
  <si>
    <t>BULK9236</t>
  </si>
  <si>
    <t>BULK9237</t>
  </si>
  <si>
    <t>BULK9238</t>
  </si>
  <si>
    <t>BULK9239</t>
  </si>
  <si>
    <t>BULK9240</t>
  </si>
  <si>
    <t>BULK9241</t>
  </si>
  <si>
    <t>BULK9242</t>
  </si>
  <si>
    <t>BULK9243</t>
  </si>
  <si>
    <t>BULK9244</t>
  </si>
  <si>
    <t>BULK9245</t>
  </si>
  <si>
    <t>BULK9246</t>
  </si>
  <si>
    <t>BULK9247</t>
  </si>
  <si>
    <t>BULK9248</t>
  </si>
  <si>
    <t>BULK9249</t>
  </si>
  <si>
    <t>BULK9250</t>
  </si>
  <si>
    <t>BULK9251</t>
  </si>
  <si>
    <t>BULK9252</t>
  </si>
  <si>
    <t>BULK9253</t>
  </si>
  <si>
    <t>BULK9254</t>
  </si>
  <si>
    <t>BULK9255</t>
  </si>
  <si>
    <t>BULK9256</t>
  </si>
  <si>
    <t>BULK9257</t>
  </si>
  <si>
    <t>BULK9258</t>
  </si>
  <si>
    <t>BULK9259</t>
  </si>
  <si>
    <t>BULK9260</t>
  </si>
  <si>
    <t>BULK9261</t>
  </si>
  <si>
    <t>BULK9262</t>
  </si>
  <si>
    <t>BULK9263</t>
  </si>
  <si>
    <t>BULK9264</t>
  </si>
  <si>
    <t>BULK9265</t>
  </si>
  <si>
    <t>BULK9266</t>
  </si>
  <si>
    <t>BULK9267</t>
  </si>
  <si>
    <t>BULK9268</t>
  </si>
  <si>
    <t>BULK9269</t>
  </si>
  <si>
    <t>BULK9270</t>
  </si>
  <si>
    <t>BULK9271</t>
  </si>
  <si>
    <t>BULK9272</t>
  </si>
  <si>
    <t>BULK9273</t>
  </si>
  <si>
    <t>BULK9274</t>
  </si>
  <si>
    <t>BULK9275</t>
  </si>
  <si>
    <t>BULK9276</t>
  </si>
  <si>
    <t>BULK9277</t>
  </si>
  <si>
    <t>BULK9278</t>
  </si>
  <si>
    <t>BULK9279</t>
  </si>
  <si>
    <t>BULK9280</t>
  </si>
  <si>
    <t>BULK9281</t>
  </si>
  <si>
    <t>BULK9282</t>
  </si>
  <si>
    <t>BULK9283</t>
  </si>
  <si>
    <t>BULK9284</t>
  </si>
  <si>
    <t>BULK9285</t>
  </si>
  <si>
    <t>BULK9286</t>
  </si>
  <si>
    <t>BULK9287</t>
  </si>
  <si>
    <t>BULK9288</t>
  </si>
  <si>
    <t>BULK9289</t>
  </si>
  <si>
    <t>BULK9290</t>
  </si>
  <si>
    <t>BULK9291</t>
  </si>
  <si>
    <t>BULK9292</t>
  </si>
  <si>
    <t>BULK9293</t>
  </si>
  <si>
    <t>BULK9294</t>
  </si>
  <si>
    <t>BULK9295</t>
  </si>
  <si>
    <t>BULK9296</t>
  </si>
  <si>
    <t>BULK9297</t>
  </si>
  <si>
    <t>BULK9298</t>
  </si>
  <si>
    <t>BULK9299</t>
  </si>
  <si>
    <t>BULK9300</t>
  </si>
  <si>
    <t>BULK9301</t>
  </si>
  <si>
    <t>BULK9302</t>
  </si>
  <si>
    <t>BULK9303</t>
  </si>
  <si>
    <t>BULK9304</t>
  </si>
  <si>
    <t>BULK9305</t>
  </si>
  <si>
    <t>BULK9306</t>
  </si>
  <si>
    <t>BULK9307</t>
  </si>
  <si>
    <t>BULK9308</t>
  </si>
  <si>
    <t>BULK9309</t>
  </si>
  <si>
    <t>BULK9310</t>
  </si>
  <si>
    <t>BULK9311</t>
  </si>
  <si>
    <t>BULK9312</t>
  </si>
  <si>
    <t>BULK9313</t>
  </si>
  <si>
    <t>BULK9314</t>
  </si>
  <si>
    <t>BULK9315</t>
  </si>
  <si>
    <t>BULK9316</t>
  </si>
  <si>
    <t>BULK9317</t>
  </si>
  <si>
    <t>BULK9318</t>
  </si>
  <si>
    <t>BULK9319</t>
  </si>
  <si>
    <t>BULK9320</t>
  </si>
  <si>
    <t>BULK9321</t>
  </si>
  <si>
    <t>BULK9322</t>
  </si>
  <si>
    <t>BULK9323</t>
  </si>
  <si>
    <t>BULK9324</t>
  </si>
  <si>
    <t>BULK9325</t>
  </si>
  <si>
    <t>BULK9326</t>
  </si>
  <si>
    <t>BULK9327</t>
  </si>
  <si>
    <t>BULK9328</t>
  </si>
  <si>
    <t>BULK9329</t>
  </si>
  <si>
    <t>BULK9330</t>
  </si>
  <si>
    <t>BULK9331</t>
  </si>
  <si>
    <t>BULK9332</t>
  </si>
  <si>
    <t>BULK9333</t>
  </si>
  <si>
    <t>BULK9334</t>
  </si>
  <si>
    <t>BULK9335</t>
  </si>
  <si>
    <t>BULK9336</t>
  </si>
  <si>
    <t>BULK9337</t>
  </si>
  <si>
    <t>BULK9338</t>
  </si>
  <si>
    <t>BULK9339</t>
  </si>
  <si>
    <t>BULK9340</t>
  </si>
  <si>
    <t>BULK9341</t>
  </si>
  <si>
    <t>BULK9342</t>
  </si>
  <si>
    <t>BULK9343</t>
  </si>
  <si>
    <t>BULK9344</t>
  </si>
  <si>
    <t>BULK9345</t>
  </si>
  <si>
    <t>BULK9346</t>
  </si>
  <si>
    <t>BULK9347</t>
  </si>
  <si>
    <t>BULK9348</t>
  </si>
  <si>
    <t>BULK9349</t>
  </si>
  <si>
    <t>BULK9350</t>
  </si>
  <si>
    <t>BULK9351</t>
  </si>
  <si>
    <t>BULK9352</t>
  </si>
  <si>
    <t>BULK9353</t>
  </si>
  <si>
    <t>BULK9354</t>
  </si>
  <si>
    <t>BULK9355</t>
  </si>
  <si>
    <t>BULK9356</t>
  </si>
  <si>
    <t>BULK9357</t>
  </si>
  <si>
    <t>BULK9358</t>
  </si>
  <si>
    <t>BULK9359</t>
  </si>
  <si>
    <t>BULK9360</t>
  </si>
  <si>
    <t>BULK9361</t>
  </si>
  <si>
    <t>BULK9362</t>
  </si>
  <si>
    <t>BULK9363</t>
  </si>
  <si>
    <t>BULK9364</t>
  </si>
  <si>
    <t>BULK9365</t>
  </si>
  <si>
    <t>BULK9366</t>
  </si>
  <si>
    <t>BULK9367</t>
  </si>
  <si>
    <t>BULK9368</t>
  </si>
  <si>
    <t>BULK9369</t>
  </si>
  <si>
    <t>BULK9370</t>
  </si>
  <si>
    <t>BULK9371</t>
  </si>
  <si>
    <t>BULK9372</t>
  </si>
  <si>
    <t>BULK9373</t>
  </si>
  <si>
    <t>BULK9374</t>
  </si>
  <si>
    <t>BULK9375</t>
  </si>
  <si>
    <t>BULK9376</t>
  </si>
  <si>
    <t>BULK9377</t>
  </si>
  <si>
    <t>BULK9378</t>
  </si>
  <si>
    <t>BULK9379</t>
  </si>
  <si>
    <t>BULK9380</t>
  </si>
  <si>
    <t>BULK9381</t>
  </si>
  <si>
    <t>BULK9382</t>
  </si>
  <si>
    <t>BULK9383</t>
  </si>
  <si>
    <t>BULK9384</t>
  </si>
  <si>
    <t>BULK9385</t>
  </si>
  <si>
    <t>BULK9386</t>
  </si>
  <si>
    <t>BULK9387</t>
  </si>
  <si>
    <t>BULK9388</t>
  </si>
  <si>
    <t>BULK9389</t>
  </si>
  <si>
    <t>BULK9390</t>
  </si>
  <si>
    <t>BULK9391</t>
  </si>
  <si>
    <t>BULK9392</t>
  </si>
  <si>
    <t>BULK9393</t>
  </si>
  <si>
    <t>BULK9394</t>
  </si>
  <si>
    <t>BULK9395</t>
  </si>
  <si>
    <t>BULK9396</t>
  </si>
  <si>
    <t>BULK9397</t>
  </si>
  <si>
    <t>BULK9398</t>
  </si>
  <si>
    <t>BULK9399</t>
  </si>
  <si>
    <t>BULK9400</t>
  </si>
  <si>
    <t>BULK9401</t>
  </si>
  <si>
    <t>BULK9402</t>
  </si>
  <si>
    <t>BULK9403</t>
  </si>
  <si>
    <t>BULK9404</t>
  </si>
  <si>
    <t>BULK9405</t>
  </si>
  <si>
    <t>BULK9406</t>
  </si>
  <si>
    <t>BULK9407</t>
  </si>
  <si>
    <t>BULK9408</t>
  </si>
  <si>
    <t>BULK9409</t>
  </si>
  <si>
    <t>BULK9410</t>
  </si>
  <si>
    <t>BULK9411</t>
  </si>
  <si>
    <t>BULK9412</t>
  </si>
  <si>
    <t>BULK9413</t>
  </si>
  <si>
    <t>BULK9414</t>
  </si>
  <si>
    <t>BULK9415</t>
  </si>
  <si>
    <t>BULK9416</t>
  </si>
  <si>
    <t>BULK9417</t>
  </si>
  <si>
    <t>BULK9418</t>
  </si>
  <si>
    <t>BULK9419</t>
  </si>
  <si>
    <t>BULK9420</t>
  </si>
  <si>
    <t>BULK9421</t>
  </si>
  <si>
    <t>BULK9422</t>
  </si>
  <si>
    <t>BULK9423</t>
  </si>
  <si>
    <t>BULK9424</t>
  </si>
  <si>
    <t>BULK9425</t>
  </si>
  <si>
    <t>BULK9426</t>
  </si>
  <si>
    <t>BULK9427</t>
  </si>
  <si>
    <t>BULK9428</t>
  </si>
  <si>
    <t>BULK9429</t>
  </si>
  <si>
    <t>BULK9430</t>
  </si>
  <si>
    <t>BULK9431</t>
  </si>
  <si>
    <t>BULK9432</t>
  </si>
  <si>
    <t>BULK9433</t>
  </si>
  <si>
    <t>BULK9434</t>
  </si>
  <si>
    <t>BULK9435</t>
  </si>
  <si>
    <t>BULK9436</t>
  </si>
  <si>
    <t>BULK9437</t>
  </si>
  <si>
    <t>BULK9438</t>
  </si>
  <si>
    <t>BULK9439</t>
  </si>
  <si>
    <t>BULK9440</t>
  </si>
  <si>
    <t>BULK9441</t>
  </si>
  <si>
    <t>BULK9442</t>
  </si>
  <si>
    <t>BULK9443</t>
  </si>
  <si>
    <t>BULK9444</t>
  </si>
  <si>
    <t>BULK9445</t>
  </si>
  <si>
    <t>BULK9446</t>
  </si>
  <si>
    <t>BULK9447</t>
  </si>
  <si>
    <t>BULK9448</t>
  </si>
  <si>
    <t>BULK9449</t>
  </si>
  <si>
    <t>BULK9450</t>
  </si>
  <si>
    <t>BULK9451</t>
  </si>
  <si>
    <t>BULK9452</t>
  </si>
  <si>
    <t>BULK9453</t>
  </si>
  <si>
    <t>BULK9454</t>
  </si>
  <si>
    <t>BULK9455</t>
  </si>
  <si>
    <t>BULK9456</t>
  </si>
  <si>
    <t>BULK9457</t>
  </si>
  <si>
    <t>BULK9458</t>
  </si>
  <si>
    <t>BULK9459</t>
  </si>
  <si>
    <t>BULK9460</t>
  </si>
  <si>
    <t>BULK9461</t>
  </si>
  <si>
    <t>BULK9462</t>
  </si>
  <si>
    <t>BULK9463</t>
  </si>
  <si>
    <t>BULK9464</t>
  </si>
  <si>
    <t>BULK9465</t>
  </si>
  <si>
    <t>BULK9466</t>
  </si>
  <si>
    <t>BULK9467</t>
  </si>
  <si>
    <t>BULK9468</t>
  </si>
  <si>
    <t>BULK9469</t>
  </si>
  <si>
    <t>BULK9470</t>
  </si>
  <si>
    <t>BULK9471</t>
  </si>
  <si>
    <t>BULK9472</t>
  </si>
  <si>
    <t>BULK9473</t>
  </si>
  <si>
    <t>BULK9474</t>
  </si>
  <si>
    <t>BULK9475</t>
  </si>
  <si>
    <t>BULK9476</t>
  </si>
  <si>
    <t>BULK9477</t>
  </si>
  <si>
    <t>BULK9478</t>
  </si>
  <si>
    <t>BULK9479</t>
  </si>
  <si>
    <t>BULK9480</t>
  </si>
  <si>
    <t>BULK9481</t>
  </si>
  <si>
    <t>BULK9482</t>
  </si>
  <si>
    <t>BULK9483</t>
  </si>
  <si>
    <t>BULK9484</t>
  </si>
  <si>
    <t>BULK9485</t>
  </si>
  <si>
    <t>BULK9486</t>
  </si>
  <si>
    <t>BULK9487</t>
  </si>
  <si>
    <t>BULK9488</t>
  </si>
  <si>
    <t>BULK9489</t>
  </si>
  <si>
    <t>BULK9490</t>
  </si>
  <si>
    <t>BULK9491</t>
  </si>
  <si>
    <t>BULK9492</t>
  </si>
  <si>
    <t>BULK9493</t>
  </si>
  <si>
    <t>BULK9494</t>
  </si>
  <si>
    <t>BULK9495</t>
  </si>
  <si>
    <t>BULK9496</t>
  </si>
  <si>
    <t>BULK9497</t>
  </si>
  <si>
    <t>BULK9498</t>
  </si>
  <si>
    <t>BULK9499</t>
  </si>
  <si>
    <t>BULK9500</t>
  </si>
  <si>
    <t>BULK9501</t>
  </si>
  <si>
    <t>BULK9502</t>
  </si>
  <si>
    <t>BULK9503</t>
  </si>
  <si>
    <t>BULK9504</t>
  </si>
  <si>
    <t>BULK9505</t>
  </si>
  <si>
    <t>BULK9506</t>
  </si>
  <si>
    <t>BULK9507</t>
  </si>
  <si>
    <t>BULK9508</t>
  </si>
  <si>
    <t>BULK9509</t>
  </si>
  <si>
    <t>BULK9510</t>
  </si>
  <si>
    <t>BULK9511</t>
  </si>
  <si>
    <t>BULK9512</t>
  </si>
  <si>
    <t>BULK9513</t>
  </si>
  <si>
    <t>BULK9514</t>
  </si>
  <si>
    <t>BULK9515</t>
  </si>
  <si>
    <t>BULK9516</t>
  </si>
  <si>
    <t>BULK9517</t>
  </si>
  <si>
    <t>BULK9518</t>
  </si>
  <si>
    <t>BULK9519</t>
  </si>
  <si>
    <t>BULK9520</t>
  </si>
  <si>
    <t>BULK9521</t>
  </si>
  <si>
    <t>BULK9522</t>
  </si>
  <si>
    <t>BULK9523</t>
  </si>
  <si>
    <t>BULK9524</t>
  </si>
  <si>
    <t>BULK9525</t>
  </si>
  <si>
    <t>BULK9526</t>
  </si>
  <si>
    <t>BULK9527</t>
  </si>
  <si>
    <t>BULK9528</t>
  </si>
  <si>
    <t>BULK9529</t>
  </si>
  <si>
    <t>BULK9530</t>
  </si>
  <si>
    <t>BULK9531</t>
  </si>
  <si>
    <t>BULK9532</t>
  </si>
  <si>
    <t>BULK9533</t>
  </si>
  <si>
    <t>BULK9534</t>
  </si>
  <si>
    <t>BULK9535</t>
  </si>
  <si>
    <t>BULK9536</t>
  </si>
  <si>
    <t>BULK9537</t>
  </si>
  <si>
    <t>BULK9538</t>
  </si>
  <si>
    <t>BULK9539</t>
  </si>
  <si>
    <t>BULK9540</t>
  </si>
  <si>
    <t>BULK9541</t>
  </si>
  <si>
    <t>BULK9542</t>
  </si>
  <si>
    <t>BULK9543</t>
  </si>
  <si>
    <t>BULK9544</t>
  </si>
  <si>
    <t>BULK9545</t>
  </si>
  <si>
    <t>BULK9546</t>
  </si>
  <si>
    <t>BULK9547</t>
  </si>
  <si>
    <t>BULK9548</t>
  </si>
  <si>
    <t>BULK9549</t>
  </si>
  <si>
    <t>BULK9550</t>
  </si>
  <si>
    <t>BULK9551</t>
  </si>
  <si>
    <t>BULK9552</t>
  </si>
  <si>
    <t>BULK9553</t>
  </si>
  <si>
    <t>BULK9554</t>
  </si>
  <si>
    <t>BULK9555</t>
  </si>
  <si>
    <t>BULK9556</t>
  </si>
  <si>
    <t>BULK9557</t>
  </si>
  <si>
    <t>BULK9558</t>
  </si>
  <si>
    <t>BULK9559</t>
  </si>
  <si>
    <t>BULK9560</t>
  </si>
  <si>
    <t>BULK9561</t>
  </si>
  <si>
    <t>BULK9562</t>
  </si>
  <si>
    <t>BULK9563</t>
  </si>
  <si>
    <t>BULK9564</t>
  </si>
  <si>
    <t>BULK9565</t>
  </si>
  <si>
    <t>BULK9566</t>
  </si>
  <si>
    <t>BULK9567</t>
  </si>
  <si>
    <t>BULK9568</t>
  </si>
  <si>
    <t>BULK9569</t>
  </si>
  <si>
    <t>BULK9570</t>
  </si>
  <si>
    <t>BULK9571</t>
  </si>
  <si>
    <t>BULK9572</t>
  </si>
  <si>
    <t>BULK9573</t>
  </si>
  <si>
    <t>BULK9574</t>
  </si>
  <si>
    <t>BULK9575</t>
  </si>
  <si>
    <t>BULK9576</t>
  </si>
  <si>
    <t>BULK9577</t>
  </si>
  <si>
    <t>BULK9578</t>
  </si>
  <si>
    <t>BULK9579</t>
  </si>
  <si>
    <t>BULK9580</t>
  </si>
  <si>
    <t>BULK9581</t>
  </si>
  <si>
    <t>BULK9582</t>
  </si>
  <si>
    <t>BULK9583</t>
  </si>
  <si>
    <t>BULK9584</t>
  </si>
  <si>
    <t>BULK9585</t>
  </si>
  <si>
    <t>BULK9586</t>
  </si>
  <si>
    <t>BULK9587</t>
  </si>
  <si>
    <t>BULK9588</t>
  </si>
  <si>
    <t>BULK9589</t>
  </si>
  <si>
    <t>BULK9590</t>
  </si>
  <si>
    <t>BULK9591</t>
  </si>
  <si>
    <t>BULK9592</t>
  </si>
  <si>
    <t>BULK9593</t>
  </si>
  <si>
    <t>BULK9594</t>
  </si>
  <si>
    <t>BULK9595</t>
  </si>
  <si>
    <t>BULK9596</t>
  </si>
  <si>
    <t>BULK9597</t>
  </si>
  <si>
    <t>BULK9598</t>
  </si>
  <si>
    <t>BULK9599</t>
  </si>
  <si>
    <t>BULK9600</t>
  </si>
  <si>
    <t>BULK9601</t>
  </si>
  <si>
    <t>BULK9602</t>
  </si>
  <si>
    <t>BULK9603</t>
  </si>
  <si>
    <t>BULK9604</t>
  </si>
  <si>
    <t>BULK9605</t>
  </si>
  <si>
    <t>BULK9606</t>
  </si>
  <si>
    <t>BULK9607</t>
  </si>
  <si>
    <t>BULK9608</t>
  </si>
  <si>
    <t>BULK9609</t>
  </si>
  <si>
    <t>BULK9610</t>
  </si>
  <si>
    <t>BULK9611</t>
  </si>
  <si>
    <t>BULK9612</t>
  </si>
  <si>
    <t>BULK9613</t>
  </si>
  <si>
    <t>BULK9614</t>
  </si>
  <si>
    <t>BULK9615</t>
  </si>
  <si>
    <t>BULK9616</t>
  </si>
  <si>
    <t>BULK9617</t>
  </si>
  <si>
    <t>BULK9618</t>
  </si>
  <si>
    <t>BULK9619</t>
  </si>
  <si>
    <t>BULK9620</t>
  </si>
  <si>
    <t>BULK9621</t>
  </si>
  <si>
    <t>BULK9622</t>
  </si>
  <si>
    <t>BULK9623</t>
  </si>
  <si>
    <t>BULK9624</t>
  </si>
  <si>
    <t>BULK9625</t>
  </si>
  <si>
    <t>BULK9626</t>
  </si>
  <si>
    <t>BULK9627</t>
  </si>
  <si>
    <t>BULK9628</t>
  </si>
  <si>
    <t>BULK9629</t>
  </si>
  <si>
    <t>BULK9630</t>
  </si>
  <si>
    <t>BULK9631</t>
  </si>
  <si>
    <t>BULK9632</t>
  </si>
  <si>
    <t>BULK9633</t>
  </si>
  <si>
    <t>BULK9634</t>
  </si>
  <si>
    <t>BULK9635</t>
  </si>
  <si>
    <t>BULK9636</t>
  </si>
  <si>
    <t>BULK9637</t>
  </si>
  <si>
    <t>BULK9638</t>
  </si>
  <si>
    <t>BULK9639</t>
  </si>
  <si>
    <t>BULK9640</t>
  </si>
  <si>
    <t>BULK9641</t>
  </si>
  <si>
    <t>BULK9642</t>
  </si>
  <si>
    <t>BULK9643</t>
  </si>
  <si>
    <t>BULK9644</t>
  </si>
  <si>
    <t>BULK9645</t>
  </si>
  <si>
    <t>BULK9646</t>
  </si>
  <si>
    <t>BULK9647</t>
  </si>
  <si>
    <t>BULK9648</t>
  </si>
  <si>
    <t>BULK9649</t>
  </si>
  <si>
    <t>BULK9650</t>
  </si>
  <si>
    <t>BULK9651</t>
  </si>
  <si>
    <t>BULK9652</t>
  </si>
  <si>
    <t>BULK9653</t>
  </si>
  <si>
    <t>BULK9654</t>
  </si>
  <si>
    <t>BULK9655</t>
  </si>
  <si>
    <t>BULK9656</t>
  </si>
  <si>
    <t>BULK9657</t>
  </si>
  <si>
    <t>BULK9658</t>
  </si>
  <si>
    <t>BULK9659</t>
  </si>
  <si>
    <t>BULK9660</t>
  </si>
  <si>
    <t>BULK9661</t>
  </si>
  <si>
    <t>BULK9662</t>
  </si>
  <si>
    <t>BULK9663</t>
  </si>
  <si>
    <t>BULK9664</t>
  </si>
  <si>
    <t>BULK9665</t>
  </si>
  <si>
    <t>BULK9666</t>
  </si>
  <si>
    <t>BULK9667</t>
  </si>
  <si>
    <t>BULK9668</t>
  </si>
  <si>
    <t>BULK9669</t>
  </si>
  <si>
    <t>BULK9670</t>
  </si>
  <si>
    <t>BULK9671</t>
  </si>
  <si>
    <t>BULK9672</t>
  </si>
  <si>
    <t>BULK9673</t>
  </si>
  <si>
    <t>BULK9674</t>
  </si>
  <si>
    <t>BULK9675</t>
  </si>
  <si>
    <t>BULK9676</t>
  </si>
  <si>
    <t>BULK9677</t>
  </si>
  <si>
    <t>BULK9678</t>
  </si>
  <si>
    <t>BULK9679</t>
  </si>
  <si>
    <t>BULK9680</t>
  </si>
  <si>
    <t>BULK9681</t>
  </si>
  <si>
    <t>BULK9682</t>
  </si>
  <si>
    <t>BULK9683</t>
  </si>
  <si>
    <t>BULK9684</t>
  </si>
  <si>
    <t>BULK9685</t>
  </si>
  <si>
    <t>BULK9686</t>
  </si>
  <si>
    <t>BULK9687</t>
  </si>
  <si>
    <t>BULK9688</t>
  </si>
  <si>
    <t>BULK9689</t>
  </si>
  <si>
    <t>BULK9690</t>
  </si>
  <si>
    <t>BULK9691</t>
  </si>
  <si>
    <t>BULK9692</t>
  </si>
  <si>
    <t>BULK9693</t>
  </si>
  <si>
    <t>BULK9694</t>
  </si>
  <si>
    <t>BULK9695</t>
  </si>
  <si>
    <t>BULK9696</t>
  </si>
  <si>
    <t>BULK9697</t>
  </si>
  <si>
    <t>BULK9698</t>
  </si>
  <si>
    <t>BULK9699</t>
  </si>
  <si>
    <t>BULK9700</t>
  </si>
  <si>
    <t>BULK9701</t>
  </si>
  <si>
    <t>BULK9702</t>
  </si>
  <si>
    <t>BULK9703</t>
  </si>
  <si>
    <t>BULK9704</t>
  </si>
  <si>
    <t>BULK9705</t>
  </si>
  <si>
    <t>BULK9706</t>
  </si>
  <si>
    <t>BULK9707</t>
  </si>
  <si>
    <t>BULK9708</t>
  </si>
  <si>
    <t>BULK9709</t>
  </si>
  <si>
    <t>BULK9710</t>
  </si>
  <si>
    <t>BULK9711</t>
  </si>
  <si>
    <t>BULK9712</t>
  </si>
  <si>
    <t>BULK9713</t>
  </si>
  <si>
    <t>BULK9714</t>
  </si>
  <si>
    <t>BULK9715</t>
  </si>
  <si>
    <t>BULK9716</t>
  </si>
  <si>
    <t>BULK9717</t>
  </si>
  <si>
    <t>BULK9718</t>
  </si>
  <si>
    <t>BULK9719</t>
  </si>
  <si>
    <t>BULK9720</t>
  </si>
  <si>
    <t>AH2495</t>
  </si>
  <si>
    <t>TG7776</t>
  </si>
  <si>
    <t>KM622054</t>
  </si>
  <si>
    <t>TG9322</t>
  </si>
  <si>
    <t>TG5179</t>
  </si>
  <si>
    <t>KM175648</t>
  </si>
  <si>
    <t>BYGR2808</t>
  </si>
  <si>
    <t>BYGR8912</t>
  </si>
  <si>
    <t>AH1060</t>
  </si>
  <si>
    <t>TG3942</t>
  </si>
  <si>
    <t>AH2698</t>
  </si>
  <si>
    <t>AH4240</t>
  </si>
  <si>
    <t>KM484489</t>
  </si>
  <si>
    <t>KM327296</t>
  </si>
  <si>
    <t>BYGR5551</t>
  </si>
  <si>
    <t>BYGR6788</t>
  </si>
  <si>
    <t>KM501616</t>
  </si>
  <si>
    <t>AH2695</t>
  </si>
  <si>
    <t>BYGR7999</t>
  </si>
  <si>
    <t>KM995037</t>
  </si>
  <si>
    <t>BYGR6241</t>
  </si>
  <si>
    <t>TG5488</t>
  </si>
  <si>
    <t>BYGR8565</t>
  </si>
  <si>
    <t>KM670319</t>
  </si>
  <si>
    <t>AH8279</t>
  </si>
  <si>
    <t>TG3515</t>
  </si>
  <si>
    <t>TG1898</t>
  </si>
  <si>
    <t>KM306621</t>
  </si>
  <si>
    <t>TG5164</t>
  </si>
  <si>
    <t>TG2930</t>
  </si>
  <si>
    <t>AH8830</t>
  </si>
  <si>
    <t>TG4599</t>
  </si>
  <si>
    <t>AH8704</t>
  </si>
  <si>
    <t>KM448705</t>
  </si>
  <si>
    <t>AH4375</t>
  </si>
  <si>
    <t>BYGR5545</t>
  </si>
  <si>
    <t>TG9341</t>
  </si>
  <si>
    <t>TG7170</t>
  </si>
  <si>
    <t>KM349746</t>
  </si>
  <si>
    <t>TG1793</t>
  </si>
  <si>
    <t>AH1798</t>
  </si>
  <si>
    <t>BYGR7094</t>
  </si>
  <si>
    <t>TG9181</t>
  </si>
  <si>
    <t>KM896406</t>
  </si>
  <si>
    <t>KM338618</t>
  </si>
  <si>
    <t>BYGR8198</t>
  </si>
  <si>
    <t>AH8308</t>
  </si>
  <si>
    <t>KM653799</t>
  </si>
  <si>
    <t>TG6488</t>
  </si>
  <si>
    <t>BYGR7183</t>
  </si>
  <si>
    <t>KM162819</t>
  </si>
  <si>
    <t>TG9440</t>
  </si>
  <si>
    <t>TG8454</t>
  </si>
  <si>
    <t>TG5566</t>
  </si>
  <si>
    <t>KM178638</t>
  </si>
  <si>
    <t>TG5309</t>
  </si>
  <si>
    <t>BYGR6017</t>
  </si>
  <si>
    <t>KM822639</t>
  </si>
  <si>
    <t>BYGR3055</t>
  </si>
  <si>
    <t>TG1170</t>
  </si>
  <si>
    <t>AH7356</t>
  </si>
  <si>
    <t>TG9130</t>
  </si>
  <si>
    <t>BYGR7969</t>
  </si>
  <si>
    <t>AH8087</t>
  </si>
  <si>
    <t>BYGR7192</t>
  </si>
  <si>
    <t>KM386043</t>
  </si>
  <si>
    <t>AH2869</t>
  </si>
  <si>
    <t>AH8134</t>
  </si>
  <si>
    <t>KM423492</t>
  </si>
  <si>
    <t>BYGR2857</t>
  </si>
  <si>
    <t>KM254987</t>
  </si>
  <si>
    <t>BYGR8111</t>
  </si>
  <si>
    <t>AH7570</t>
  </si>
  <si>
    <t>BYGR8626</t>
  </si>
  <si>
    <t>KM186077</t>
  </si>
  <si>
    <t>BYGR8261</t>
  </si>
  <si>
    <t>TG3661</t>
  </si>
  <si>
    <t>KM290208</t>
  </si>
  <si>
    <t>TG6229</t>
  </si>
  <si>
    <t>BYGR6391</t>
  </si>
  <si>
    <t>BYGR7702</t>
  </si>
  <si>
    <t>TG7365</t>
  </si>
  <si>
    <t>KM567172</t>
  </si>
  <si>
    <t>KM533733</t>
  </si>
  <si>
    <t>BYGR7247</t>
  </si>
  <si>
    <t>AH9711</t>
  </si>
  <si>
    <t>BYGR3146</t>
  </si>
  <si>
    <t>KM564126</t>
  </si>
  <si>
    <t>TG8373</t>
  </si>
  <si>
    <t>AH9913</t>
  </si>
  <si>
    <t>BYGR8700</t>
  </si>
  <si>
    <t>BYGR2229</t>
  </si>
  <si>
    <t>KM966213</t>
  </si>
  <si>
    <t>BYGR8340</t>
  </si>
  <si>
    <t>KM591202</t>
  </si>
  <si>
    <t>AH1887</t>
  </si>
  <si>
    <t>AH4222</t>
  </si>
  <si>
    <t>AH3955</t>
  </si>
  <si>
    <t>KM372616</t>
  </si>
  <si>
    <t>KM195708</t>
  </si>
  <si>
    <t>TG4431</t>
  </si>
  <si>
    <t>BYGR8730</t>
  </si>
  <si>
    <t>AH9683</t>
  </si>
  <si>
    <t>KM762403</t>
  </si>
  <si>
    <t>KM516479</t>
  </si>
  <si>
    <t>BYGR9878</t>
  </si>
  <si>
    <t>BYGR5680</t>
  </si>
  <si>
    <t>BYGR5001</t>
  </si>
  <si>
    <t>KM545355</t>
  </si>
  <si>
    <t>BYGR5383</t>
  </si>
  <si>
    <t>TG1674</t>
  </si>
  <si>
    <t>BYGR4151</t>
  </si>
  <si>
    <t>TG6309</t>
  </si>
  <si>
    <t>KM358133</t>
  </si>
  <si>
    <t>AH8664</t>
  </si>
  <si>
    <t>KM786598</t>
  </si>
  <si>
    <t>KM696206</t>
  </si>
  <si>
    <t>KM571209</t>
  </si>
  <si>
    <t>AH2439</t>
  </si>
  <si>
    <t>AH6340</t>
  </si>
  <si>
    <t>TG5176</t>
  </si>
  <si>
    <t>BYGR9825</t>
  </si>
  <si>
    <t>AH1797</t>
  </si>
  <si>
    <t>KM440819</t>
  </si>
  <si>
    <t>AH5308</t>
  </si>
  <si>
    <t>TG6938</t>
  </si>
  <si>
    <t>KM812109</t>
  </si>
  <si>
    <t>BYGR8114</t>
  </si>
  <si>
    <t>KM828939</t>
  </si>
  <si>
    <t>BYGR6131</t>
  </si>
  <si>
    <t>TG4993</t>
  </si>
  <si>
    <t>AH3399</t>
  </si>
  <si>
    <t>KM105459</t>
  </si>
  <si>
    <t>AH1198</t>
  </si>
  <si>
    <t>AH2938</t>
  </si>
  <si>
    <t>TG6455</t>
  </si>
  <si>
    <t>TG8646</t>
  </si>
  <si>
    <t>BYGR4435</t>
  </si>
  <si>
    <t>TG3344</t>
  </si>
  <si>
    <t>BYGR8143</t>
  </si>
  <si>
    <t>TG1808</t>
  </si>
  <si>
    <t>BYGR8698</t>
  </si>
  <si>
    <t>TG7353</t>
  </si>
  <si>
    <t>KM862787</t>
  </si>
  <si>
    <t>AH3637</t>
  </si>
  <si>
    <t>BYGR9194</t>
  </si>
  <si>
    <t>BYGR9250</t>
  </si>
  <si>
    <t>TG5717</t>
  </si>
  <si>
    <t>TG3197</t>
  </si>
  <si>
    <t>AH3867</t>
  </si>
  <si>
    <t>KM308021</t>
  </si>
  <si>
    <t>KM249141</t>
  </si>
  <si>
    <t>AH2526</t>
  </si>
  <si>
    <t>AH7636</t>
  </si>
  <si>
    <t>TG7650</t>
  </si>
  <si>
    <t>AH5623</t>
  </si>
  <si>
    <t>BYGR9884</t>
  </si>
  <si>
    <t>AH2106</t>
  </si>
  <si>
    <t>KM210128</t>
  </si>
  <si>
    <t>BYGR7684</t>
  </si>
  <si>
    <t>BYGR7163</t>
  </si>
  <si>
    <t>AH7109</t>
  </si>
  <si>
    <t>AH4938</t>
  </si>
  <si>
    <t>BYGR9333</t>
  </si>
  <si>
    <t>BYGR7249</t>
  </si>
  <si>
    <t>AH3190</t>
  </si>
  <si>
    <t>TG8029</t>
  </si>
  <si>
    <t>AH2624</t>
  </si>
  <si>
    <t>BYGR1064</t>
  </si>
  <si>
    <t>BYGR5277</t>
  </si>
  <si>
    <t>KM952713</t>
  </si>
  <si>
    <t>TG8906</t>
  </si>
  <si>
    <t>BYGR4961</t>
  </si>
  <si>
    <t>BYGR8057</t>
  </si>
  <si>
    <t>BYGR7545</t>
  </si>
  <si>
    <t>TG7680</t>
  </si>
  <si>
    <t>BYGR1168</t>
  </si>
  <si>
    <t>AH2392</t>
  </si>
  <si>
    <t>KM634807</t>
  </si>
  <si>
    <t>BYGR7676</t>
  </si>
  <si>
    <t>KM170755</t>
  </si>
  <si>
    <t>BYGR1397</t>
  </si>
  <si>
    <t>KM511454</t>
  </si>
  <si>
    <t>KM735361</t>
  </si>
  <si>
    <t>KM993042</t>
  </si>
  <si>
    <t>KM137419</t>
  </si>
  <si>
    <t>TG1476</t>
  </si>
  <si>
    <t>TG1935</t>
  </si>
  <si>
    <t>BYGR8919</t>
  </si>
  <si>
    <t>KM268243</t>
  </si>
  <si>
    <t>BYGR6474</t>
  </si>
  <si>
    <t>BYGR6172</t>
  </si>
  <si>
    <t>AH8338</t>
  </si>
  <si>
    <t>KM806065</t>
  </si>
  <si>
    <t>TG9883</t>
  </si>
  <si>
    <t>TG5553</t>
  </si>
  <si>
    <t>AH5003</t>
  </si>
  <si>
    <t>BYGR1249</t>
  </si>
  <si>
    <t>TG6918</t>
  </si>
  <si>
    <t>BYGR8932</t>
  </si>
  <si>
    <t>TG3260</t>
  </si>
  <si>
    <t>AH9731</t>
  </si>
  <si>
    <t>KM983837</t>
  </si>
  <si>
    <t>BYGR2105</t>
  </si>
  <si>
    <t>AH5295</t>
  </si>
  <si>
    <t>TG9437</t>
  </si>
  <si>
    <t>BYGR6145</t>
  </si>
  <si>
    <t>KM664034</t>
  </si>
  <si>
    <t>KM829729</t>
  </si>
  <si>
    <t>TG2155</t>
  </si>
  <si>
    <t>KM309914</t>
  </si>
  <si>
    <t>AH9080</t>
  </si>
  <si>
    <t>TG6990</t>
  </si>
  <si>
    <t>KM580282</t>
  </si>
  <si>
    <t>AH3838</t>
  </si>
  <si>
    <t>KM474347</t>
  </si>
  <si>
    <t>KM787864</t>
  </si>
  <si>
    <t>AH4054</t>
  </si>
  <si>
    <t>AH1024</t>
  </si>
  <si>
    <t>BYGR5228</t>
  </si>
  <si>
    <t>KM574214</t>
  </si>
  <si>
    <t>BYGR4152</t>
  </si>
  <si>
    <t>KM719940</t>
  </si>
  <si>
    <t>KM959742</t>
  </si>
  <si>
    <t>AH5323</t>
  </si>
  <si>
    <t>TG7585</t>
  </si>
  <si>
    <t>BYGR9943</t>
  </si>
  <si>
    <t>TG7539</t>
  </si>
  <si>
    <t>BYGR1214</t>
  </si>
  <si>
    <t>KM128134</t>
  </si>
  <si>
    <t>TG4570</t>
  </si>
  <si>
    <t>KM591796</t>
  </si>
  <si>
    <t>AH9048</t>
  </si>
  <si>
    <t>KM588498</t>
  </si>
  <si>
    <t>BYGR6383</t>
  </si>
  <si>
    <t>KM889794</t>
  </si>
  <si>
    <t>AH3770</t>
  </si>
  <si>
    <t>BYGR7160</t>
  </si>
  <si>
    <t>BYGR9483</t>
  </si>
  <si>
    <t>AH3545</t>
  </si>
  <si>
    <t>BYGR4655</t>
  </si>
  <si>
    <t>BYGR1120</t>
  </si>
  <si>
    <t>KM178679</t>
  </si>
  <si>
    <t>TG6231</t>
  </si>
  <si>
    <t>AH2556</t>
  </si>
  <si>
    <t>BYGR7483</t>
  </si>
  <si>
    <t>KM881806</t>
  </si>
  <si>
    <t>AH4420</t>
  </si>
  <si>
    <t>KM351831</t>
  </si>
  <si>
    <t>KM574531</t>
  </si>
  <si>
    <t>TG8165</t>
  </si>
  <si>
    <t>BYGR6760</t>
  </si>
  <si>
    <t>BYGR1316</t>
  </si>
  <si>
    <t>KM234396</t>
  </si>
  <si>
    <t>BYGR3712</t>
  </si>
  <si>
    <t>AH8672</t>
  </si>
  <si>
    <t>BYGR7540</t>
  </si>
  <si>
    <t>TG7823</t>
  </si>
  <si>
    <t>AH6161</t>
  </si>
  <si>
    <t>TG1090</t>
  </si>
  <si>
    <t>KM368074</t>
  </si>
  <si>
    <t>KM536450</t>
  </si>
  <si>
    <t>TG1502</t>
  </si>
  <si>
    <t>TG8574</t>
  </si>
  <si>
    <t>KM6450</t>
  </si>
  <si>
    <t>KM5413</t>
  </si>
  <si>
    <t>KM8554</t>
  </si>
  <si>
    <t>KM6791</t>
  </si>
  <si>
    <t>AH5282</t>
  </si>
  <si>
    <t>AH2959</t>
  </si>
  <si>
    <t>BYGR3049</t>
  </si>
  <si>
    <t>AH2648</t>
  </si>
  <si>
    <t>AH7944</t>
  </si>
  <si>
    <t>KM4436</t>
  </si>
  <si>
    <t>TG3205</t>
  </si>
  <si>
    <t>BYGR3975</t>
  </si>
  <si>
    <t>KM8806</t>
  </si>
  <si>
    <t>BYGR6625</t>
  </si>
  <si>
    <t>KM1853</t>
  </si>
  <si>
    <t>BYGR4051</t>
  </si>
  <si>
    <t>TG5752</t>
  </si>
  <si>
    <t>AH1559</t>
  </si>
  <si>
    <t>AH3141</t>
  </si>
  <si>
    <t>AH8390</t>
  </si>
  <si>
    <t>BYGR1851</t>
  </si>
  <si>
    <t>AH5380</t>
  </si>
  <si>
    <t>AH8668</t>
  </si>
  <si>
    <t>KM6104</t>
  </si>
  <si>
    <t>AH5492</t>
  </si>
  <si>
    <t>KM8266</t>
  </si>
  <si>
    <t>KM8330</t>
  </si>
  <si>
    <t>KM7938</t>
  </si>
  <si>
    <t>KM4486</t>
  </si>
  <si>
    <t>KM4072</t>
  </si>
  <si>
    <t>KM5175</t>
  </si>
  <si>
    <t>TG9053</t>
  </si>
  <si>
    <t>AH4719</t>
  </si>
  <si>
    <t>AH4324</t>
  </si>
  <si>
    <t>BYGR8449</t>
  </si>
  <si>
    <t>BYGR2460</t>
  </si>
  <si>
    <t>KM5976</t>
  </si>
  <si>
    <t>AH9580</t>
  </si>
  <si>
    <t>BYGR7241</t>
  </si>
  <si>
    <t>BYGR6449</t>
  </si>
  <si>
    <t>AH7238</t>
  </si>
  <si>
    <t>BYGR5777</t>
  </si>
  <si>
    <t>KM3878</t>
  </si>
  <si>
    <t>BYGR1364</t>
  </si>
  <si>
    <t>BYGR6750</t>
  </si>
  <si>
    <t>AH1232</t>
  </si>
  <si>
    <t>TG1876</t>
  </si>
  <si>
    <t>KM9434</t>
  </si>
  <si>
    <t>AH6560</t>
  </si>
  <si>
    <t>TG3048</t>
  </si>
  <si>
    <t>BYGR8041</t>
  </si>
  <si>
    <t>AH2604</t>
  </si>
  <si>
    <t>KM7413</t>
  </si>
  <si>
    <t>TG7943</t>
  </si>
  <si>
    <t>KM6567</t>
  </si>
  <si>
    <t>TG3645</t>
  </si>
  <si>
    <t>BYGR4756</t>
  </si>
  <si>
    <t>TG9554</t>
  </si>
  <si>
    <t>BYGR1126</t>
  </si>
  <si>
    <t>TG4030</t>
  </si>
  <si>
    <t>TG1536</t>
  </si>
  <si>
    <t>TG2990</t>
  </si>
  <si>
    <t>KM6182</t>
  </si>
  <si>
    <t>KM8186</t>
  </si>
  <si>
    <t>KM5873</t>
  </si>
  <si>
    <t>TG4310</t>
  </si>
  <si>
    <t>TG7612</t>
  </si>
  <si>
    <t>TG7852</t>
  </si>
  <si>
    <t>TG6619</t>
  </si>
  <si>
    <t>AH8368</t>
  </si>
  <si>
    <t>TG8184</t>
  </si>
  <si>
    <t>KM3969</t>
  </si>
  <si>
    <t>AH9378</t>
  </si>
  <si>
    <t>AH7122</t>
  </si>
  <si>
    <t>KM9363</t>
  </si>
  <si>
    <t>BYGR1338</t>
  </si>
  <si>
    <t>TG9044</t>
  </si>
  <si>
    <t>TG2500</t>
  </si>
  <si>
    <t>TG1130</t>
  </si>
  <si>
    <t>TG9502</t>
  </si>
  <si>
    <t>BYGR1271</t>
  </si>
  <si>
    <t>BYGR8832</t>
  </si>
  <si>
    <t>KM9202</t>
  </si>
  <si>
    <t>BYGR7402</t>
  </si>
  <si>
    <t>KM9194</t>
  </si>
  <si>
    <t>TG7881</t>
  </si>
  <si>
    <t>BYGR9228</t>
  </si>
  <si>
    <t>AH5311</t>
  </si>
  <si>
    <t>AH3808</t>
  </si>
  <si>
    <t>TG6343</t>
  </si>
  <si>
    <t>BYGR2435</t>
  </si>
  <si>
    <t>BYGR3752</t>
  </si>
  <si>
    <t>BYGR8813</t>
  </si>
  <si>
    <t>AH8027</t>
  </si>
  <si>
    <t>BYGR2682</t>
  </si>
  <si>
    <t>TG2607</t>
  </si>
  <si>
    <t>KM5473</t>
  </si>
  <si>
    <t>AH6109</t>
  </si>
  <si>
    <t>AH3043</t>
  </si>
  <si>
    <t>KM7047</t>
  </si>
  <si>
    <t>BYGR9619</t>
  </si>
  <si>
    <t>TG9442</t>
  </si>
  <si>
    <t>TG2560</t>
  </si>
  <si>
    <t>TG3920</t>
  </si>
  <si>
    <t>AH9595</t>
  </si>
  <si>
    <t>AH2394</t>
  </si>
  <si>
    <t>TG1374</t>
  </si>
  <si>
    <t>KM5356</t>
  </si>
  <si>
    <t>AH7276</t>
  </si>
  <si>
    <t>AH3203</t>
  </si>
  <si>
    <t>BYGR6178</t>
  </si>
  <si>
    <t>KM7638</t>
  </si>
  <si>
    <t>AH7812</t>
  </si>
  <si>
    <t>BYGR5440</t>
  </si>
  <si>
    <t>KM1574</t>
  </si>
  <si>
    <t>KM5114</t>
  </si>
  <si>
    <t>BYGR3875</t>
  </si>
  <si>
    <t>KM7471</t>
  </si>
  <si>
    <t>BYGR7570</t>
  </si>
  <si>
    <t>TG1963</t>
  </si>
  <si>
    <t>KM2286</t>
  </si>
  <si>
    <t>AH7284</t>
  </si>
  <si>
    <t>BYGR7807</t>
  </si>
  <si>
    <t>AH9853</t>
  </si>
  <si>
    <t>TG7780</t>
  </si>
  <si>
    <t>KM1072</t>
  </si>
  <si>
    <t>KM9533</t>
  </si>
  <si>
    <t>BYGR4374</t>
  </si>
  <si>
    <t>BYGR9555</t>
  </si>
  <si>
    <t>KM6782</t>
  </si>
  <si>
    <t>KM6435</t>
  </si>
  <si>
    <t>AH8693</t>
  </si>
  <si>
    <t>TG5259</t>
  </si>
  <si>
    <t>BYGR8179</t>
  </si>
  <si>
    <t>AH7525</t>
  </si>
  <si>
    <t>BYGR2382</t>
  </si>
  <si>
    <t>AH5481</t>
  </si>
  <si>
    <t>KM5268</t>
  </si>
  <si>
    <t>AH4493</t>
  </si>
  <si>
    <t>BYGR3279</t>
  </si>
  <si>
    <t>AH4456</t>
  </si>
  <si>
    <t>TG9964</t>
  </si>
  <si>
    <t>BYGR9569</t>
  </si>
  <si>
    <t>KM5583</t>
  </si>
  <si>
    <t>AH1038</t>
  </si>
  <si>
    <t>KM8003</t>
  </si>
  <si>
    <t>KM9894</t>
  </si>
  <si>
    <t>TG9505</t>
  </si>
  <si>
    <t>KM1226</t>
  </si>
  <si>
    <t>KM3563</t>
  </si>
  <si>
    <t>BYGR6997</t>
  </si>
  <si>
    <t>BYGR1830</t>
  </si>
  <si>
    <t>TG3125</t>
  </si>
  <si>
    <t>TG3757</t>
  </si>
  <si>
    <t>TG8462</t>
  </si>
  <si>
    <t>KM5998</t>
  </si>
  <si>
    <t>TG6560</t>
  </si>
  <si>
    <t>AH4959</t>
  </si>
  <si>
    <t>KM7304</t>
  </si>
  <si>
    <t>TG2517</t>
  </si>
  <si>
    <t>BYGR9535</t>
  </si>
  <si>
    <t>BYGR6774</t>
  </si>
  <si>
    <t>KM8264</t>
  </si>
  <si>
    <t>BYGR8239</t>
  </si>
  <si>
    <t>TG6110</t>
  </si>
  <si>
    <t>KM6108</t>
  </si>
  <si>
    <t>BYGR7788</t>
  </si>
  <si>
    <t>KM1587</t>
  </si>
  <si>
    <t>BYGR3326</t>
  </si>
  <si>
    <t>KM7344</t>
  </si>
  <si>
    <t>AH8568</t>
  </si>
  <si>
    <t>KM6661</t>
  </si>
  <si>
    <t>TG6075</t>
  </si>
  <si>
    <t>BYGR2762</t>
  </si>
  <si>
    <t>BYGR6154</t>
  </si>
  <si>
    <t>AH1727</t>
  </si>
  <si>
    <t>KM4740</t>
  </si>
  <si>
    <t>TG5005</t>
  </si>
  <si>
    <t>AH1340</t>
  </si>
  <si>
    <t>AH2356</t>
  </si>
  <si>
    <t>AH9365</t>
  </si>
  <si>
    <t>BYGR4808</t>
  </si>
  <si>
    <t>BYGR4155</t>
  </si>
  <si>
    <t>TG8980</t>
  </si>
  <si>
    <t>BYGR3120</t>
  </si>
  <si>
    <t>BYGR2635</t>
  </si>
  <si>
    <t>AH3011</t>
  </si>
  <si>
    <t>TG6744</t>
  </si>
  <si>
    <t>BYGR5009</t>
  </si>
  <si>
    <t>BYGR6619</t>
  </si>
  <si>
    <t>KM2439</t>
  </si>
  <si>
    <t>BYGR7652</t>
  </si>
  <si>
    <t>TG2140</t>
  </si>
  <si>
    <t>TG1882</t>
  </si>
  <si>
    <t>BYGR7068</t>
  </si>
  <si>
    <t>TG4935</t>
  </si>
  <si>
    <t>TG4637</t>
  </si>
  <si>
    <t>BYGR3841</t>
  </si>
  <si>
    <t>TG9448</t>
  </si>
  <si>
    <t>TG6409</t>
  </si>
  <si>
    <t>TG3555</t>
  </si>
  <si>
    <t>TG2556</t>
  </si>
  <si>
    <t>KM7555</t>
  </si>
  <si>
    <t>TG8016</t>
  </si>
  <si>
    <t>KM6951</t>
  </si>
  <si>
    <t>AH9389</t>
  </si>
  <si>
    <t>TG4607</t>
  </si>
  <si>
    <t>KM2378</t>
  </si>
  <si>
    <t>AH4893</t>
  </si>
  <si>
    <t>KM1539</t>
  </si>
  <si>
    <t>BYGR4748</t>
  </si>
  <si>
    <t>AH9931</t>
  </si>
  <si>
    <t>BYGR5063</t>
  </si>
  <si>
    <t>KM5402</t>
  </si>
  <si>
    <t>AH6243</t>
  </si>
  <si>
    <t>AH6690</t>
  </si>
  <si>
    <t>AH9682</t>
  </si>
  <si>
    <t>KM2696</t>
  </si>
  <si>
    <t>TG2757</t>
  </si>
  <si>
    <t>BYGR3743</t>
  </si>
  <si>
    <t>BYGR1882</t>
  </si>
  <si>
    <t>TG7976</t>
  </si>
  <si>
    <t>KM9148</t>
  </si>
  <si>
    <t>BYGR3787</t>
  </si>
  <si>
    <t>BYGR4674</t>
  </si>
  <si>
    <t>BYGR4786</t>
  </si>
  <si>
    <t>BYGR2132</t>
  </si>
  <si>
    <t>TG1614</t>
  </si>
  <si>
    <t>BYGR4075</t>
  </si>
  <si>
    <t>BYGR4832</t>
  </si>
  <si>
    <t>KM4109</t>
  </si>
  <si>
    <t>TG8214</t>
  </si>
  <si>
    <t>TG4722</t>
  </si>
  <si>
    <t>BYGR2104</t>
  </si>
  <si>
    <t>BYGR2363</t>
  </si>
  <si>
    <t>KM7033</t>
  </si>
  <si>
    <t>TG8032</t>
  </si>
  <si>
    <t>KM2481</t>
  </si>
  <si>
    <t>AH8951</t>
  </si>
  <si>
    <t>TG7043</t>
  </si>
  <si>
    <t>KM9643</t>
  </si>
  <si>
    <t>KM7361</t>
  </si>
  <si>
    <t>BYGR8162</t>
  </si>
  <si>
    <t>BYGR2518</t>
  </si>
  <si>
    <t>AH4849</t>
  </si>
  <si>
    <t>KM9751</t>
  </si>
  <si>
    <t>TG8817</t>
  </si>
  <si>
    <t>KM4676</t>
  </si>
  <si>
    <t>TG6166</t>
  </si>
  <si>
    <t>KM5370</t>
  </si>
  <si>
    <t>TG8240</t>
  </si>
  <si>
    <t>TG1679</t>
  </si>
  <si>
    <t>BYGR4644</t>
  </si>
  <si>
    <t>AH3761</t>
  </si>
  <si>
    <t>KM4606</t>
  </si>
  <si>
    <t>KM2200</t>
  </si>
  <si>
    <t>AH7219</t>
  </si>
  <si>
    <t>AH5545</t>
  </si>
  <si>
    <t>BYGR8178</t>
  </si>
  <si>
    <t>TG3242</t>
  </si>
  <si>
    <t>AH5390</t>
  </si>
  <si>
    <t>BYGR8374</t>
  </si>
  <si>
    <t>KM7773</t>
  </si>
  <si>
    <t>BYGR4719</t>
  </si>
  <si>
    <t>BYGR7079</t>
  </si>
  <si>
    <t>TG7239</t>
  </si>
  <si>
    <t>BYGR2892</t>
  </si>
  <si>
    <t>AH3972</t>
  </si>
  <si>
    <t>AH6944</t>
  </si>
  <si>
    <t>KM8485</t>
  </si>
  <si>
    <t>KM8957</t>
  </si>
  <si>
    <t>TG9960</t>
  </si>
  <si>
    <t>TG9092</t>
  </si>
  <si>
    <t>AH2474</t>
  </si>
  <si>
    <t>TG1991</t>
  </si>
  <si>
    <t>AH4521</t>
  </si>
  <si>
    <t>KM6780</t>
  </si>
  <si>
    <t>BYGR4716</t>
  </si>
  <si>
    <t>KM8086</t>
  </si>
  <si>
    <t>KM4255</t>
  </si>
  <si>
    <t>BYGR7582</t>
  </si>
  <si>
    <t>BYGR2257</t>
  </si>
  <si>
    <t>TG7034</t>
  </si>
  <si>
    <t>BYGR8972</t>
  </si>
  <si>
    <t>AH8587</t>
  </si>
  <si>
    <t>AH8542</t>
  </si>
  <si>
    <t>AH4318</t>
  </si>
  <si>
    <t>TG7094</t>
  </si>
  <si>
    <t>KM7587</t>
  </si>
  <si>
    <t>KM6509</t>
  </si>
  <si>
    <t>KM7263</t>
  </si>
  <si>
    <t>KM5482</t>
  </si>
  <si>
    <t>KM7531</t>
  </si>
  <si>
    <t>KM6850</t>
  </si>
  <si>
    <t>BYGR8678</t>
  </si>
  <si>
    <t>BYGR7771</t>
  </si>
  <si>
    <t>KM4791</t>
  </si>
  <si>
    <t>AH2504</t>
  </si>
  <si>
    <t>BYGR5322</t>
  </si>
  <si>
    <t>AH8538</t>
  </si>
  <si>
    <t>BYGR5891</t>
  </si>
  <si>
    <t>TG7305</t>
  </si>
  <si>
    <t>TG6552</t>
  </si>
  <si>
    <t>KM3672</t>
  </si>
  <si>
    <t>AH7009</t>
  </si>
  <si>
    <t>AH2625</t>
  </si>
  <si>
    <t>TG6558</t>
  </si>
  <si>
    <t>AH9848</t>
  </si>
  <si>
    <t>KM2015</t>
  </si>
  <si>
    <t>AH7928</t>
  </si>
  <si>
    <t>BYGR2895</t>
  </si>
  <si>
    <t>KM1807</t>
  </si>
  <si>
    <t>AH4847</t>
  </si>
  <si>
    <t>AH5266</t>
  </si>
  <si>
    <t>KM3671</t>
  </si>
  <si>
    <t>BYGR9970</t>
  </si>
  <si>
    <t>TG3931</t>
  </si>
  <si>
    <t>BYGR2048</t>
  </si>
  <si>
    <t>TG7197</t>
  </si>
  <si>
    <t>AH6877</t>
  </si>
  <si>
    <t>BYGR1464</t>
  </si>
  <si>
    <t>KM4982</t>
  </si>
  <si>
    <t>TG3965</t>
  </si>
  <si>
    <t>AH1931</t>
  </si>
  <si>
    <t>TG1277</t>
  </si>
  <si>
    <t>KM5282</t>
  </si>
  <si>
    <t>BYGR9497</t>
  </si>
  <si>
    <t>TG5042</t>
  </si>
  <si>
    <t>BYGR8845</t>
  </si>
  <si>
    <t>KM9376</t>
  </si>
  <si>
    <t>BYGR4809</t>
  </si>
  <si>
    <t>TG1279</t>
  </si>
  <si>
    <t>BYGR5535</t>
  </si>
  <si>
    <t>AH6581</t>
  </si>
  <si>
    <t>TG8940</t>
  </si>
  <si>
    <t>AH7394</t>
  </si>
  <si>
    <t>TG8754</t>
  </si>
  <si>
    <t>TG8493</t>
  </si>
  <si>
    <t>KM8269</t>
  </si>
  <si>
    <t>KM8977</t>
  </si>
  <si>
    <t>AH2802</t>
  </si>
  <si>
    <t>BYGR4957</t>
  </si>
  <si>
    <t>TG6599</t>
  </si>
  <si>
    <t>BYGR9989</t>
  </si>
  <si>
    <t>KM7360</t>
  </si>
  <si>
    <t>BYGR2539</t>
  </si>
  <si>
    <t>AH6275</t>
  </si>
  <si>
    <t>AH3155</t>
  </si>
  <si>
    <t>BYGR3645</t>
  </si>
  <si>
    <t>KM2184</t>
  </si>
  <si>
    <t>BYGR7748</t>
  </si>
  <si>
    <t>BYGR9456</t>
  </si>
  <si>
    <t>AH6515</t>
  </si>
  <si>
    <t>KM4567</t>
  </si>
  <si>
    <t>AH3999</t>
  </si>
  <si>
    <t>BYGR2342</t>
  </si>
  <si>
    <t>TG6911</t>
  </si>
  <si>
    <t>BYGR2784</t>
  </si>
  <si>
    <t>TG7219</t>
  </si>
  <si>
    <t>AH2366</t>
  </si>
  <si>
    <t>AH6014</t>
  </si>
  <si>
    <t>BYGR1681</t>
  </si>
  <si>
    <t>BYGR7772</t>
  </si>
  <si>
    <t>KM6622</t>
  </si>
  <si>
    <t>KM1220</t>
  </si>
  <si>
    <t>TG3068</t>
  </si>
  <si>
    <t>AH7297</t>
  </si>
  <si>
    <t>KM1066</t>
  </si>
  <si>
    <t>BYGR1198</t>
  </si>
  <si>
    <t>BYGR5588</t>
  </si>
  <si>
    <t>KM8099</t>
  </si>
  <si>
    <t>BYGR2167</t>
  </si>
  <si>
    <t>TG1913</t>
  </si>
  <si>
    <t>BYGR5661</t>
  </si>
  <si>
    <t>BYGR4829</t>
  </si>
  <si>
    <t>TG3212</t>
  </si>
  <si>
    <t>TG3939</t>
  </si>
  <si>
    <t>AH5797</t>
  </si>
  <si>
    <t>KM8265</t>
  </si>
  <si>
    <t>BYGR5435</t>
  </si>
  <si>
    <t>KM2505</t>
  </si>
  <si>
    <t>BYGR8509</t>
  </si>
  <si>
    <t>BYGR8450</t>
  </si>
  <si>
    <t>KM3741</t>
  </si>
  <si>
    <t>KM1145</t>
  </si>
  <si>
    <t>AH4199</t>
  </si>
  <si>
    <t>AH8995</t>
  </si>
  <si>
    <t>BYGR4830</t>
  </si>
  <si>
    <t>BYGR7996</t>
  </si>
  <si>
    <t>BYGR1585</t>
  </si>
  <si>
    <t>KM1001</t>
  </si>
  <si>
    <t>BYGR6398</t>
  </si>
  <si>
    <t>BYGR5943</t>
  </si>
  <si>
    <t>BYGR4114</t>
  </si>
  <si>
    <t>KM5078</t>
  </si>
  <si>
    <t>AH8382</t>
  </si>
  <si>
    <t>AH5704</t>
  </si>
  <si>
    <t>AH4001</t>
  </si>
  <si>
    <t>KM1156</t>
  </si>
  <si>
    <t>AH5626</t>
  </si>
  <si>
    <t>AH9096</t>
  </si>
  <si>
    <t>KM7704</t>
  </si>
  <si>
    <t>BYGR8328</t>
  </si>
  <si>
    <t>KM4661</t>
  </si>
  <si>
    <t>BYGR8489</t>
  </si>
  <si>
    <t>BYGR6190</t>
  </si>
  <si>
    <t>AH1534</t>
  </si>
  <si>
    <t>KM1363</t>
  </si>
  <si>
    <t>KM3244</t>
  </si>
  <si>
    <t>BYGR1739</t>
  </si>
  <si>
    <t>KM9669</t>
  </si>
  <si>
    <t>AH9433</t>
  </si>
  <si>
    <t>AH1755</t>
  </si>
  <si>
    <t>AH2917</t>
  </si>
  <si>
    <t>KM9534</t>
  </si>
  <si>
    <t>BYGR4381</t>
  </si>
  <si>
    <t>KM2131</t>
  </si>
  <si>
    <t>BYGR4044</t>
  </si>
  <si>
    <t>KM9446</t>
  </si>
  <si>
    <t>AH5314</t>
  </si>
  <si>
    <t>AH8688</t>
  </si>
  <si>
    <t>KM3883</t>
  </si>
  <si>
    <t>TG3569</t>
  </si>
  <si>
    <t>BYGR9417</t>
  </si>
  <si>
    <t>AH3415</t>
  </si>
  <si>
    <t>AH5567</t>
  </si>
  <si>
    <t>TG6580</t>
  </si>
  <si>
    <t>TG6588</t>
  </si>
  <si>
    <t>TG5428</t>
  </si>
  <si>
    <t>BYGR8674</t>
  </si>
  <si>
    <t>BYGR8572</t>
  </si>
  <si>
    <t>KM8338</t>
  </si>
  <si>
    <t>AH5025</t>
  </si>
  <si>
    <t>KM2407</t>
  </si>
  <si>
    <t>KM5052</t>
  </si>
  <si>
    <t>BYGR3376</t>
  </si>
  <si>
    <t>TG7117</t>
  </si>
  <si>
    <t>KM9720</t>
  </si>
  <si>
    <t>AH2099</t>
  </si>
  <si>
    <t>KM1678</t>
  </si>
  <si>
    <t>BYGR3436</t>
  </si>
  <si>
    <t>AH4382</t>
  </si>
  <si>
    <t>TG6315</t>
  </si>
  <si>
    <t>BYGR8857</t>
  </si>
  <si>
    <t>BYGR4209</t>
  </si>
  <si>
    <t>AH1687</t>
  </si>
  <si>
    <t>TG3817</t>
  </si>
  <si>
    <t>AH2036</t>
  </si>
  <si>
    <t>KM8746</t>
  </si>
  <si>
    <t>TG6676</t>
  </si>
  <si>
    <t>BYGR9240</t>
  </si>
  <si>
    <t>BYGR9278</t>
  </si>
  <si>
    <t>AH4933</t>
  </si>
  <si>
    <t>BYGR5732</t>
  </si>
  <si>
    <t>AH5042</t>
  </si>
  <si>
    <t>TG3824</t>
  </si>
  <si>
    <t>BYGR6820</t>
  </si>
  <si>
    <t>KM9399</t>
  </si>
  <si>
    <t>BYGR9391</t>
  </si>
  <si>
    <t>AH8532</t>
  </si>
  <si>
    <t>BYGR4673</t>
  </si>
  <si>
    <t>TG3970</t>
  </si>
  <si>
    <t>TG3251</t>
  </si>
  <si>
    <t>KM6077</t>
  </si>
  <si>
    <t>KM9014</t>
  </si>
  <si>
    <t>TG4787</t>
  </si>
  <si>
    <t>KM4259</t>
  </si>
  <si>
    <t>AH6795</t>
  </si>
  <si>
    <t>AH9793</t>
  </si>
  <si>
    <t>KM7073</t>
  </si>
  <si>
    <t>BYGR9697</t>
  </si>
  <si>
    <t>BYGR7533</t>
  </si>
  <si>
    <t>TG7713</t>
  </si>
  <si>
    <t>KM8456</t>
  </si>
  <si>
    <t>BYGR2164</t>
  </si>
  <si>
    <t>AH9874</t>
  </si>
  <si>
    <t>BYGR3032</t>
  </si>
  <si>
    <t>BYGR5920</t>
  </si>
  <si>
    <t>TG9113</t>
  </si>
  <si>
    <t>TG8856</t>
  </si>
  <si>
    <t>KM1752</t>
  </si>
  <si>
    <t>BYGR5869</t>
  </si>
  <si>
    <t>TG1250</t>
  </si>
  <si>
    <t>TG9895</t>
  </si>
  <si>
    <t>TG6249</t>
  </si>
  <si>
    <t>AH2416</t>
  </si>
  <si>
    <t>TG1075</t>
  </si>
  <si>
    <t>AH7363</t>
  </si>
  <si>
    <t>TG4457</t>
  </si>
  <si>
    <t>BYGR3017</t>
  </si>
  <si>
    <t>TG8027</t>
  </si>
  <si>
    <t>KM2550</t>
  </si>
  <si>
    <t>KM6660</t>
  </si>
  <si>
    <t>KM6559</t>
  </si>
  <si>
    <t>BYGR8799</t>
  </si>
  <si>
    <t>BYGR8906</t>
  </si>
  <si>
    <t>AH2672</t>
  </si>
  <si>
    <t>KM4782</t>
  </si>
  <si>
    <t>AH9529</t>
  </si>
  <si>
    <t>KM6085</t>
  </si>
  <si>
    <t>TG4237</t>
  </si>
  <si>
    <t>TG8095</t>
  </si>
  <si>
    <t>TG9712</t>
  </si>
  <si>
    <t>KM1769</t>
  </si>
  <si>
    <t>TG8450</t>
  </si>
  <si>
    <t>AH8637</t>
  </si>
  <si>
    <t>AH7404</t>
  </si>
  <si>
    <t>KM5581</t>
  </si>
  <si>
    <t>BYGR7523</t>
  </si>
  <si>
    <t>AH4110</t>
  </si>
  <si>
    <t>AH6578</t>
  </si>
  <si>
    <t>AH1711</t>
  </si>
  <si>
    <t>BYGR2823</t>
  </si>
  <si>
    <t>KM8490</t>
  </si>
  <si>
    <t>BYGR2569</t>
  </si>
  <si>
    <t>TG2721</t>
  </si>
  <si>
    <t>KM3242</t>
  </si>
  <si>
    <t>AH8420</t>
  </si>
  <si>
    <t>AH9587</t>
  </si>
  <si>
    <t>AH8595</t>
  </si>
  <si>
    <t>BYGR8903</t>
  </si>
  <si>
    <t>TG5070</t>
  </si>
  <si>
    <t>BYGR8574</t>
  </si>
  <si>
    <t>BYGR6008</t>
  </si>
  <si>
    <t>KM9183</t>
  </si>
  <si>
    <t>BYGR4385</t>
  </si>
  <si>
    <t>AH2963</t>
  </si>
  <si>
    <t>BYGR5607</t>
  </si>
  <si>
    <t>KM5647</t>
  </si>
  <si>
    <t>TG1877</t>
  </si>
  <si>
    <t>KM9226</t>
  </si>
  <si>
    <t>AH4384</t>
  </si>
  <si>
    <t>BYGR9071</t>
  </si>
  <si>
    <t>KM2721</t>
  </si>
  <si>
    <t>KM7592</t>
  </si>
  <si>
    <t>KM1597</t>
  </si>
  <si>
    <t>BYGR9419</t>
  </si>
  <si>
    <t>KM4273</t>
  </si>
  <si>
    <t>BYGR5798</t>
  </si>
  <si>
    <t>TG3098</t>
  </si>
  <si>
    <t>AH1550</t>
  </si>
  <si>
    <t>TG4301</t>
  </si>
  <si>
    <t>TG9791</t>
  </si>
  <si>
    <t>AH3196</t>
  </si>
  <si>
    <t>AH2231</t>
  </si>
  <si>
    <t>KM2308</t>
  </si>
  <si>
    <t>AH1669</t>
  </si>
  <si>
    <t>TG1104</t>
  </si>
  <si>
    <t>BYGR8378</t>
  </si>
  <si>
    <t>KM2667</t>
  </si>
  <si>
    <t>AH3440</t>
  </si>
  <si>
    <t>TG4262</t>
  </si>
  <si>
    <t>AH2689</t>
  </si>
  <si>
    <t>AH3001</t>
  </si>
  <si>
    <t>TG9974</t>
  </si>
  <si>
    <t>TG7458</t>
  </si>
  <si>
    <t>BYGR8382</t>
  </si>
  <si>
    <t>BYGR4377</t>
  </si>
  <si>
    <t>TG1788</t>
  </si>
  <si>
    <t>KM5240</t>
  </si>
  <si>
    <t>KM3070</t>
  </si>
  <si>
    <t>KM5922</t>
  </si>
  <si>
    <t>BYGR5491</t>
  </si>
  <si>
    <t>AH8849</t>
  </si>
  <si>
    <t>BYGR6773</t>
  </si>
  <si>
    <t>BYGR1869</t>
  </si>
  <si>
    <t>AH9297</t>
  </si>
  <si>
    <t>TG9333</t>
  </si>
  <si>
    <t>TG8631</t>
  </si>
  <si>
    <t>BYGR3296</t>
  </si>
  <si>
    <t>KM4126</t>
  </si>
  <si>
    <t>AH7722</t>
  </si>
  <si>
    <t>KM4229</t>
  </si>
  <si>
    <t>KM8999</t>
  </si>
  <si>
    <t>BYGR5243</t>
  </si>
  <si>
    <t>AH2725</t>
  </si>
  <si>
    <t>TG5616</t>
  </si>
  <si>
    <t>BYGR7766</t>
  </si>
  <si>
    <t>TG9515</t>
  </si>
  <si>
    <t>KM4003</t>
  </si>
  <si>
    <t>AH1973</t>
  </si>
  <si>
    <t>BYGR6873</t>
  </si>
  <si>
    <t>KM6931</t>
  </si>
  <si>
    <t>AH7981</t>
  </si>
  <si>
    <t>TG4873</t>
  </si>
  <si>
    <t>KM5287</t>
  </si>
  <si>
    <t>BYGR6192</t>
  </si>
  <si>
    <t>TG2754</t>
  </si>
  <si>
    <t>AH3377</t>
  </si>
  <si>
    <t>TG4574</t>
  </si>
  <si>
    <t>KM5893</t>
  </si>
  <si>
    <t>TG1680</t>
  </si>
  <si>
    <t>TG9027</t>
  </si>
  <si>
    <t>KM4258</t>
  </si>
  <si>
    <t>AH2690</t>
  </si>
  <si>
    <t>BYGR4747</t>
  </si>
  <si>
    <t>AH7131</t>
  </si>
  <si>
    <t>AH9768</t>
  </si>
  <si>
    <t>BYGR7411</t>
  </si>
  <si>
    <t>AH6121</t>
  </si>
  <si>
    <t>AH1045</t>
  </si>
  <si>
    <t>KM3108</t>
  </si>
  <si>
    <t>TG7963</t>
  </si>
  <si>
    <t>TG2578</t>
  </si>
  <si>
    <t>KM1667</t>
  </si>
  <si>
    <t>AH8785</t>
  </si>
  <si>
    <t>TG5711</t>
  </si>
  <si>
    <t>BYGR5092</t>
  </si>
  <si>
    <t>AH1565</t>
  </si>
  <si>
    <t>TG3580</t>
  </si>
  <si>
    <t>KM7763</t>
  </si>
  <si>
    <t>KM8396</t>
  </si>
  <si>
    <t>KM4218</t>
  </si>
  <si>
    <t>BYGR7468</t>
  </si>
  <si>
    <t>TG5659</t>
  </si>
  <si>
    <t>KM7806</t>
  </si>
  <si>
    <t>AH6024</t>
  </si>
  <si>
    <t>BYGR4319</t>
  </si>
  <si>
    <t>TG6873</t>
  </si>
  <si>
    <t>KM6640</t>
  </si>
  <si>
    <t>KM6969</t>
  </si>
  <si>
    <t>AH4872</t>
  </si>
  <si>
    <t>TG1544</t>
  </si>
  <si>
    <t>AH1456</t>
  </si>
  <si>
    <t>KM5784</t>
  </si>
  <si>
    <t>KM7142</t>
  </si>
  <si>
    <t>TG8743</t>
  </si>
  <si>
    <t>KM6041</t>
  </si>
  <si>
    <t>TG2589</t>
  </si>
  <si>
    <t>KM9055</t>
  </si>
  <si>
    <t>TG4542</t>
  </si>
  <si>
    <t>TG1209</t>
  </si>
  <si>
    <t>BYGR1358</t>
  </si>
  <si>
    <t>TG5722</t>
  </si>
  <si>
    <t>AH5995</t>
  </si>
  <si>
    <t>TG4916</t>
  </si>
  <si>
    <t>KM8041</t>
  </si>
  <si>
    <t>TG3847</t>
  </si>
  <si>
    <t>KM6137</t>
  </si>
  <si>
    <t>BYGR9494</t>
  </si>
  <si>
    <t>BYGR1577</t>
  </si>
  <si>
    <t>AH4104</t>
  </si>
  <si>
    <t>BYGR3892</t>
  </si>
  <si>
    <t>KM2892</t>
  </si>
  <si>
    <t>KM3314</t>
  </si>
  <si>
    <t>KM6520</t>
  </si>
  <si>
    <t>KM4131</t>
  </si>
  <si>
    <t>TG8025</t>
  </si>
  <si>
    <t>AH8313</t>
  </si>
  <si>
    <t>AH8145</t>
  </si>
  <si>
    <t>TG3186</t>
  </si>
  <si>
    <t>AH7852</t>
  </si>
  <si>
    <t>KM5008</t>
  </si>
  <si>
    <t>KM9834</t>
  </si>
  <si>
    <t>TG5150</t>
  </si>
  <si>
    <t>BYGR2864</t>
  </si>
  <si>
    <t>TG7204</t>
  </si>
  <si>
    <t>KM2897</t>
  </si>
  <si>
    <t>KM4724</t>
  </si>
  <si>
    <t>TG7172</t>
  </si>
  <si>
    <t>KM3970</t>
  </si>
  <si>
    <t>TG2525</t>
  </si>
  <si>
    <t>KM3810</t>
  </si>
  <si>
    <t>KM6756</t>
  </si>
  <si>
    <t>KM6938</t>
  </si>
  <si>
    <t>TG2843</t>
  </si>
  <si>
    <t>KM6113</t>
  </si>
  <si>
    <t>BYGR7255</t>
  </si>
  <si>
    <t>TG9533</t>
  </si>
  <si>
    <t>TG8044</t>
  </si>
  <si>
    <t>TG5677</t>
  </si>
  <si>
    <t>AH1234</t>
  </si>
  <si>
    <t>KM6392</t>
  </si>
  <si>
    <t>BYGR6644</t>
  </si>
  <si>
    <t>KM9592</t>
  </si>
  <si>
    <t>BYGR6565</t>
  </si>
  <si>
    <t>BYGR8614</t>
  </si>
  <si>
    <t>AH2151</t>
  </si>
  <si>
    <t>TG4705</t>
  </si>
  <si>
    <t>TG4718</t>
  </si>
  <si>
    <t>TG8767</t>
  </si>
  <si>
    <t>KM1661</t>
  </si>
  <si>
    <t>TG7454</t>
  </si>
  <si>
    <t>TG9084</t>
  </si>
  <si>
    <t>AH1815</t>
  </si>
  <si>
    <t>AH8283</t>
  </si>
  <si>
    <t>BYGR3260</t>
  </si>
  <si>
    <t>BYGR2265</t>
  </si>
  <si>
    <t>BYGR9283</t>
  </si>
  <si>
    <t>AH8843</t>
  </si>
  <si>
    <t>AH7635</t>
  </si>
  <si>
    <t>TG8790</t>
  </si>
  <si>
    <t>TG7103</t>
  </si>
  <si>
    <t>BYGR6037</t>
  </si>
  <si>
    <t>AH8644</t>
  </si>
  <si>
    <t>KM3347</t>
  </si>
  <si>
    <t>AH4067</t>
  </si>
  <si>
    <t>AH9448</t>
  </si>
  <si>
    <t>AH2797</t>
  </si>
  <si>
    <t>KM4598</t>
  </si>
  <si>
    <t>KM9166</t>
  </si>
  <si>
    <t>KM7852</t>
  </si>
  <si>
    <t>BYGR9554</t>
  </si>
  <si>
    <t>TG6688</t>
  </si>
  <si>
    <t>KM7900</t>
  </si>
  <si>
    <t>AH9598</t>
  </si>
  <si>
    <t>KM1330</t>
  </si>
  <si>
    <t>KM5200</t>
  </si>
  <si>
    <t>Hirdaramani</t>
  </si>
  <si>
    <t>M&amp;S</t>
  </si>
  <si>
    <t>Tesco</t>
  </si>
  <si>
    <t>George</t>
  </si>
  <si>
    <t>Sunrose Lanka (Pvt) Ltd</t>
  </si>
  <si>
    <t>Amsral Lanka Enterprises</t>
  </si>
  <si>
    <t>The Bobbin Group</t>
  </si>
  <si>
    <t>MRC Group</t>
  </si>
  <si>
    <t>Regal Image International</t>
  </si>
  <si>
    <t>Dinusha Embroidery</t>
  </si>
  <si>
    <t>Katubedda</t>
  </si>
  <si>
    <t>Boralesgamuwa</t>
  </si>
  <si>
    <t>Mount Lavinia</t>
  </si>
  <si>
    <t>Colombo</t>
  </si>
  <si>
    <t>Maharagama</t>
  </si>
  <si>
    <t>Weliweriya</t>
  </si>
  <si>
    <t>Normal</t>
  </si>
  <si>
    <t>No Urgency</t>
  </si>
  <si>
    <t>High</t>
  </si>
  <si>
    <t>Low</t>
  </si>
  <si>
    <t>Medium</t>
  </si>
  <si>
    <t>Hard</t>
  </si>
  <si>
    <t>Regal Image International / Amsral Lanka Enterprises</t>
  </si>
  <si>
    <t>The Bobbin Group / Regal Image International</t>
  </si>
  <si>
    <t>Dinusha Embroidery / The Bobbin Group</t>
  </si>
  <si>
    <t>Dinusha Embroidery / Amsral Lanka Enterprises</t>
  </si>
  <si>
    <t>Amsral Lanka Enterprises / The Bobbin Group</t>
  </si>
  <si>
    <t>The Bobbin Group / Amsral Lanka Enterprises</t>
  </si>
  <si>
    <t>The Bobbin Group / Sunrose Lanka (Pvt) Ltd</t>
  </si>
  <si>
    <t>Sunrose Lanka (Pvt) Ltd / The Bobbin Group</t>
  </si>
  <si>
    <t>Sunrose Lanka (Pvt) Ltd / Amsral Lanka Enterprises</t>
  </si>
  <si>
    <t>Amsral Lanka Enterprises / Regal Image International</t>
  </si>
  <si>
    <t>Regal Image International / Dinusha Embroidery</t>
  </si>
  <si>
    <t>MRC Group / Dinusha Embroidery</t>
  </si>
  <si>
    <t>Sunrose Lanka (Pvt) Ltd / MRC Group</t>
  </si>
  <si>
    <t>MRC Group / Regal Image International</t>
  </si>
  <si>
    <t>Sunrose Lanka (Pvt) Ltd / Regal Image International</t>
  </si>
  <si>
    <t>Dinusha Embroidery / Regal Image International</t>
  </si>
  <si>
    <t>MRC Group / Sunrose Lanka (Pvt) Ltd</t>
  </si>
  <si>
    <t>Regal Image International / The Bobbin Group</t>
  </si>
  <si>
    <t>Amsral Lanka Enterprises / Sunrose Lanka (Pvt) Ltd</t>
  </si>
  <si>
    <t>Dinusha Embroidery / Sunrose Lanka (Pvt) Ltd</t>
  </si>
  <si>
    <t>MRC Group / The Bobbin Group</t>
  </si>
  <si>
    <t>Sunrose Lanka (Pvt) Ltd / Dinusha Embroidery</t>
  </si>
  <si>
    <t>Regal Image International / Sunrose Lanka (Pvt) Ltd</t>
  </si>
  <si>
    <t>The Bobbin Group / Dinusha Embroidery</t>
  </si>
  <si>
    <t>Amsral Lanka Enterprises / Dinusha Embroidery</t>
  </si>
  <si>
    <t>Dinusha Embroidery / MRC Group</t>
  </si>
  <si>
    <t>Regal Image International / MRC Group</t>
  </si>
  <si>
    <t>Amsral Lanka Enterprises / MRC Group</t>
  </si>
  <si>
    <t>The Bobbin Group / MRC Group</t>
  </si>
  <si>
    <t>Yes</t>
  </si>
  <si>
    <t>No</t>
  </si>
  <si>
    <t>Have Capacity</t>
  </si>
  <si>
    <t>No Capacity</t>
  </si>
  <si>
    <t>Single Plant</t>
  </si>
  <si>
    <t>Split Between Sub Plants</t>
  </si>
  <si>
    <t>Match</t>
  </si>
  <si>
    <t>No Match</t>
  </si>
  <si>
    <t>Proceed</t>
  </si>
  <si>
    <t>Draft revised completion email for mother company bulk agent approval</t>
  </si>
  <si>
    <t>Reallocated to Alternative Single Plant</t>
  </si>
  <si>
    <t>Due Plant No Capacity Bulk order Need to divide</t>
  </si>
  <si>
    <t>Path1_SamplePlant</t>
  </si>
  <si>
    <t>Path2_AlternativePlant</t>
  </si>
  <si>
    <t>Path3_SplitPlants</t>
  </si>
  <si>
    <t>June</t>
  </si>
  <si>
    <t>May</t>
  </si>
  <si>
    <t>April</t>
  </si>
  <si>
    <t>July</t>
  </si>
  <si>
    <t>March</t>
  </si>
  <si>
    <t>February</t>
  </si>
  <si>
    <t>December</t>
  </si>
  <si>
    <t>October</t>
  </si>
  <si>
    <t>November</t>
  </si>
  <si>
    <t>August</t>
  </si>
  <si>
    <t>January</t>
  </si>
  <si>
    <t>September</t>
  </si>
  <si>
    <t>Order_ID</t>
  </si>
  <si>
    <t>Style_Name</t>
  </si>
  <si>
    <t>Stitch count</t>
  </si>
  <si>
    <t>Garment_Type</t>
  </si>
  <si>
    <t>Order Risive date</t>
  </si>
  <si>
    <t>Dedline</t>
  </si>
  <si>
    <t>Completed day</t>
  </si>
  <si>
    <t>Order_Quantity</t>
  </si>
  <si>
    <t>Cutting  Plant_Name</t>
  </si>
  <si>
    <t>Total worked employs</t>
  </si>
  <si>
    <t>Total days complete</t>
  </si>
  <si>
    <t>Avg out put per (Units/Day)</t>
  </si>
  <si>
    <t xml:space="preserve">day 1 out </t>
  </si>
  <si>
    <t xml:space="preserve">last day out </t>
  </si>
  <si>
    <t>Fasion_Plant_Name</t>
  </si>
  <si>
    <t>Total worked mashines</t>
  </si>
  <si>
    <t>Swing  Plant_Name</t>
  </si>
  <si>
    <t>out put per (Units/Day)</t>
  </si>
  <si>
    <t>ORD1001</t>
  </si>
  <si>
    <t>Summer Tee</t>
  </si>
  <si>
    <t>Nike</t>
  </si>
  <si>
    <t>ST001</t>
  </si>
  <si>
    <t>T-Shirt</t>
  </si>
  <si>
    <t>Sri Apperal Lanka(Pvt)Ltd</t>
  </si>
  <si>
    <t>Revonsal (Pvt)Ltd</t>
  </si>
  <si>
    <t>ORD1002</t>
  </si>
  <si>
    <t>Sport Fit</t>
  </si>
  <si>
    <t>Adidas</t>
  </si>
  <si>
    <t>ST002</t>
  </si>
  <si>
    <t>Sportswear</t>
  </si>
  <si>
    <t>Orenka Lanka(Pvt)Ltd</t>
  </si>
  <si>
    <t>Minsandi Wear (Pvt)Ltd</t>
  </si>
  <si>
    <t>ORD1003</t>
  </si>
  <si>
    <t>Casual Wear</t>
  </si>
  <si>
    <t>H&amp;M</t>
  </si>
  <si>
    <t>ST003</t>
  </si>
  <si>
    <t>Shirt</t>
  </si>
  <si>
    <t>Ready Wear(Pvt)Ltd</t>
  </si>
  <si>
    <t>BAM Lanka (Pvt)Ltd</t>
  </si>
  <si>
    <t>ORD1004</t>
  </si>
  <si>
    <t>Hoodie Pro</t>
  </si>
  <si>
    <t>Puma</t>
  </si>
  <si>
    <t>ST004</t>
  </si>
  <si>
    <t>Hoodie</t>
  </si>
  <si>
    <t>MasterExport(Pvt)Ltd</t>
  </si>
  <si>
    <t>Exelent Garment (Pvt)Ltd</t>
  </si>
  <si>
    <t>ORD1005</t>
  </si>
  <si>
    <t>Kids Wear</t>
  </si>
  <si>
    <t>Zara</t>
  </si>
  <si>
    <t>ST005</t>
  </si>
  <si>
    <t>NextGen(Pvt)Ltd</t>
  </si>
  <si>
    <t>Ceylon Quality (Pvt)Ltd</t>
  </si>
  <si>
    <t>plant id</t>
  </si>
  <si>
    <t>plant name</t>
  </si>
  <si>
    <t>mashine capasity</t>
  </si>
  <si>
    <t>working ours per day</t>
  </si>
  <si>
    <t>mashine operates per mashine</t>
  </si>
  <si>
    <t>total operates</t>
  </si>
  <si>
    <t>per our outpu per mashine</t>
  </si>
  <si>
    <t>per day output per mashine</t>
  </si>
  <si>
    <t>total of the output per day</t>
  </si>
  <si>
    <t>Current_Workload</t>
  </si>
  <si>
    <t>Machine_Availability</t>
  </si>
  <si>
    <t>Available</t>
  </si>
  <si>
    <t>Limited</t>
  </si>
  <si>
    <t>Total of the employs</t>
  </si>
  <si>
    <t>per our out put</t>
  </si>
  <si>
    <t>employ_Availability</t>
  </si>
  <si>
    <t>em plant name</t>
  </si>
  <si>
    <t>Total of the mashine</t>
  </si>
  <si>
    <t>per mashine capasity</t>
  </si>
  <si>
    <t>next month ordes</t>
  </si>
  <si>
    <t>date</t>
  </si>
  <si>
    <t>style no</t>
  </si>
  <si>
    <t>Garment-Cloth_Type</t>
  </si>
  <si>
    <t>Order_Countity</t>
  </si>
  <si>
    <t>per day cuting pcs</t>
  </si>
  <si>
    <t>capacity-mashine</t>
  </si>
  <si>
    <t>capacity-empoly</t>
  </si>
  <si>
    <t>per day style pcs</t>
  </si>
  <si>
    <t>per day  damage pcs</t>
  </si>
  <si>
    <t>garment</t>
  </si>
  <si>
    <t>Length</t>
  </si>
  <si>
    <t>Width</t>
  </si>
  <si>
    <t>stiches</t>
  </si>
  <si>
    <t>cutting time</t>
  </si>
  <si>
    <t>clour count</t>
  </si>
  <si>
    <t>emboidery time</t>
  </si>
  <si>
    <t>sewing time</t>
  </si>
  <si>
    <t>Damage</t>
  </si>
  <si>
    <t>B</t>
  </si>
  <si>
    <t>C</t>
  </si>
  <si>
    <t>D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</si>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</sst>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64" fontId="0" fillId="0" borderId="0" xfId="0" applyNumberFormat="1"/>
    <xf numFmtId="0" fontId="3" fillId="0" borderId="1" xfId="1" applyFont="1" applyBorder="1" applyAlignment="1">
      <alignment horizontal="center"/>
    </xf>
    <xf numFmtId="0" fontId="1" fillId="0" borderId="0" xfId="0" applyFont="1"/>
    <xf numFmtId="0" fontId="2" fillId="0" borderId="1" xfId="1" applyBorder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/>
  </cellXfs>
  <cellStyles count="2">
    <cellStyle name="Normal" xfId="0" builtinId="0"/>
    <cellStyle name="Normal 2" xfId="1" xr:uid="{D001B980-7F47-4133-8CD4-89D79FA7C8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21"/>
  <sheetViews>
    <sheetView tabSelected="1" topLeftCell="BC1" workbookViewId="0">
      <selection activeCell="BG1" sqref="BG1:BG1048576"/>
    </sheetView>
  </sheetViews>
  <sheetFormatPr defaultRowHeight="15" x14ac:dyDescent="0.25"/>
  <cols>
    <col min="1" max="1" width="11" customWidth="1"/>
    <col min="4" max="4" width="21" customWidth="1"/>
    <col min="5" max="5" width="22.140625" customWidth="1"/>
    <col min="6" max="6" width="18.140625" customWidth="1"/>
    <col min="14" max="14" width="12.7109375" customWidth="1"/>
    <col min="15" max="15" width="10.85546875" customWidth="1"/>
    <col min="26" max="26" width="20.7109375" customWidth="1"/>
    <col min="27" max="27" width="23.57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t="s">
        <v>1185</v>
      </c>
      <c r="C2" t="s">
        <v>2157</v>
      </c>
      <c r="D2" s="1">
        <v>45432</v>
      </c>
      <c r="E2" s="1">
        <v>45472</v>
      </c>
      <c r="F2" s="1">
        <v>45623</v>
      </c>
      <c r="G2" t="s">
        <v>2161</v>
      </c>
      <c r="H2" t="s">
        <v>2167</v>
      </c>
      <c r="I2" t="s">
        <v>2173</v>
      </c>
      <c r="J2">
        <v>46430</v>
      </c>
      <c r="K2">
        <v>1393</v>
      </c>
      <c r="L2">
        <v>10.4</v>
      </c>
      <c r="M2">
        <v>12.3</v>
      </c>
      <c r="N2">
        <v>5</v>
      </c>
      <c r="O2">
        <v>8778</v>
      </c>
      <c r="P2" t="s">
        <v>2177</v>
      </c>
      <c r="Q2">
        <v>18</v>
      </c>
      <c r="R2">
        <v>30</v>
      </c>
      <c r="S2">
        <v>68</v>
      </c>
      <c r="T2">
        <v>689</v>
      </c>
      <c r="U2" t="s">
        <v>2161</v>
      </c>
      <c r="V2" t="s">
        <v>2167</v>
      </c>
      <c r="W2" t="s">
        <v>2208</v>
      </c>
      <c r="X2" t="s">
        <v>2210</v>
      </c>
      <c r="Y2" t="s">
        <v>2212</v>
      </c>
      <c r="Z2" s="1">
        <v>45618</v>
      </c>
      <c r="AA2" s="1">
        <v>45620</v>
      </c>
      <c r="AB2" t="s">
        <v>2214</v>
      </c>
      <c r="AC2" t="s">
        <v>2209</v>
      </c>
      <c r="AD2" t="s">
        <v>2216</v>
      </c>
      <c r="AE2" t="s">
        <v>2161</v>
      </c>
      <c r="AG2" t="s">
        <v>2220</v>
      </c>
      <c r="AH2">
        <v>116</v>
      </c>
      <c r="AI2">
        <v>146</v>
      </c>
      <c r="AJ2">
        <v>30</v>
      </c>
      <c r="AK2">
        <v>6</v>
      </c>
      <c r="AL2" t="s">
        <v>2223</v>
      </c>
      <c r="AM2">
        <v>0</v>
      </c>
      <c r="AN2" t="s">
        <v>2175</v>
      </c>
      <c r="AO2" t="s">
        <v>2177</v>
      </c>
      <c r="AP2" t="s">
        <v>2177</v>
      </c>
      <c r="AQ2">
        <v>127.92</v>
      </c>
      <c r="AR2">
        <v>2</v>
      </c>
      <c r="AS2">
        <v>3</v>
      </c>
      <c r="AT2">
        <v>2</v>
      </c>
      <c r="AU2">
        <v>2</v>
      </c>
      <c r="AV2">
        <v>2.333333333333333</v>
      </c>
      <c r="AW2">
        <v>4.3</v>
      </c>
      <c r="AY2">
        <v>4.3</v>
      </c>
      <c r="AZ2">
        <v>1</v>
      </c>
      <c r="BA2">
        <v>3</v>
      </c>
      <c r="BB2">
        <v>36</v>
      </c>
      <c r="BC2">
        <v>25</v>
      </c>
      <c r="BD2">
        <v>31.92</v>
      </c>
      <c r="BE2">
        <v>149</v>
      </c>
      <c r="BF2">
        <v>88.7</v>
      </c>
      <c r="BG2">
        <v>36</v>
      </c>
      <c r="BH2">
        <v>25</v>
      </c>
      <c r="BI2">
        <v>31.92</v>
      </c>
      <c r="BJ2">
        <v>149</v>
      </c>
      <c r="BK2">
        <v>88.7</v>
      </c>
      <c r="BL2">
        <v>149</v>
      </c>
      <c r="BM2">
        <v>12.4611</v>
      </c>
    </row>
    <row r="3" spans="1:65" x14ac:dyDescent="0.25">
      <c r="A3" t="s">
        <v>66</v>
      </c>
      <c r="B3" t="s">
        <v>1186</v>
      </c>
      <c r="C3" t="s">
        <v>2158</v>
      </c>
      <c r="D3" s="1">
        <v>45411</v>
      </c>
      <c r="E3" s="1">
        <v>45444</v>
      </c>
      <c r="F3" s="1">
        <v>45509</v>
      </c>
      <c r="G3" t="s">
        <v>2162</v>
      </c>
      <c r="H3" t="s">
        <v>2168</v>
      </c>
      <c r="I3" t="s">
        <v>2173</v>
      </c>
      <c r="J3">
        <v>15024</v>
      </c>
      <c r="K3">
        <v>451</v>
      </c>
      <c r="L3">
        <v>10</v>
      </c>
      <c r="M3">
        <v>13.1</v>
      </c>
      <c r="N3">
        <v>6</v>
      </c>
      <c r="O3">
        <v>8087</v>
      </c>
      <c r="P3" t="s">
        <v>2177</v>
      </c>
      <c r="Q3">
        <v>10</v>
      </c>
      <c r="R3">
        <v>14</v>
      </c>
      <c r="S3">
        <v>19</v>
      </c>
      <c r="T3">
        <v>799</v>
      </c>
      <c r="U3" t="s">
        <v>2162</v>
      </c>
      <c r="V3" t="s">
        <v>2168</v>
      </c>
      <c r="W3" t="s">
        <v>2208</v>
      </c>
      <c r="X3" t="s">
        <v>2210</v>
      </c>
      <c r="Y3" t="s">
        <v>2212</v>
      </c>
      <c r="Z3" s="1">
        <v>45505</v>
      </c>
      <c r="AA3" s="1">
        <v>45508</v>
      </c>
      <c r="AB3" t="s">
        <v>2214</v>
      </c>
      <c r="AC3" t="s">
        <v>2209</v>
      </c>
      <c r="AD3" t="s">
        <v>2216</v>
      </c>
      <c r="AE3" t="s">
        <v>2162</v>
      </c>
      <c r="AG3" t="s">
        <v>2220</v>
      </c>
      <c r="AH3">
        <v>43</v>
      </c>
      <c r="AI3">
        <v>61</v>
      </c>
      <c r="AJ3">
        <v>18</v>
      </c>
      <c r="AK3">
        <v>6</v>
      </c>
      <c r="AL3" t="s">
        <v>2223</v>
      </c>
      <c r="AM3">
        <v>0</v>
      </c>
      <c r="AN3" t="s">
        <v>2177</v>
      </c>
      <c r="AO3" t="s">
        <v>2177</v>
      </c>
      <c r="AP3" t="s">
        <v>2177</v>
      </c>
      <c r="AQ3">
        <v>131</v>
      </c>
      <c r="AR3">
        <v>2</v>
      </c>
      <c r="AS3">
        <v>2</v>
      </c>
      <c r="AT3">
        <v>2</v>
      </c>
      <c r="AU3">
        <v>2</v>
      </c>
      <c r="AV3">
        <v>2</v>
      </c>
      <c r="AW3">
        <v>4.2</v>
      </c>
      <c r="AY3">
        <v>4.2</v>
      </c>
      <c r="AZ3">
        <v>2</v>
      </c>
      <c r="BA3">
        <v>3</v>
      </c>
      <c r="BB3">
        <v>29</v>
      </c>
      <c r="BC3">
        <v>25</v>
      </c>
      <c r="BD3">
        <v>25.56</v>
      </c>
      <c r="BE3">
        <v>117</v>
      </c>
      <c r="BF3">
        <v>88.1</v>
      </c>
      <c r="BG3">
        <v>29</v>
      </c>
      <c r="BH3">
        <v>25</v>
      </c>
      <c r="BI3">
        <v>25.56</v>
      </c>
      <c r="BJ3">
        <v>117</v>
      </c>
      <c r="BK3">
        <v>88.1</v>
      </c>
      <c r="BL3">
        <v>117</v>
      </c>
      <c r="BM3">
        <v>5.1346999999999996</v>
      </c>
    </row>
    <row r="4" spans="1:65" x14ac:dyDescent="0.25">
      <c r="A4" t="s">
        <v>67</v>
      </c>
      <c r="B4" t="s">
        <v>1187</v>
      </c>
      <c r="C4" t="s">
        <v>2159</v>
      </c>
      <c r="D4" s="1">
        <v>45397</v>
      </c>
      <c r="E4" s="1">
        <v>45433</v>
      </c>
      <c r="F4" s="1">
        <v>45540</v>
      </c>
      <c r="G4" t="s">
        <v>2162</v>
      </c>
      <c r="H4" t="s">
        <v>2168</v>
      </c>
      <c r="I4" t="s">
        <v>2174</v>
      </c>
      <c r="J4">
        <v>20785</v>
      </c>
      <c r="K4">
        <v>624</v>
      </c>
      <c r="L4">
        <v>5.0999999999999996</v>
      </c>
      <c r="M4">
        <v>6.4</v>
      </c>
      <c r="N4">
        <v>1</v>
      </c>
      <c r="O4">
        <v>4359</v>
      </c>
      <c r="P4" t="s">
        <v>2176</v>
      </c>
      <c r="Q4">
        <v>14</v>
      </c>
      <c r="R4">
        <v>20</v>
      </c>
      <c r="S4">
        <v>33</v>
      </c>
      <c r="T4">
        <v>647</v>
      </c>
      <c r="U4" t="s">
        <v>2162</v>
      </c>
      <c r="V4" t="s">
        <v>2168</v>
      </c>
      <c r="W4" t="s">
        <v>2208</v>
      </c>
      <c r="X4" t="s">
        <v>2210</v>
      </c>
      <c r="Y4" t="s">
        <v>2212</v>
      </c>
      <c r="Z4" s="1">
        <v>45522</v>
      </c>
      <c r="AA4" s="1">
        <v>45522</v>
      </c>
      <c r="AB4" t="s">
        <v>2214</v>
      </c>
      <c r="AC4" t="s">
        <v>2209</v>
      </c>
      <c r="AD4" t="s">
        <v>2216</v>
      </c>
      <c r="AE4" t="s">
        <v>2162</v>
      </c>
      <c r="AG4" t="s">
        <v>2220</v>
      </c>
      <c r="AH4">
        <v>67</v>
      </c>
      <c r="AI4">
        <v>89</v>
      </c>
      <c r="AJ4">
        <v>22</v>
      </c>
      <c r="AK4">
        <v>5</v>
      </c>
      <c r="AL4" t="s">
        <v>2224</v>
      </c>
      <c r="AM4">
        <v>0</v>
      </c>
      <c r="AN4" t="s">
        <v>2177</v>
      </c>
      <c r="AO4" t="s">
        <v>2176</v>
      </c>
      <c r="AP4" t="s">
        <v>2176</v>
      </c>
      <c r="AQ4">
        <v>32.64</v>
      </c>
      <c r="AR4">
        <v>1</v>
      </c>
      <c r="AS4">
        <v>2</v>
      </c>
      <c r="AT4">
        <v>1</v>
      </c>
      <c r="AU4">
        <v>1</v>
      </c>
      <c r="AV4">
        <v>1.333333333333333</v>
      </c>
      <c r="AW4">
        <v>4.2</v>
      </c>
      <c r="AY4">
        <v>4.2</v>
      </c>
      <c r="AZ4">
        <v>3</v>
      </c>
      <c r="BA4">
        <v>2</v>
      </c>
      <c r="BB4">
        <v>24</v>
      </c>
      <c r="BC4">
        <v>27</v>
      </c>
      <c r="BD4">
        <v>21.44</v>
      </c>
      <c r="BE4">
        <v>108</v>
      </c>
      <c r="BF4">
        <v>89.3</v>
      </c>
      <c r="BG4">
        <v>24</v>
      </c>
      <c r="BH4">
        <v>27</v>
      </c>
      <c r="BI4">
        <v>21.44</v>
      </c>
      <c r="BJ4">
        <v>108</v>
      </c>
      <c r="BK4">
        <v>89.3</v>
      </c>
      <c r="BL4">
        <v>108</v>
      </c>
      <c r="BM4">
        <v>7.1254999999999997</v>
      </c>
    </row>
    <row r="5" spans="1:65" x14ac:dyDescent="0.25">
      <c r="A5" t="s">
        <v>68</v>
      </c>
      <c r="B5" t="s">
        <v>1188</v>
      </c>
      <c r="C5" t="s">
        <v>2158</v>
      </c>
      <c r="D5" s="1">
        <v>45411</v>
      </c>
      <c r="E5" s="1">
        <v>45451</v>
      </c>
      <c r="F5" s="1">
        <v>45499</v>
      </c>
      <c r="G5" t="s">
        <v>2163</v>
      </c>
      <c r="H5" t="s">
        <v>2169</v>
      </c>
      <c r="I5" t="s">
        <v>2173</v>
      </c>
      <c r="J5">
        <v>7719</v>
      </c>
      <c r="K5">
        <v>232</v>
      </c>
      <c r="L5">
        <v>6.1</v>
      </c>
      <c r="M5">
        <v>13</v>
      </c>
      <c r="N5">
        <v>6</v>
      </c>
      <c r="O5">
        <v>7957</v>
      </c>
      <c r="P5" t="s">
        <v>2177</v>
      </c>
      <c r="Q5">
        <v>7</v>
      </c>
      <c r="R5">
        <v>10</v>
      </c>
      <c r="S5">
        <v>10</v>
      </c>
      <c r="T5">
        <v>773</v>
      </c>
      <c r="U5" t="s">
        <v>2163</v>
      </c>
      <c r="V5" t="s">
        <v>2169</v>
      </c>
      <c r="W5" t="s">
        <v>2208</v>
      </c>
      <c r="X5" t="s">
        <v>2210</v>
      </c>
      <c r="Y5" t="s">
        <v>2212</v>
      </c>
      <c r="Z5" s="1">
        <v>45494</v>
      </c>
      <c r="AA5" s="1">
        <v>45494</v>
      </c>
      <c r="AB5" t="s">
        <v>2214</v>
      </c>
      <c r="AC5" t="s">
        <v>2209</v>
      </c>
      <c r="AD5" t="s">
        <v>2216</v>
      </c>
      <c r="AE5" t="s">
        <v>2163</v>
      </c>
      <c r="AG5" t="s">
        <v>2220</v>
      </c>
      <c r="AH5">
        <v>27</v>
      </c>
      <c r="AI5">
        <v>43</v>
      </c>
      <c r="AJ5">
        <v>16</v>
      </c>
      <c r="AK5">
        <v>6</v>
      </c>
      <c r="AL5" t="s">
        <v>2223</v>
      </c>
      <c r="AM5">
        <v>0</v>
      </c>
      <c r="AN5" t="s">
        <v>2177</v>
      </c>
      <c r="AO5" t="s">
        <v>2177</v>
      </c>
      <c r="AP5" t="s">
        <v>2177</v>
      </c>
      <c r="AQ5">
        <v>79.3</v>
      </c>
      <c r="AR5">
        <v>2</v>
      </c>
      <c r="AS5">
        <v>2</v>
      </c>
      <c r="AT5">
        <v>2</v>
      </c>
      <c r="AU5">
        <v>2</v>
      </c>
      <c r="AV5">
        <v>2</v>
      </c>
      <c r="AW5">
        <v>4.4000000000000004</v>
      </c>
      <c r="AY5">
        <v>4.4000000000000004</v>
      </c>
      <c r="AZ5">
        <v>2</v>
      </c>
      <c r="BA5">
        <v>3</v>
      </c>
      <c r="BB5">
        <v>30</v>
      </c>
      <c r="BC5">
        <v>25</v>
      </c>
      <c r="BD5">
        <v>26.48</v>
      </c>
      <c r="BE5">
        <v>121</v>
      </c>
      <c r="BF5">
        <v>88.3</v>
      </c>
      <c r="BG5">
        <v>30</v>
      </c>
      <c r="BH5">
        <v>25</v>
      </c>
      <c r="BI5">
        <v>26.48</v>
      </c>
      <c r="BJ5">
        <v>121</v>
      </c>
      <c r="BK5">
        <v>88.3</v>
      </c>
      <c r="BL5">
        <v>121</v>
      </c>
      <c r="BM5">
        <v>2.5508999999999999</v>
      </c>
    </row>
    <row r="6" spans="1:65" x14ac:dyDescent="0.25">
      <c r="A6" t="s">
        <v>69</v>
      </c>
      <c r="B6" t="s">
        <v>1189</v>
      </c>
      <c r="C6" t="s">
        <v>2158</v>
      </c>
      <c r="D6" s="1">
        <v>45376</v>
      </c>
      <c r="E6" s="1">
        <v>45421</v>
      </c>
      <c r="F6" s="1">
        <v>45483</v>
      </c>
      <c r="G6" t="s">
        <v>2164</v>
      </c>
      <c r="H6" t="s">
        <v>2170</v>
      </c>
      <c r="I6" t="s">
        <v>2175</v>
      </c>
      <c r="J6">
        <v>17567</v>
      </c>
      <c r="K6">
        <v>528</v>
      </c>
      <c r="L6">
        <v>15.7</v>
      </c>
      <c r="M6">
        <v>18.7</v>
      </c>
      <c r="N6">
        <v>9</v>
      </c>
      <c r="O6">
        <v>14434</v>
      </c>
      <c r="P6" t="s">
        <v>2178</v>
      </c>
      <c r="Q6">
        <v>10</v>
      </c>
      <c r="R6">
        <v>14</v>
      </c>
      <c r="S6">
        <v>19</v>
      </c>
      <c r="T6">
        <v>971</v>
      </c>
      <c r="U6" t="s">
        <v>2164</v>
      </c>
      <c r="V6" t="s">
        <v>2170</v>
      </c>
      <c r="W6" t="s">
        <v>2208</v>
      </c>
      <c r="X6" t="s">
        <v>2210</v>
      </c>
      <c r="Y6" t="s">
        <v>2212</v>
      </c>
      <c r="Z6" s="1">
        <v>45482</v>
      </c>
      <c r="AA6" s="1">
        <v>45487</v>
      </c>
      <c r="AB6" t="s">
        <v>2214</v>
      </c>
      <c r="AC6" t="s">
        <v>2209</v>
      </c>
      <c r="AD6" t="s">
        <v>2216</v>
      </c>
      <c r="AE6" t="s">
        <v>2164</v>
      </c>
      <c r="AG6" t="s">
        <v>2220</v>
      </c>
      <c r="AH6">
        <v>43</v>
      </c>
      <c r="AI6">
        <v>61</v>
      </c>
      <c r="AJ6">
        <v>18</v>
      </c>
      <c r="AK6">
        <v>5</v>
      </c>
      <c r="AL6" t="s">
        <v>2224</v>
      </c>
      <c r="AM6">
        <v>0</v>
      </c>
      <c r="AN6" t="s">
        <v>2175</v>
      </c>
      <c r="AO6" t="s">
        <v>2175</v>
      </c>
      <c r="AP6" t="s">
        <v>2177</v>
      </c>
      <c r="AQ6">
        <v>293.58999999999997</v>
      </c>
      <c r="AR6">
        <v>3</v>
      </c>
      <c r="AS6">
        <v>3</v>
      </c>
      <c r="AT6">
        <v>3</v>
      </c>
      <c r="AU6">
        <v>2</v>
      </c>
      <c r="AV6">
        <v>2.666666666666667</v>
      </c>
      <c r="AW6">
        <v>4.5</v>
      </c>
      <c r="AY6">
        <v>4.5</v>
      </c>
      <c r="AZ6">
        <v>2</v>
      </c>
      <c r="BA6">
        <v>0</v>
      </c>
      <c r="BB6">
        <v>35</v>
      </c>
      <c r="BC6">
        <v>27</v>
      </c>
      <c r="BD6">
        <v>30.96</v>
      </c>
      <c r="BE6">
        <v>158</v>
      </c>
      <c r="BF6">
        <v>88.5</v>
      </c>
      <c r="BG6">
        <v>35</v>
      </c>
      <c r="BH6">
        <v>27</v>
      </c>
      <c r="BI6">
        <v>30.96</v>
      </c>
      <c r="BJ6">
        <v>158</v>
      </c>
      <c r="BK6">
        <v>88.5</v>
      </c>
      <c r="BL6">
        <v>158</v>
      </c>
      <c r="BM6">
        <v>4.1169000000000002</v>
      </c>
    </row>
    <row r="7" spans="1:65" x14ac:dyDescent="0.25">
      <c r="A7" t="s">
        <v>70</v>
      </c>
      <c r="B7" t="s">
        <v>1190</v>
      </c>
      <c r="C7" t="s">
        <v>2159</v>
      </c>
      <c r="D7" s="1">
        <v>45362</v>
      </c>
      <c r="E7" s="1">
        <v>45392</v>
      </c>
      <c r="F7" s="1">
        <v>45476</v>
      </c>
      <c r="G7" t="s">
        <v>2164</v>
      </c>
      <c r="H7" t="s">
        <v>2170</v>
      </c>
      <c r="I7" t="s">
        <v>2173</v>
      </c>
      <c r="J7">
        <v>20072</v>
      </c>
      <c r="K7">
        <v>603</v>
      </c>
      <c r="L7">
        <v>8.6</v>
      </c>
      <c r="M7">
        <v>11.2</v>
      </c>
      <c r="N7">
        <v>6</v>
      </c>
      <c r="O7">
        <v>11236</v>
      </c>
      <c r="P7" t="s">
        <v>2177</v>
      </c>
      <c r="Q7">
        <v>14</v>
      </c>
      <c r="R7">
        <v>20</v>
      </c>
      <c r="S7">
        <v>28</v>
      </c>
      <c r="T7">
        <v>734</v>
      </c>
      <c r="U7" t="s">
        <v>2164</v>
      </c>
      <c r="V7" t="s">
        <v>2170</v>
      </c>
      <c r="W7" t="s">
        <v>2208</v>
      </c>
      <c r="X7" t="s">
        <v>2210</v>
      </c>
      <c r="Y7" t="s">
        <v>2212</v>
      </c>
      <c r="Z7" s="1">
        <v>45475</v>
      </c>
      <c r="AA7" s="1">
        <v>45480</v>
      </c>
      <c r="AB7" t="s">
        <v>2214</v>
      </c>
      <c r="AC7" t="s">
        <v>2209</v>
      </c>
      <c r="AD7" t="s">
        <v>2216</v>
      </c>
      <c r="AE7" t="s">
        <v>2164</v>
      </c>
      <c r="AG7" t="s">
        <v>2220</v>
      </c>
      <c r="AH7">
        <v>62</v>
      </c>
      <c r="AI7">
        <v>83</v>
      </c>
      <c r="AJ7">
        <v>21</v>
      </c>
      <c r="AK7">
        <v>4</v>
      </c>
      <c r="AL7" t="s">
        <v>2225</v>
      </c>
      <c r="AM7">
        <v>0</v>
      </c>
      <c r="AN7" t="s">
        <v>2177</v>
      </c>
      <c r="AO7" t="s">
        <v>2177</v>
      </c>
      <c r="AP7" t="s">
        <v>2177</v>
      </c>
      <c r="AQ7">
        <v>96.32</v>
      </c>
      <c r="AR7">
        <v>2</v>
      </c>
      <c r="AS7">
        <v>2</v>
      </c>
      <c r="AT7">
        <v>2</v>
      </c>
      <c r="AU7">
        <v>2</v>
      </c>
      <c r="AV7">
        <v>2</v>
      </c>
      <c r="AW7">
        <v>4.5</v>
      </c>
      <c r="AY7">
        <v>4.5</v>
      </c>
      <c r="AZ7">
        <v>3</v>
      </c>
      <c r="BA7">
        <v>3</v>
      </c>
      <c r="BB7">
        <v>30</v>
      </c>
      <c r="BC7">
        <v>26</v>
      </c>
      <c r="BD7">
        <v>26.42</v>
      </c>
      <c r="BE7">
        <v>126</v>
      </c>
      <c r="BF7">
        <v>88.1</v>
      </c>
      <c r="BG7">
        <v>30</v>
      </c>
      <c r="BH7">
        <v>26</v>
      </c>
      <c r="BI7">
        <v>26.42</v>
      </c>
      <c r="BJ7">
        <v>126</v>
      </c>
      <c r="BK7">
        <v>88.1</v>
      </c>
      <c r="BL7">
        <v>126</v>
      </c>
      <c r="BM7">
        <v>6.1250999999999998</v>
      </c>
    </row>
    <row r="8" spans="1:65" x14ac:dyDescent="0.25">
      <c r="A8" t="s">
        <v>71</v>
      </c>
      <c r="B8" t="s">
        <v>1191</v>
      </c>
      <c r="C8" t="s">
        <v>2160</v>
      </c>
      <c r="D8" s="1">
        <v>45362</v>
      </c>
      <c r="E8" s="1">
        <v>45407</v>
      </c>
      <c r="F8" s="1">
        <v>45435</v>
      </c>
      <c r="G8" t="s">
        <v>2163</v>
      </c>
      <c r="H8" t="s">
        <v>2169</v>
      </c>
      <c r="I8" t="s">
        <v>2175</v>
      </c>
      <c r="J8">
        <v>2714</v>
      </c>
      <c r="K8">
        <v>82</v>
      </c>
      <c r="L8">
        <v>12.5</v>
      </c>
      <c r="M8">
        <v>18.8</v>
      </c>
      <c r="N8">
        <v>5</v>
      </c>
      <c r="O8">
        <v>14440</v>
      </c>
      <c r="P8" t="s">
        <v>2177</v>
      </c>
      <c r="Q8">
        <v>5</v>
      </c>
      <c r="R8">
        <v>8</v>
      </c>
      <c r="S8">
        <v>4</v>
      </c>
      <c r="T8">
        <v>848</v>
      </c>
      <c r="U8" t="s">
        <v>2163</v>
      </c>
      <c r="V8" t="s">
        <v>2169</v>
      </c>
      <c r="W8" t="s">
        <v>2208</v>
      </c>
      <c r="X8" t="s">
        <v>2210</v>
      </c>
      <c r="Y8" t="s">
        <v>2212</v>
      </c>
      <c r="Z8" s="1">
        <v>45438</v>
      </c>
      <c r="AA8" s="1">
        <v>45438</v>
      </c>
      <c r="AB8" t="s">
        <v>2215</v>
      </c>
      <c r="AC8" t="s">
        <v>2208</v>
      </c>
      <c r="AD8" t="s">
        <v>2217</v>
      </c>
      <c r="AE8" t="s">
        <v>2163</v>
      </c>
      <c r="AG8" t="s">
        <v>2220</v>
      </c>
      <c r="AH8">
        <v>17</v>
      </c>
      <c r="AI8">
        <v>31</v>
      </c>
      <c r="AJ8">
        <v>14</v>
      </c>
      <c r="AK8">
        <v>4</v>
      </c>
      <c r="AL8" t="s">
        <v>2225</v>
      </c>
      <c r="AM8">
        <v>0</v>
      </c>
      <c r="AN8" t="s">
        <v>2175</v>
      </c>
      <c r="AO8" t="s">
        <v>2177</v>
      </c>
      <c r="AP8" t="s">
        <v>2177</v>
      </c>
      <c r="AQ8">
        <v>235</v>
      </c>
      <c r="AR8">
        <v>2</v>
      </c>
      <c r="AS8">
        <v>3</v>
      </c>
      <c r="AT8">
        <v>2</v>
      </c>
      <c r="AU8">
        <v>2</v>
      </c>
      <c r="AV8">
        <v>2.333333333333333</v>
      </c>
      <c r="AW8">
        <v>4.4000000000000004</v>
      </c>
      <c r="AY8">
        <v>4.4000000000000004</v>
      </c>
      <c r="AZ8">
        <v>0</v>
      </c>
      <c r="BA8">
        <v>0</v>
      </c>
      <c r="BB8">
        <v>31</v>
      </c>
      <c r="BC8">
        <v>26</v>
      </c>
      <c r="BD8">
        <v>27.23</v>
      </c>
      <c r="BE8">
        <v>132</v>
      </c>
      <c r="BF8">
        <v>87.8</v>
      </c>
      <c r="BG8">
        <v>31</v>
      </c>
      <c r="BH8">
        <v>26</v>
      </c>
      <c r="BI8">
        <v>27.23</v>
      </c>
      <c r="BJ8">
        <v>132</v>
      </c>
      <c r="BK8">
        <v>87.8</v>
      </c>
      <c r="BL8">
        <v>132</v>
      </c>
      <c r="BM8">
        <v>0.79059999999999997</v>
      </c>
    </row>
    <row r="9" spans="1:65" x14ac:dyDescent="0.25">
      <c r="A9" t="s">
        <v>72</v>
      </c>
      <c r="B9" t="s">
        <v>1192</v>
      </c>
      <c r="C9" t="s">
        <v>2160</v>
      </c>
      <c r="D9" s="1">
        <v>45369</v>
      </c>
      <c r="E9" s="1">
        <v>45402</v>
      </c>
      <c r="F9" s="1">
        <v>45443</v>
      </c>
      <c r="G9" t="s">
        <v>2163</v>
      </c>
      <c r="H9" t="s">
        <v>2169</v>
      </c>
      <c r="I9" t="s">
        <v>2173</v>
      </c>
      <c r="J9">
        <v>6403</v>
      </c>
      <c r="K9">
        <v>193</v>
      </c>
      <c r="L9">
        <v>6.7</v>
      </c>
      <c r="M9">
        <v>7.6</v>
      </c>
      <c r="N9">
        <v>7</v>
      </c>
      <c r="O9">
        <v>11481</v>
      </c>
      <c r="P9" t="s">
        <v>2177</v>
      </c>
      <c r="Q9">
        <v>7</v>
      </c>
      <c r="R9">
        <v>10</v>
      </c>
      <c r="S9">
        <v>9</v>
      </c>
      <c r="T9">
        <v>734</v>
      </c>
      <c r="U9" t="s">
        <v>2163</v>
      </c>
      <c r="V9" t="s">
        <v>2169</v>
      </c>
      <c r="W9" t="s">
        <v>2208</v>
      </c>
      <c r="X9" t="s">
        <v>2210</v>
      </c>
      <c r="Y9" t="s">
        <v>2212</v>
      </c>
      <c r="Z9" s="1">
        <v>45443</v>
      </c>
      <c r="AA9" s="1">
        <v>45445</v>
      </c>
      <c r="AB9" t="s">
        <v>2214</v>
      </c>
      <c r="AC9" t="s">
        <v>2209</v>
      </c>
      <c r="AD9" t="s">
        <v>2216</v>
      </c>
      <c r="AE9" t="s">
        <v>2163</v>
      </c>
      <c r="AG9" t="s">
        <v>2220</v>
      </c>
      <c r="AH9">
        <v>26</v>
      </c>
      <c r="AI9">
        <v>41</v>
      </c>
      <c r="AJ9">
        <v>15</v>
      </c>
      <c r="AK9">
        <v>4</v>
      </c>
      <c r="AL9" t="s">
        <v>2225</v>
      </c>
      <c r="AM9">
        <v>0</v>
      </c>
      <c r="AN9" t="s">
        <v>2177</v>
      </c>
      <c r="AO9" t="s">
        <v>2175</v>
      </c>
      <c r="AP9" t="s">
        <v>2177</v>
      </c>
      <c r="AQ9">
        <v>50.92</v>
      </c>
      <c r="AR9">
        <v>2</v>
      </c>
      <c r="AS9">
        <v>2</v>
      </c>
      <c r="AT9">
        <v>3</v>
      </c>
      <c r="AU9">
        <v>2</v>
      </c>
      <c r="AV9">
        <v>2.333333333333333</v>
      </c>
      <c r="AW9">
        <v>4.4000000000000004</v>
      </c>
      <c r="AY9">
        <v>4.4000000000000004</v>
      </c>
      <c r="AZ9">
        <v>0</v>
      </c>
      <c r="BA9">
        <v>3</v>
      </c>
      <c r="BB9">
        <v>31</v>
      </c>
      <c r="BC9">
        <v>26</v>
      </c>
      <c r="BD9">
        <v>27.23</v>
      </c>
      <c r="BE9">
        <v>132</v>
      </c>
      <c r="BF9">
        <v>87.8</v>
      </c>
      <c r="BG9">
        <v>31</v>
      </c>
      <c r="BH9">
        <v>26</v>
      </c>
      <c r="BI9">
        <v>27.23</v>
      </c>
      <c r="BJ9">
        <v>132</v>
      </c>
      <c r="BK9">
        <v>87.8</v>
      </c>
      <c r="BL9">
        <v>132</v>
      </c>
      <c r="BM9">
        <v>1.8651</v>
      </c>
    </row>
    <row r="10" spans="1:65" x14ac:dyDescent="0.25">
      <c r="A10" t="s">
        <v>73</v>
      </c>
      <c r="B10" t="s">
        <v>1193</v>
      </c>
      <c r="C10" t="s">
        <v>2157</v>
      </c>
      <c r="D10" s="1">
        <v>45397</v>
      </c>
      <c r="E10" s="1">
        <v>45427</v>
      </c>
      <c r="F10" s="1">
        <v>45589</v>
      </c>
      <c r="G10" t="s">
        <v>2165</v>
      </c>
      <c r="H10" t="s">
        <v>2171</v>
      </c>
      <c r="I10" t="s">
        <v>2174</v>
      </c>
      <c r="J10">
        <v>40935</v>
      </c>
      <c r="K10">
        <v>1229</v>
      </c>
      <c r="L10">
        <v>6.7</v>
      </c>
      <c r="M10">
        <v>4.5</v>
      </c>
      <c r="N10">
        <v>3</v>
      </c>
      <c r="O10">
        <v>6100</v>
      </c>
      <c r="P10" t="s">
        <v>2176</v>
      </c>
      <c r="Q10">
        <v>18</v>
      </c>
      <c r="R10">
        <v>30</v>
      </c>
      <c r="S10">
        <v>70</v>
      </c>
      <c r="T10">
        <v>592</v>
      </c>
      <c r="U10" t="s">
        <v>2165</v>
      </c>
      <c r="V10" t="s">
        <v>2171</v>
      </c>
      <c r="W10" t="s">
        <v>2208</v>
      </c>
      <c r="X10" t="s">
        <v>2210</v>
      </c>
      <c r="Y10" t="s">
        <v>2212</v>
      </c>
      <c r="Z10" s="1">
        <v>45575</v>
      </c>
      <c r="AA10" s="1">
        <v>45578</v>
      </c>
      <c r="AB10" t="s">
        <v>2214</v>
      </c>
      <c r="AC10" t="s">
        <v>2209</v>
      </c>
      <c r="AD10" t="s">
        <v>2216</v>
      </c>
      <c r="AE10" t="s">
        <v>2165</v>
      </c>
      <c r="AG10" t="s">
        <v>2220</v>
      </c>
      <c r="AH10">
        <v>118</v>
      </c>
      <c r="AI10">
        <v>148</v>
      </c>
      <c r="AJ10">
        <v>30</v>
      </c>
      <c r="AK10">
        <v>5</v>
      </c>
      <c r="AL10" t="s">
        <v>2224</v>
      </c>
      <c r="AM10">
        <v>0</v>
      </c>
      <c r="AN10" t="s">
        <v>2176</v>
      </c>
      <c r="AO10" t="s">
        <v>2176</v>
      </c>
      <c r="AP10" t="s">
        <v>2176</v>
      </c>
      <c r="AQ10">
        <v>30.15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4.5999999999999996</v>
      </c>
      <c r="AY10">
        <v>4.5999999999999996</v>
      </c>
      <c r="AZ10">
        <v>1</v>
      </c>
      <c r="BA10">
        <v>2</v>
      </c>
      <c r="BB10">
        <v>36</v>
      </c>
      <c r="BC10">
        <v>27</v>
      </c>
      <c r="BD10">
        <v>31.37</v>
      </c>
      <c r="BE10">
        <v>158</v>
      </c>
      <c r="BF10">
        <v>87.1</v>
      </c>
      <c r="BG10">
        <v>36</v>
      </c>
      <c r="BH10">
        <v>27</v>
      </c>
      <c r="BI10">
        <v>31.37</v>
      </c>
      <c r="BJ10">
        <v>158</v>
      </c>
      <c r="BK10">
        <v>87.1</v>
      </c>
      <c r="BL10">
        <v>158</v>
      </c>
      <c r="BM10">
        <v>9.5934000000000008</v>
      </c>
    </row>
    <row r="11" spans="1:65" x14ac:dyDescent="0.25">
      <c r="A11" t="s">
        <v>74</v>
      </c>
      <c r="B11" t="s">
        <v>1194</v>
      </c>
      <c r="C11" t="s">
        <v>2158</v>
      </c>
      <c r="D11" s="1">
        <v>45355</v>
      </c>
      <c r="E11" s="1">
        <v>45391</v>
      </c>
      <c r="F11" s="1">
        <v>45442</v>
      </c>
      <c r="G11" t="s">
        <v>2164</v>
      </c>
      <c r="H11" t="s">
        <v>2170</v>
      </c>
      <c r="I11" t="s">
        <v>2176</v>
      </c>
      <c r="J11">
        <v>5878</v>
      </c>
      <c r="K11">
        <v>177</v>
      </c>
      <c r="L11">
        <v>8.8000000000000007</v>
      </c>
      <c r="M11">
        <v>11.3</v>
      </c>
      <c r="N11">
        <v>2</v>
      </c>
      <c r="O11">
        <v>7630</v>
      </c>
      <c r="P11" t="s">
        <v>2176</v>
      </c>
      <c r="Q11">
        <v>7</v>
      </c>
      <c r="R11">
        <v>10</v>
      </c>
      <c r="S11">
        <v>10</v>
      </c>
      <c r="T11">
        <v>592</v>
      </c>
      <c r="U11" t="s">
        <v>2164</v>
      </c>
      <c r="V11" t="s">
        <v>2170</v>
      </c>
      <c r="W11" t="s">
        <v>2208</v>
      </c>
      <c r="X11" t="s">
        <v>2210</v>
      </c>
      <c r="Y11" t="s">
        <v>2212</v>
      </c>
      <c r="Z11" s="1">
        <v>45433</v>
      </c>
      <c r="AA11" s="1">
        <v>45438</v>
      </c>
      <c r="AB11" t="s">
        <v>2214</v>
      </c>
      <c r="AC11" t="s">
        <v>2209</v>
      </c>
      <c r="AD11" t="s">
        <v>2216</v>
      </c>
      <c r="AE11" t="s">
        <v>2164</v>
      </c>
      <c r="AG11" t="s">
        <v>2220</v>
      </c>
      <c r="AH11">
        <v>27</v>
      </c>
      <c r="AI11">
        <v>42</v>
      </c>
      <c r="AJ11">
        <v>15</v>
      </c>
      <c r="AK11">
        <v>4</v>
      </c>
      <c r="AL11" t="s">
        <v>2225</v>
      </c>
      <c r="AM11">
        <v>0</v>
      </c>
      <c r="AN11" t="s">
        <v>2177</v>
      </c>
      <c r="AO11" t="s">
        <v>2176</v>
      </c>
      <c r="AP11" t="s">
        <v>2177</v>
      </c>
      <c r="AQ11">
        <v>99.440000000000012</v>
      </c>
      <c r="AR11">
        <v>1</v>
      </c>
      <c r="AS11">
        <v>2</v>
      </c>
      <c r="AT11">
        <v>1</v>
      </c>
      <c r="AU11">
        <v>2</v>
      </c>
      <c r="AV11">
        <v>1.666666666666667</v>
      </c>
      <c r="AW11">
        <v>4.5</v>
      </c>
      <c r="AY11">
        <v>4.5</v>
      </c>
      <c r="AZ11">
        <v>2</v>
      </c>
      <c r="BA11">
        <v>1</v>
      </c>
      <c r="BB11">
        <v>30</v>
      </c>
      <c r="BC11">
        <v>26</v>
      </c>
      <c r="BD11">
        <v>26.42</v>
      </c>
      <c r="BE11">
        <v>126</v>
      </c>
      <c r="BF11">
        <v>88.1</v>
      </c>
      <c r="BG11">
        <v>30</v>
      </c>
      <c r="BH11">
        <v>26</v>
      </c>
      <c r="BI11">
        <v>26.42</v>
      </c>
      <c r="BJ11">
        <v>126</v>
      </c>
      <c r="BK11">
        <v>88.1</v>
      </c>
      <c r="BL11">
        <v>126</v>
      </c>
      <c r="BM11">
        <v>1.7937000000000001</v>
      </c>
    </row>
    <row r="12" spans="1:65" x14ac:dyDescent="0.25">
      <c r="A12" t="s">
        <v>75</v>
      </c>
      <c r="B12" t="s">
        <v>1195</v>
      </c>
      <c r="C12" t="s">
        <v>2157</v>
      </c>
      <c r="D12" s="1">
        <v>45355</v>
      </c>
      <c r="E12" s="1">
        <v>45396</v>
      </c>
      <c r="F12" s="1">
        <v>45568</v>
      </c>
      <c r="G12" t="s">
        <v>2162</v>
      </c>
      <c r="H12" t="s">
        <v>2168</v>
      </c>
      <c r="I12" t="s">
        <v>2176</v>
      </c>
      <c r="J12">
        <v>52064</v>
      </c>
      <c r="K12">
        <v>1562</v>
      </c>
      <c r="L12">
        <v>6.1</v>
      </c>
      <c r="M12">
        <v>3.8</v>
      </c>
      <c r="N12">
        <v>3</v>
      </c>
      <c r="O12">
        <v>8741</v>
      </c>
      <c r="P12" t="s">
        <v>2176</v>
      </c>
      <c r="Q12">
        <v>18</v>
      </c>
      <c r="R12">
        <v>30</v>
      </c>
      <c r="S12">
        <v>84</v>
      </c>
      <c r="T12">
        <v>620</v>
      </c>
      <c r="U12" t="s">
        <v>2162</v>
      </c>
      <c r="V12" t="s">
        <v>2168</v>
      </c>
      <c r="W12" t="s">
        <v>2208</v>
      </c>
      <c r="X12" t="s">
        <v>2210</v>
      </c>
      <c r="Y12" t="s">
        <v>2212</v>
      </c>
      <c r="Z12" s="1">
        <v>45560</v>
      </c>
      <c r="AA12" s="1">
        <v>45564</v>
      </c>
      <c r="AB12" t="s">
        <v>2214</v>
      </c>
      <c r="AC12" t="s">
        <v>2209</v>
      </c>
      <c r="AD12" t="s">
        <v>2216</v>
      </c>
      <c r="AE12" t="s">
        <v>2162</v>
      </c>
      <c r="AG12" t="s">
        <v>2220</v>
      </c>
      <c r="AH12">
        <v>132</v>
      </c>
      <c r="AI12">
        <v>164</v>
      </c>
      <c r="AJ12">
        <v>32</v>
      </c>
      <c r="AK12">
        <v>4</v>
      </c>
      <c r="AL12" t="s">
        <v>2225</v>
      </c>
      <c r="AM12">
        <v>0</v>
      </c>
      <c r="AN12" t="s">
        <v>2176</v>
      </c>
      <c r="AO12" t="s">
        <v>2176</v>
      </c>
      <c r="AP12" t="s">
        <v>2177</v>
      </c>
      <c r="AQ12">
        <v>23.18</v>
      </c>
      <c r="AR12">
        <v>1</v>
      </c>
      <c r="AS12">
        <v>1</v>
      </c>
      <c r="AT12">
        <v>1</v>
      </c>
      <c r="AU12">
        <v>2</v>
      </c>
      <c r="AV12">
        <v>1.333333333333333</v>
      </c>
      <c r="AW12">
        <v>4.2</v>
      </c>
      <c r="AY12">
        <v>4.2</v>
      </c>
      <c r="AZ12">
        <v>1</v>
      </c>
      <c r="BA12">
        <v>1</v>
      </c>
      <c r="BB12">
        <v>25</v>
      </c>
      <c r="BC12">
        <v>26</v>
      </c>
      <c r="BD12">
        <v>21.81</v>
      </c>
      <c r="BE12">
        <v>104</v>
      </c>
      <c r="BF12">
        <v>87.2</v>
      </c>
      <c r="BG12">
        <v>25</v>
      </c>
      <c r="BH12">
        <v>26</v>
      </c>
      <c r="BI12">
        <v>21.81</v>
      </c>
      <c r="BJ12">
        <v>104</v>
      </c>
      <c r="BK12">
        <v>87.2</v>
      </c>
      <c r="BL12">
        <v>104</v>
      </c>
      <c r="BM12">
        <v>19.247299999999999</v>
      </c>
    </row>
    <row r="13" spans="1:65" x14ac:dyDescent="0.25">
      <c r="A13" t="s">
        <v>76</v>
      </c>
      <c r="B13" t="s">
        <v>1185</v>
      </c>
      <c r="C13" t="s">
        <v>2157</v>
      </c>
      <c r="D13" s="1">
        <v>45432</v>
      </c>
      <c r="E13" s="1">
        <v>45473</v>
      </c>
      <c r="F13" s="1">
        <v>45620</v>
      </c>
      <c r="G13" t="s">
        <v>2161</v>
      </c>
      <c r="H13" t="s">
        <v>2167</v>
      </c>
      <c r="I13" t="s">
        <v>2173</v>
      </c>
      <c r="J13">
        <v>50148</v>
      </c>
      <c r="K13">
        <v>1505</v>
      </c>
      <c r="L13">
        <v>11.6</v>
      </c>
      <c r="M13">
        <v>14.3</v>
      </c>
      <c r="N13">
        <v>6</v>
      </c>
      <c r="O13">
        <v>15293</v>
      </c>
      <c r="P13" t="s">
        <v>2177</v>
      </c>
      <c r="Q13">
        <v>18</v>
      </c>
      <c r="R13">
        <v>30</v>
      </c>
      <c r="S13">
        <v>65</v>
      </c>
      <c r="T13">
        <v>782</v>
      </c>
      <c r="U13" t="s">
        <v>2161</v>
      </c>
      <c r="V13" t="s">
        <v>2167</v>
      </c>
      <c r="W13" t="s">
        <v>2208</v>
      </c>
      <c r="X13" t="s">
        <v>2210</v>
      </c>
      <c r="Y13" t="s">
        <v>2212</v>
      </c>
      <c r="Z13" s="1">
        <v>45615</v>
      </c>
      <c r="AA13" s="1">
        <v>45620</v>
      </c>
      <c r="AB13" t="s">
        <v>2214</v>
      </c>
      <c r="AC13" t="s">
        <v>2209</v>
      </c>
      <c r="AD13" t="s">
        <v>2216</v>
      </c>
      <c r="AE13" t="s">
        <v>2161</v>
      </c>
      <c r="AG13" t="s">
        <v>2220</v>
      </c>
      <c r="AH13">
        <v>113</v>
      </c>
      <c r="AI13">
        <v>142</v>
      </c>
      <c r="AJ13">
        <v>29</v>
      </c>
      <c r="AK13">
        <v>6</v>
      </c>
      <c r="AL13" t="s">
        <v>2223</v>
      </c>
      <c r="AM13">
        <v>0</v>
      </c>
      <c r="AN13" t="s">
        <v>2175</v>
      </c>
      <c r="AO13" t="s">
        <v>2177</v>
      </c>
      <c r="AP13" t="s">
        <v>2175</v>
      </c>
      <c r="AQ13">
        <v>165.88</v>
      </c>
      <c r="AR13">
        <v>2</v>
      </c>
      <c r="AS13">
        <v>3</v>
      </c>
      <c r="AT13">
        <v>2</v>
      </c>
      <c r="AU13">
        <v>3</v>
      </c>
      <c r="AV13">
        <v>2.666666666666667</v>
      </c>
      <c r="AW13">
        <v>4.3</v>
      </c>
      <c r="AY13">
        <v>4.3</v>
      </c>
      <c r="AZ13">
        <v>1</v>
      </c>
      <c r="BA13">
        <v>3</v>
      </c>
      <c r="BB13">
        <v>36</v>
      </c>
      <c r="BC13">
        <v>25</v>
      </c>
      <c r="BD13">
        <v>31.92</v>
      </c>
      <c r="BE13">
        <v>149</v>
      </c>
      <c r="BF13">
        <v>88.7</v>
      </c>
      <c r="BG13">
        <v>36</v>
      </c>
      <c r="BH13">
        <v>25</v>
      </c>
      <c r="BI13">
        <v>31.92</v>
      </c>
      <c r="BJ13">
        <v>149</v>
      </c>
      <c r="BK13">
        <v>88.7</v>
      </c>
      <c r="BL13">
        <v>149</v>
      </c>
      <c r="BM13">
        <v>13.4589</v>
      </c>
    </row>
    <row r="14" spans="1:65" x14ac:dyDescent="0.25">
      <c r="A14" t="s">
        <v>77</v>
      </c>
      <c r="B14" t="s">
        <v>1196</v>
      </c>
      <c r="C14" t="s">
        <v>2157</v>
      </c>
      <c r="D14" s="1">
        <v>45390</v>
      </c>
      <c r="E14" s="1">
        <v>45427</v>
      </c>
      <c r="F14" s="1">
        <v>45562</v>
      </c>
      <c r="G14" t="s">
        <v>2164</v>
      </c>
      <c r="H14" t="s">
        <v>2170</v>
      </c>
      <c r="I14" t="s">
        <v>2173</v>
      </c>
      <c r="J14">
        <v>40390</v>
      </c>
      <c r="K14">
        <v>1212</v>
      </c>
      <c r="L14">
        <v>11</v>
      </c>
      <c r="M14">
        <v>8.9</v>
      </c>
      <c r="N14">
        <v>4</v>
      </c>
      <c r="O14">
        <v>15556</v>
      </c>
      <c r="P14" t="s">
        <v>2177</v>
      </c>
      <c r="Q14">
        <v>18</v>
      </c>
      <c r="R14">
        <v>30</v>
      </c>
      <c r="S14">
        <v>54</v>
      </c>
      <c r="T14">
        <v>753</v>
      </c>
      <c r="U14" t="s">
        <v>2164</v>
      </c>
      <c r="V14" t="s">
        <v>2170</v>
      </c>
      <c r="W14" t="s">
        <v>2208</v>
      </c>
      <c r="X14" t="s">
        <v>2210</v>
      </c>
      <c r="Y14" t="s">
        <v>2212</v>
      </c>
      <c r="Z14" s="1">
        <v>45557</v>
      </c>
      <c r="AA14" s="1">
        <v>45557</v>
      </c>
      <c r="AB14" t="s">
        <v>2214</v>
      </c>
      <c r="AC14" t="s">
        <v>2209</v>
      </c>
      <c r="AD14" t="s">
        <v>2216</v>
      </c>
      <c r="AE14" t="s">
        <v>2164</v>
      </c>
      <c r="AG14" t="s">
        <v>2220</v>
      </c>
      <c r="AH14">
        <v>102</v>
      </c>
      <c r="AI14">
        <v>130</v>
      </c>
      <c r="AJ14">
        <v>28</v>
      </c>
      <c r="AK14">
        <v>5</v>
      </c>
      <c r="AL14" t="s">
        <v>2224</v>
      </c>
      <c r="AM14">
        <v>0</v>
      </c>
      <c r="AN14" t="s">
        <v>2177</v>
      </c>
      <c r="AO14" t="s">
        <v>2177</v>
      </c>
      <c r="AP14" t="s">
        <v>2175</v>
      </c>
      <c r="AQ14">
        <v>97.9</v>
      </c>
      <c r="AR14">
        <v>2</v>
      </c>
      <c r="AS14">
        <v>2</v>
      </c>
      <c r="AT14">
        <v>2</v>
      </c>
      <c r="AU14">
        <v>3</v>
      </c>
      <c r="AV14">
        <v>2.333333333333333</v>
      </c>
      <c r="AW14">
        <v>4.5</v>
      </c>
      <c r="AY14">
        <v>4.5</v>
      </c>
      <c r="AZ14">
        <v>1</v>
      </c>
      <c r="BA14">
        <v>3</v>
      </c>
      <c r="BB14">
        <v>35</v>
      </c>
      <c r="BC14">
        <v>27</v>
      </c>
      <c r="BD14">
        <v>30.96</v>
      </c>
      <c r="BE14">
        <v>158</v>
      </c>
      <c r="BF14">
        <v>88.5</v>
      </c>
      <c r="BG14">
        <v>35</v>
      </c>
      <c r="BH14">
        <v>27</v>
      </c>
      <c r="BI14">
        <v>30.96</v>
      </c>
      <c r="BJ14">
        <v>158</v>
      </c>
      <c r="BK14">
        <v>88.5</v>
      </c>
      <c r="BL14">
        <v>158</v>
      </c>
      <c r="BM14">
        <v>9.4657</v>
      </c>
    </row>
    <row r="15" spans="1:65" x14ac:dyDescent="0.25">
      <c r="A15" t="s">
        <v>78</v>
      </c>
      <c r="B15" t="s">
        <v>1197</v>
      </c>
      <c r="C15" t="s">
        <v>2159</v>
      </c>
      <c r="D15" s="1">
        <v>45376</v>
      </c>
      <c r="E15" s="1">
        <v>45409</v>
      </c>
      <c r="F15" s="1">
        <v>45518</v>
      </c>
      <c r="G15" t="s">
        <v>2163</v>
      </c>
      <c r="H15" t="s">
        <v>2169</v>
      </c>
      <c r="I15" t="s">
        <v>2176</v>
      </c>
      <c r="J15">
        <v>26130</v>
      </c>
      <c r="K15">
        <v>784</v>
      </c>
      <c r="L15">
        <v>5.2</v>
      </c>
      <c r="M15">
        <v>6.9</v>
      </c>
      <c r="N15">
        <v>3</v>
      </c>
      <c r="O15">
        <v>8983</v>
      </c>
      <c r="P15" t="s">
        <v>2176</v>
      </c>
      <c r="Q15">
        <v>14</v>
      </c>
      <c r="R15">
        <v>20</v>
      </c>
      <c r="S15">
        <v>46</v>
      </c>
      <c r="T15">
        <v>577</v>
      </c>
      <c r="U15" t="s">
        <v>2163</v>
      </c>
      <c r="V15" t="s">
        <v>2169</v>
      </c>
      <c r="W15" t="s">
        <v>2208</v>
      </c>
      <c r="X15" t="s">
        <v>2210</v>
      </c>
      <c r="Y15" t="s">
        <v>2212</v>
      </c>
      <c r="Z15" s="1">
        <v>45513</v>
      </c>
      <c r="AA15" s="1">
        <v>45515</v>
      </c>
      <c r="AB15" t="s">
        <v>2214</v>
      </c>
      <c r="AC15" t="s">
        <v>2209</v>
      </c>
      <c r="AD15" t="s">
        <v>2216</v>
      </c>
      <c r="AE15" t="s">
        <v>2163</v>
      </c>
      <c r="AG15" t="s">
        <v>2220</v>
      </c>
      <c r="AH15">
        <v>80</v>
      </c>
      <c r="AI15">
        <v>104</v>
      </c>
      <c r="AJ15">
        <v>24</v>
      </c>
      <c r="AK15">
        <v>4</v>
      </c>
      <c r="AL15" t="s">
        <v>2225</v>
      </c>
      <c r="AM15">
        <v>0</v>
      </c>
      <c r="AN15" t="s">
        <v>2177</v>
      </c>
      <c r="AO15" t="s">
        <v>2176</v>
      </c>
      <c r="AP15" t="s">
        <v>2177</v>
      </c>
      <c r="AQ15">
        <v>35.880000000000003</v>
      </c>
      <c r="AR15">
        <v>1</v>
      </c>
      <c r="AS15">
        <v>2</v>
      </c>
      <c r="AT15">
        <v>1</v>
      </c>
      <c r="AU15">
        <v>2</v>
      </c>
      <c r="AV15">
        <v>1.666666666666667</v>
      </c>
      <c r="AW15">
        <v>4.4000000000000004</v>
      </c>
      <c r="AY15">
        <v>4.4000000000000004</v>
      </c>
      <c r="AZ15">
        <v>3</v>
      </c>
      <c r="BA15">
        <v>1</v>
      </c>
      <c r="BB15">
        <v>31</v>
      </c>
      <c r="BC15">
        <v>26</v>
      </c>
      <c r="BD15">
        <v>27.23</v>
      </c>
      <c r="BE15">
        <v>132</v>
      </c>
      <c r="BF15">
        <v>87.8</v>
      </c>
      <c r="BG15">
        <v>31</v>
      </c>
      <c r="BH15">
        <v>26</v>
      </c>
      <c r="BI15">
        <v>27.23</v>
      </c>
      <c r="BJ15">
        <v>132</v>
      </c>
      <c r="BK15">
        <v>87.8</v>
      </c>
      <c r="BL15">
        <v>132</v>
      </c>
      <c r="BM15">
        <v>7.6113999999999997</v>
      </c>
    </row>
    <row r="16" spans="1:65" x14ac:dyDescent="0.25">
      <c r="A16" t="s">
        <v>79</v>
      </c>
      <c r="B16" t="s">
        <v>1198</v>
      </c>
      <c r="C16" t="s">
        <v>2159</v>
      </c>
      <c r="D16" s="1">
        <v>45453</v>
      </c>
      <c r="E16" s="1">
        <v>45485</v>
      </c>
      <c r="F16" s="1">
        <v>45585</v>
      </c>
      <c r="G16" t="s">
        <v>2166</v>
      </c>
      <c r="H16" t="s">
        <v>2172</v>
      </c>
      <c r="I16" t="s">
        <v>2176</v>
      </c>
      <c r="J16">
        <v>26499</v>
      </c>
      <c r="K16">
        <v>795</v>
      </c>
      <c r="L16">
        <v>6.6</v>
      </c>
      <c r="M16">
        <v>7.7</v>
      </c>
      <c r="N16">
        <v>5</v>
      </c>
      <c r="O16">
        <v>3479</v>
      </c>
      <c r="P16" t="s">
        <v>2176</v>
      </c>
      <c r="Q16">
        <v>14</v>
      </c>
      <c r="R16">
        <v>20</v>
      </c>
      <c r="S16">
        <v>35</v>
      </c>
      <c r="T16">
        <v>774</v>
      </c>
      <c r="U16" t="s">
        <v>2166</v>
      </c>
      <c r="V16" t="s">
        <v>2172</v>
      </c>
      <c r="W16" t="s">
        <v>2208</v>
      </c>
      <c r="X16" t="s">
        <v>2210</v>
      </c>
      <c r="Y16" t="s">
        <v>2212</v>
      </c>
      <c r="Z16" s="1">
        <v>45576</v>
      </c>
      <c r="AA16" s="1">
        <v>45578</v>
      </c>
      <c r="AB16" t="s">
        <v>2214</v>
      </c>
      <c r="AC16" t="s">
        <v>2209</v>
      </c>
      <c r="AD16" t="s">
        <v>2216</v>
      </c>
      <c r="AE16" t="s">
        <v>2166</v>
      </c>
      <c r="AG16" t="s">
        <v>2220</v>
      </c>
      <c r="AH16">
        <v>69</v>
      </c>
      <c r="AI16">
        <v>91</v>
      </c>
      <c r="AJ16">
        <v>22</v>
      </c>
      <c r="AK16">
        <v>7</v>
      </c>
      <c r="AL16" t="s">
        <v>2226</v>
      </c>
      <c r="AM16">
        <v>0</v>
      </c>
      <c r="AN16" t="s">
        <v>2177</v>
      </c>
      <c r="AO16" t="s">
        <v>2177</v>
      </c>
      <c r="AP16" t="s">
        <v>2176</v>
      </c>
      <c r="AQ16">
        <v>50.82</v>
      </c>
      <c r="AR16">
        <v>1</v>
      </c>
      <c r="AS16">
        <v>2</v>
      </c>
      <c r="AT16">
        <v>2</v>
      </c>
      <c r="AU16">
        <v>1</v>
      </c>
      <c r="AV16">
        <v>1.666666666666667</v>
      </c>
      <c r="AW16">
        <v>4.8</v>
      </c>
      <c r="AY16">
        <v>4.8</v>
      </c>
      <c r="AZ16">
        <v>3</v>
      </c>
      <c r="BA16">
        <v>1</v>
      </c>
      <c r="BB16">
        <v>48</v>
      </c>
      <c r="BC16">
        <v>27</v>
      </c>
      <c r="BD16">
        <v>42.33</v>
      </c>
      <c r="BE16">
        <v>216</v>
      </c>
      <c r="BF16">
        <v>88.2</v>
      </c>
      <c r="BG16">
        <v>48</v>
      </c>
      <c r="BH16">
        <v>27</v>
      </c>
      <c r="BI16">
        <v>42.33</v>
      </c>
      <c r="BJ16">
        <v>216</v>
      </c>
      <c r="BK16">
        <v>88.2</v>
      </c>
      <c r="BL16">
        <v>216</v>
      </c>
      <c r="BM16">
        <v>4.5429000000000004</v>
      </c>
    </row>
    <row r="17" spans="1:65" x14ac:dyDescent="0.25">
      <c r="A17" t="s">
        <v>80</v>
      </c>
      <c r="B17" t="s">
        <v>1199</v>
      </c>
      <c r="C17" t="s">
        <v>2160</v>
      </c>
      <c r="D17" s="1">
        <v>45453</v>
      </c>
      <c r="E17" s="1">
        <v>45484</v>
      </c>
      <c r="F17" s="1">
        <v>45545</v>
      </c>
      <c r="G17" t="s">
        <v>2165</v>
      </c>
      <c r="H17" t="s">
        <v>2171</v>
      </c>
      <c r="I17" t="s">
        <v>2175</v>
      </c>
      <c r="J17">
        <v>18073</v>
      </c>
      <c r="K17">
        <v>543</v>
      </c>
      <c r="L17">
        <v>12.5</v>
      </c>
      <c r="M17">
        <v>11</v>
      </c>
      <c r="N17">
        <v>7</v>
      </c>
      <c r="O17">
        <v>12643</v>
      </c>
      <c r="P17" t="s">
        <v>2177</v>
      </c>
      <c r="Q17">
        <v>10</v>
      </c>
      <c r="R17">
        <v>14</v>
      </c>
      <c r="S17">
        <v>22</v>
      </c>
      <c r="T17">
        <v>832</v>
      </c>
      <c r="U17" t="s">
        <v>2165</v>
      </c>
      <c r="V17" t="s">
        <v>2171</v>
      </c>
      <c r="W17" t="s">
        <v>2208</v>
      </c>
      <c r="X17" t="s">
        <v>2210</v>
      </c>
      <c r="Y17" t="s">
        <v>2212</v>
      </c>
      <c r="Z17" s="1">
        <v>45548</v>
      </c>
      <c r="AA17" s="1">
        <v>45550</v>
      </c>
      <c r="AB17" t="s">
        <v>2215</v>
      </c>
      <c r="AC17" t="s">
        <v>2208</v>
      </c>
      <c r="AD17" t="s">
        <v>2217</v>
      </c>
      <c r="AE17" t="s">
        <v>2165</v>
      </c>
      <c r="AG17" t="s">
        <v>2220</v>
      </c>
      <c r="AH17">
        <v>46</v>
      </c>
      <c r="AI17">
        <v>64</v>
      </c>
      <c r="AJ17">
        <v>18</v>
      </c>
      <c r="AK17">
        <v>7</v>
      </c>
      <c r="AL17" t="s">
        <v>2226</v>
      </c>
      <c r="AM17">
        <v>0</v>
      </c>
      <c r="AN17" t="s">
        <v>2175</v>
      </c>
      <c r="AO17" t="s">
        <v>2175</v>
      </c>
      <c r="AP17" t="s">
        <v>2177</v>
      </c>
      <c r="AQ17">
        <v>137.5</v>
      </c>
      <c r="AR17">
        <v>2</v>
      </c>
      <c r="AS17">
        <v>3</v>
      </c>
      <c r="AT17">
        <v>3</v>
      </c>
      <c r="AU17">
        <v>2</v>
      </c>
      <c r="AV17">
        <v>2.666666666666667</v>
      </c>
      <c r="AW17">
        <v>4.5999999999999996</v>
      </c>
      <c r="AY17">
        <v>4.5999999999999996</v>
      </c>
      <c r="AZ17">
        <v>0</v>
      </c>
      <c r="BA17">
        <v>0</v>
      </c>
      <c r="BB17">
        <v>38</v>
      </c>
      <c r="BC17">
        <v>27</v>
      </c>
      <c r="BD17">
        <v>34</v>
      </c>
      <c r="BE17">
        <v>174</v>
      </c>
      <c r="BF17">
        <v>89.5</v>
      </c>
      <c r="BG17">
        <v>38</v>
      </c>
      <c r="BH17">
        <v>27</v>
      </c>
      <c r="BI17">
        <v>34</v>
      </c>
      <c r="BJ17">
        <v>174</v>
      </c>
      <c r="BK17">
        <v>89.5</v>
      </c>
      <c r="BL17">
        <v>174</v>
      </c>
      <c r="BM17">
        <v>3.8460999999999999</v>
      </c>
    </row>
    <row r="18" spans="1:65" x14ac:dyDescent="0.25">
      <c r="A18" t="s">
        <v>81</v>
      </c>
      <c r="B18" t="s">
        <v>1200</v>
      </c>
      <c r="C18" t="s">
        <v>2160</v>
      </c>
      <c r="D18" s="1">
        <v>45348</v>
      </c>
      <c r="E18" s="1">
        <v>45386</v>
      </c>
      <c r="F18" s="1">
        <v>45437</v>
      </c>
      <c r="G18" t="s">
        <v>2163</v>
      </c>
      <c r="H18" t="s">
        <v>2169</v>
      </c>
      <c r="I18" t="s">
        <v>2173</v>
      </c>
      <c r="J18">
        <v>9699</v>
      </c>
      <c r="K18">
        <v>291</v>
      </c>
      <c r="L18">
        <v>7.6</v>
      </c>
      <c r="M18">
        <v>14.8</v>
      </c>
      <c r="N18">
        <v>3</v>
      </c>
      <c r="O18">
        <v>13637</v>
      </c>
      <c r="P18" t="s">
        <v>2176</v>
      </c>
      <c r="Q18">
        <v>7</v>
      </c>
      <c r="R18">
        <v>10</v>
      </c>
      <c r="S18">
        <v>15</v>
      </c>
      <c r="T18">
        <v>662</v>
      </c>
      <c r="U18" t="s">
        <v>2163</v>
      </c>
      <c r="V18" t="s">
        <v>2169</v>
      </c>
      <c r="W18" t="s">
        <v>2208</v>
      </c>
      <c r="X18" t="s">
        <v>2210</v>
      </c>
      <c r="Y18" t="s">
        <v>2212</v>
      </c>
      <c r="Z18" s="1">
        <v>45434</v>
      </c>
      <c r="AA18" s="1">
        <v>45437</v>
      </c>
      <c r="AB18" t="s">
        <v>2214</v>
      </c>
      <c r="AC18" t="s">
        <v>2209</v>
      </c>
      <c r="AD18" t="s">
        <v>2216</v>
      </c>
      <c r="AE18" t="s">
        <v>2163</v>
      </c>
      <c r="AG18" t="s">
        <v>2220</v>
      </c>
      <c r="AH18">
        <v>32</v>
      </c>
      <c r="AI18">
        <v>48</v>
      </c>
      <c r="AJ18">
        <v>16</v>
      </c>
      <c r="AK18">
        <v>4</v>
      </c>
      <c r="AL18" t="s">
        <v>2225</v>
      </c>
      <c r="AM18">
        <v>0</v>
      </c>
      <c r="AN18" t="s">
        <v>2177</v>
      </c>
      <c r="AO18" t="s">
        <v>2176</v>
      </c>
      <c r="AP18" t="s">
        <v>2177</v>
      </c>
      <c r="AQ18">
        <v>112.48</v>
      </c>
      <c r="AR18">
        <v>1</v>
      </c>
      <c r="AS18">
        <v>2</v>
      </c>
      <c r="AT18">
        <v>1</v>
      </c>
      <c r="AU18">
        <v>2</v>
      </c>
      <c r="AV18">
        <v>1.666666666666667</v>
      </c>
      <c r="AW18">
        <v>4.4000000000000004</v>
      </c>
      <c r="AY18">
        <v>4.4000000000000004</v>
      </c>
      <c r="AZ18">
        <v>0</v>
      </c>
      <c r="BA18">
        <v>3</v>
      </c>
      <c r="BB18">
        <v>31</v>
      </c>
      <c r="BC18">
        <v>26</v>
      </c>
      <c r="BD18">
        <v>27.23</v>
      </c>
      <c r="BE18">
        <v>132</v>
      </c>
      <c r="BF18">
        <v>87.8</v>
      </c>
      <c r="BG18">
        <v>31</v>
      </c>
      <c r="BH18">
        <v>26</v>
      </c>
      <c r="BI18">
        <v>27.23</v>
      </c>
      <c r="BJ18">
        <v>132</v>
      </c>
      <c r="BK18">
        <v>87.8</v>
      </c>
      <c r="BL18">
        <v>132</v>
      </c>
      <c r="BM18">
        <v>2.8252000000000002</v>
      </c>
    </row>
    <row r="19" spans="1:65" x14ac:dyDescent="0.25">
      <c r="A19" t="s">
        <v>82</v>
      </c>
      <c r="B19" t="s">
        <v>1201</v>
      </c>
      <c r="C19" t="s">
        <v>2159</v>
      </c>
      <c r="D19" s="1">
        <v>45348</v>
      </c>
      <c r="E19" s="1">
        <v>45380</v>
      </c>
      <c r="F19" s="1">
        <v>45478</v>
      </c>
      <c r="G19" t="s">
        <v>2165</v>
      </c>
      <c r="H19" t="s">
        <v>2171</v>
      </c>
      <c r="I19" t="s">
        <v>2174</v>
      </c>
      <c r="J19">
        <v>19213</v>
      </c>
      <c r="K19">
        <v>577</v>
      </c>
      <c r="L19">
        <v>4.9000000000000004</v>
      </c>
      <c r="M19">
        <v>5.3</v>
      </c>
      <c r="N19">
        <v>3</v>
      </c>
      <c r="O19">
        <v>1528</v>
      </c>
      <c r="P19" t="s">
        <v>2176</v>
      </c>
      <c r="Q19">
        <v>10</v>
      </c>
      <c r="R19">
        <v>14</v>
      </c>
      <c r="S19">
        <v>36</v>
      </c>
      <c r="T19">
        <v>539</v>
      </c>
      <c r="U19" t="s">
        <v>2165</v>
      </c>
      <c r="V19" t="s">
        <v>2171</v>
      </c>
      <c r="W19" t="s">
        <v>2208</v>
      </c>
      <c r="X19" t="s">
        <v>2210</v>
      </c>
      <c r="Y19" t="s">
        <v>2212</v>
      </c>
      <c r="Z19" s="1">
        <v>45461</v>
      </c>
      <c r="AA19" s="1">
        <v>45465</v>
      </c>
      <c r="AB19" t="s">
        <v>2214</v>
      </c>
      <c r="AC19" t="s">
        <v>2209</v>
      </c>
      <c r="AD19" t="s">
        <v>2216</v>
      </c>
      <c r="AE19" t="s">
        <v>2165</v>
      </c>
      <c r="AG19" t="s">
        <v>2220</v>
      </c>
      <c r="AH19">
        <v>60</v>
      </c>
      <c r="AI19">
        <v>81</v>
      </c>
      <c r="AJ19">
        <v>21</v>
      </c>
      <c r="AK19">
        <v>3</v>
      </c>
      <c r="AL19" t="s">
        <v>2227</v>
      </c>
      <c r="AM19">
        <v>0</v>
      </c>
      <c r="AN19" t="s">
        <v>2176</v>
      </c>
      <c r="AO19" t="s">
        <v>2176</v>
      </c>
      <c r="AP19" t="s">
        <v>2176</v>
      </c>
      <c r="AQ19">
        <v>25.97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4.5999999999999996</v>
      </c>
      <c r="AY19">
        <v>4.5999999999999996</v>
      </c>
      <c r="AZ19">
        <v>3</v>
      </c>
      <c r="BA19">
        <v>2</v>
      </c>
      <c r="BB19">
        <v>48</v>
      </c>
      <c r="BC19">
        <v>26</v>
      </c>
      <c r="BD19">
        <v>42.38</v>
      </c>
      <c r="BE19">
        <v>212</v>
      </c>
      <c r="BF19">
        <v>88.3</v>
      </c>
      <c r="BG19">
        <v>48</v>
      </c>
      <c r="BH19">
        <v>26</v>
      </c>
      <c r="BI19">
        <v>42.38</v>
      </c>
      <c r="BJ19">
        <v>212</v>
      </c>
      <c r="BK19">
        <v>88.3</v>
      </c>
      <c r="BL19">
        <v>212</v>
      </c>
      <c r="BM19">
        <v>3.4849999999999999</v>
      </c>
    </row>
    <row r="20" spans="1:65" x14ac:dyDescent="0.25">
      <c r="A20" t="s">
        <v>83</v>
      </c>
      <c r="B20" t="s">
        <v>1202</v>
      </c>
      <c r="C20" t="s">
        <v>2157</v>
      </c>
      <c r="D20" s="1">
        <v>45327</v>
      </c>
      <c r="E20" s="1">
        <v>45370</v>
      </c>
      <c r="F20" s="1">
        <v>45521</v>
      </c>
      <c r="G20" t="s">
        <v>2163</v>
      </c>
      <c r="H20" t="s">
        <v>2169</v>
      </c>
      <c r="I20" t="s">
        <v>2176</v>
      </c>
      <c r="J20">
        <v>43693</v>
      </c>
      <c r="K20">
        <v>1311</v>
      </c>
      <c r="L20">
        <v>7.6</v>
      </c>
      <c r="M20">
        <v>10.5</v>
      </c>
      <c r="N20">
        <v>2</v>
      </c>
      <c r="O20">
        <v>5797</v>
      </c>
      <c r="P20" t="s">
        <v>2176</v>
      </c>
      <c r="Q20">
        <v>18</v>
      </c>
      <c r="R20">
        <v>30</v>
      </c>
      <c r="S20">
        <v>66</v>
      </c>
      <c r="T20">
        <v>669</v>
      </c>
      <c r="U20" t="s">
        <v>2163</v>
      </c>
      <c r="V20" t="s">
        <v>2169</v>
      </c>
      <c r="W20" t="s">
        <v>2208</v>
      </c>
      <c r="X20" t="s">
        <v>2210</v>
      </c>
      <c r="Y20" t="s">
        <v>2212</v>
      </c>
      <c r="Z20" s="1">
        <v>45514</v>
      </c>
      <c r="AA20" s="1">
        <v>45514</v>
      </c>
      <c r="AB20" t="s">
        <v>2214</v>
      </c>
      <c r="AC20" t="s">
        <v>2209</v>
      </c>
      <c r="AD20" t="s">
        <v>2216</v>
      </c>
      <c r="AE20" t="s">
        <v>2163</v>
      </c>
      <c r="AG20" t="s">
        <v>2220</v>
      </c>
      <c r="AH20">
        <v>114</v>
      </c>
      <c r="AI20">
        <v>144</v>
      </c>
      <c r="AJ20">
        <v>30</v>
      </c>
      <c r="AK20">
        <v>3</v>
      </c>
      <c r="AL20" t="s">
        <v>2227</v>
      </c>
      <c r="AM20">
        <v>0</v>
      </c>
      <c r="AN20" t="s">
        <v>2177</v>
      </c>
      <c r="AO20" t="s">
        <v>2176</v>
      </c>
      <c r="AP20" t="s">
        <v>2176</v>
      </c>
      <c r="AQ20">
        <v>79.8</v>
      </c>
      <c r="AR20">
        <v>1</v>
      </c>
      <c r="AS20">
        <v>2</v>
      </c>
      <c r="AT20">
        <v>1</v>
      </c>
      <c r="AU20">
        <v>1</v>
      </c>
      <c r="AV20">
        <v>1.333333333333333</v>
      </c>
      <c r="AW20">
        <v>4.4000000000000004</v>
      </c>
      <c r="AY20">
        <v>4.4000000000000004</v>
      </c>
      <c r="AZ20">
        <v>1</v>
      </c>
      <c r="BA20">
        <v>1</v>
      </c>
      <c r="BB20">
        <v>35</v>
      </c>
      <c r="BC20">
        <v>26</v>
      </c>
      <c r="BD20">
        <v>31.08</v>
      </c>
      <c r="BE20">
        <v>149</v>
      </c>
      <c r="BF20">
        <v>88.8</v>
      </c>
      <c r="BG20">
        <v>35</v>
      </c>
      <c r="BH20">
        <v>26</v>
      </c>
      <c r="BI20">
        <v>31.08</v>
      </c>
      <c r="BJ20">
        <v>149</v>
      </c>
      <c r="BK20">
        <v>88.8</v>
      </c>
      <c r="BL20">
        <v>149</v>
      </c>
      <c r="BM20">
        <v>11.275600000000001</v>
      </c>
    </row>
    <row r="21" spans="1:65" x14ac:dyDescent="0.25">
      <c r="A21" t="s">
        <v>84</v>
      </c>
      <c r="B21" t="s">
        <v>1203</v>
      </c>
      <c r="C21" t="s">
        <v>2160</v>
      </c>
      <c r="D21" s="1">
        <v>45341</v>
      </c>
      <c r="E21" s="1">
        <v>45383</v>
      </c>
      <c r="F21" s="1">
        <v>45435</v>
      </c>
      <c r="G21" t="s">
        <v>2161</v>
      </c>
      <c r="H21" t="s">
        <v>2167</v>
      </c>
      <c r="I21" t="s">
        <v>2174</v>
      </c>
      <c r="J21">
        <v>4635</v>
      </c>
      <c r="K21">
        <v>140</v>
      </c>
      <c r="L21">
        <v>3.6</v>
      </c>
      <c r="M21">
        <v>4</v>
      </c>
      <c r="N21">
        <v>3</v>
      </c>
      <c r="O21">
        <v>4871</v>
      </c>
      <c r="P21" t="s">
        <v>2176</v>
      </c>
      <c r="Q21">
        <v>5</v>
      </c>
      <c r="R21">
        <v>8</v>
      </c>
      <c r="S21">
        <v>7</v>
      </c>
      <c r="T21">
        <v>667</v>
      </c>
      <c r="U21" t="s">
        <v>2161</v>
      </c>
      <c r="V21" t="s">
        <v>2167</v>
      </c>
      <c r="W21" t="s">
        <v>2208</v>
      </c>
      <c r="X21" t="s">
        <v>2210</v>
      </c>
      <c r="Y21" t="s">
        <v>2212</v>
      </c>
      <c r="Z21" s="1">
        <v>45417</v>
      </c>
      <c r="AA21" s="1">
        <v>45423</v>
      </c>
      <c r="AB21" t="s">
        <v>2214</v>
      </c>
      <c r="AC21" t="s">
        <v>2209</v>
      </c>
      <c r="AD21" t="s">
        <v>2216</v>
      </c>
      <c r="AE21" t="s">
        <v>2161</v>
      </c>
      <c r="AG21" t="s">
        <v>2220</v>
      </c>
      <c r="AH21">
        <v>20</v>
      </c>
      <c r="AI21">
        <v>34</v>
      </c>
      <c r="AJ21">
        <v>14</v>
      </c>
      <c r="AK21">
        <v>4</v>
      </c>
      <c r="AL21" t="s">
        <v>2225</v>
      </c>
      <c r="AM21">
        <v>0</v>
      </c>
      <c r="AN21" t="s">
        <v>2176</v>
      </c>
      <c r="AO21" t="s">
        <v>2176</v>
      </c>
      <c r="AP21" t="s">
        <v>2176</v>
      </c>
      <c r="AQ21">
        <v>14.4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4.3</v>
      </c>
      <c r="AY21">
        <v>4.3</v>
      </c>
      <c r="AZ21">
        <v>0</v>
      </c>
      <c r="BA21">
        <v>2</v>
      </c>
      <c r="BB21">
        <v>32</v>
      </c>
      <c r="BC21">
        <v>26</v>
      </c>
      <c r="BD21">
        <v>28.46</v>
      </c>
      <c r="BE21">
        <v>138</v>
      </c>
      <c r="BF21">
        <v>88.9</v>
      </c>
      <c r="BG21">
        <v>32</v>
      </c>
      <c r="BH21">
        <v>26</v>
      </c>
      <c r="BI21">
        <v>28.46</v>
      </c>
      <c r="BJ21">
        <v>138</v>
      </c>
      <c r="BK21">
        <v>88.9</v>
      </c>
      <c r="BL21">
        <v>138</v>
      </c>
      <c r="BM21">
        <v>1.2914000000000001</v>
      </c>
    </row>
    <row r="22" spans="1:65" x14ac:dyDescent="0.25">
      <c r="A22" t="s">
        <v>85</v>
      </c>
      <c r="B22" t="s">
        <v>1204</v>
      </c>
      <c r="C22" t="s">
        <v>2159</v>
      </c>
      <c r="D22" s="1">
        <v>45390</v>
      </c>
      <c r="E22" s="1">
        <v>45435</v>
      </c>
      <c r="F22" s="1">
        <v>45494</v>
      </c>
      <c r="G22" t="s">
        <v>2163</v>
      </c>
      <c r="H22" t="s">
        <v>2169</v>
      </c>
      <c r="I22" t="s">
        <v>2175</v>
      </c>
      <c r="J22">
        <v>18382</v>
      </c>
      <c r="K22">
        <v>552</v>
      </c>
      <c r="L22">
        <v>12.4</v>
      </c>
      <c r="M22">
        <v>15.4</v>
      </c>
      <c r="N22">
        <v>9</v>
      </c>
      <c r="O22">
        <v>16772</v>
      </c>
      <c r="P22" t="s">
        <v>2178</v>
      </c>
      <c r="Q22">
        <v>10</v>
      </c>
      <c r="R22">
        <v>14</v>
      </c>
      <c r="S22">
        <v>22</v>
      </c>
      <c r="T22">
        <v>843</v>
      </c>
      <c r="U22" t="s">
        <v>2163</v>
      </c>
      <c r="V22" t="s">
        <v>2169</v>
      </c>
      <c r="W22" t="s">
        <v>2208</v>
      </c>
      <c r="X22" t="s">
        <v>2210</v>
      </c>
      <c r="Y22" t="s">
        <v>2212</v>
      </c>
      <c r="Z22" s="1">
        <v>45499</v>
      </c>
      <c r="AA22" s="1">
        <v>45501</v>
      </c>
      <c r="AB22" t="s">
        <v>2215</v>
      </c>
      <c r="AC22" t="s">
        <v>2208</v>
      </c>
      <c r="AD22" t="s">
        <v>2217</v>
      </c>
      <c r="AE22" t="s">
        <v>2163</v>
      </c>
      <c r="AG22" t="s">
        <v>2220</v>
      </c>
      <c r="AH22">
        <v>46</v>
      </c>
      <c r="AI22">
        <v>64</v>
      </c>
      <c r="AJ22">
        <v>18</v>
      </c>
      <c r="AK22">
        <v>5</v>
      </c>
      <c r="AL22" t="s">
        <v>2224</v>
      </c>
      <c r="AM22">
        <v>0</v>
      </c>
      <c r="AN22" t="s">
        <v>2175</v>
      </c>
      <c r="AO22" t="s">
        <v>2175</v>
      </c>
      <c r="AP22" t="s">
        <v>2175</v>
      </c>
      <c r="AQ22">
        <v>190.96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4.4000000000000004</v>
      </c>
      <c r="AY22">
        <v>4.4000000000000004</v>
      </c>
      <c r="AZ22">
        <v>3</v>
      </c>
      <c r="BA22">
        <v>0</v>
      </c>
      <c r="BB22">
        <v>38</v>
      </c>
      <c r="BC22">
        <v>27</v>
      </c>
      <c r="BD22">
        <v>33.33</v>
      </c>
      <c r="BE22">
        <v>171</v>
      </c>
      <c r="BF22">
        <v>87.7</v>
      </c>
      <c r="BG22">
        <v>38</v>
      </c>
      <c r="BH22">
        <v>27</v>
      </c>
      <c r="BI22">
        <v>33.33</v>
      </c>
      <c r="BJ22">
        <v>171</v>
      </c>
      <c r="BK22">
        <v>87.7</v>
      </c>
      <c r="BL22">
        <v>171</v>
      </c>
      <c r="BM22">
        <v>3.9805000000000001</v>
      </c>
    </row>
    <row r="23" spans="1:65" x14ac:dyDescent="0.25">
      <c r="A23" t="s">
        <v>86</v>
      </c>
      <c r="B23" t="s">
        <v>1205</v>
      </c>
      <c r="C23" t="s">
        <v>2160</v>
      </c>
      <c r="D23" s="1">
        <v>45390</v>
      </c>
      <c r="E23" s="1">
        <v>45431</v>
      </c>
      <c r="F23" s="1">
        <v>45512</v>
      </c>
      <c r="G23" t="s">
        <v>2164</v>
      </c>
      <c r="H23" t="s">
        <v>2170</v>
      </c>
      <c r="I23" t="s">
        <v>2174</v>
      </c>
      <c r="J23">
        <v>13346</v>
      </c>
      <c r="K23">
        <v>401</v>
      </c>
      <c r="L23">
        <v>5.6</v>
      </c>
      <c r="M23">
        <v>2.9</v>
      </c>
      <c r="N23">
        <v>3</v>
      </c>
      <c r="O23">
        <v>1881</v>
      </c>
      <c r="P23" t="s">
        <v>2176</v>
      </c>
      <c r="Q23">
        <v>10</v>
      </c>
      <c r="R23">
        <v>14</v>
      </c>
      <c r="S23">
        <v>22</v>
      </c>
      <c r="T23">
        <v>608</v>
      </c>
      <c r="U23" t="s">
        <v>2164</v>
      </c>
      <c r="V23" t="s">
        <v>2170</v>
      </c>
      <c r="W23" t="s">
        <v>2208</v>
      </c>
      <c r="X23" t="s">
        <v>2210</v>
      </c>
      <c r="Y23" t="s">
        <v>2212</v>
      </c>
      <c r="Z23" s="1">
        <v>45495</v>
      </c>
      <c r="AA23" s="1">
        <v>45501</v>
      </c>
      <c r="AB23" t="s">
        <v>2214</v>
      </c>
      <c r="AC23" t="s">
        <v>2209</v>
      </c>
      <c r="AD23" t="s">
        <v>2216</v>
      </c>
      <c r="AE23" t="s">
        <v>2164</v>
      </c>
      <c r="AG23" t="s">
        <v>2220</v>
      </c>
      <c r="AH23">
        <v>46</v>
      </c>
      <c r="AI23">
        <v>64</v>
      </c>
      <c r="AJ23">
        <v>18</v>
      </c>
      <c r="AK23">
        <v>5</v>
      </c>
      <c r="AL23" t="s">
        <v>2224</v>
      </c>
      <c r="AM23">
        <v>0</v>
      </c>
      <c r="AN23" t="s">
        <v>2176</v>
      </c>
      <c r="AO23" t="s">
        <v>2176</v>
      </c>
      <c r="AP23" t="s">
        <v>2176</v>
      </c>
      <c r="AQ23">
        <v>16.239999999999998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4.5</v>
      </c>
      <c r="AY23">
        <v>4.5</v>
      </c>
      <c r="AZ23">
        <v>0</v>
      </c>
      <c r="BA23">
        <v>2</v>
      </c>
      <c r="BB23">
        <v>35</v>
      </c>
      <c r="BC23">
        <v>27</v>
      </c>
      <c r="BD23">
        <v>30.96</v>
      </c>
      <c r="BE23">
        <v>158</v>
      </c>
      <c r="BF23">
        <v>88.5</v>
      </c>
      <c r="BG23">
        <v>35</v>
      </c>
      <c r="BH23">
        <v>27</v>
      </c>
      <c r="BI23">
        <v>30.96</v>
      </c>
      <c r="BJ23">
        <v>158</v>
      </c>
      <c r="BK23">
        <v>88.5</v>
      </c>
      <c r="BL23">
        <v>158</v>
      </c>
      <c r="BM23">
        <v>3.1276999999999999</v>
      </c>
    </row>
    <row r="24" spans="1:65" x14ac:dyDescent="0.25">
      <c r="A24" t="s">
        <v>87</v>
      </c>
      <c r="B24" t="s">
        <v>1206</v>
      </c>
      <c r="C24" t="s">
        <v>2158</v>
      </c>
      <c r="D24" s="1">
        <v>45341</v>
      </c>
      <c r="E24" s="1">
        <v>45372</v>
      </c>
      <c r="F24" s="1">
        <v>45432</v>
      </c>
      <c r="G24" t="s">
        <v>2162</v>
      </c>
      <c r="H24" t="s">
        <v>2168</v>
      </c>
      <c r="I24" t="s">
        <v>2174</v>
      </c>
      <c r="J24">
        <v>5817</v>
      </c>
      <c r="K24">
        <v>175</v>
      </c>
      <c r="L24">
        <v>7.3</v>
      </c>
      <c r="M24">
        <v>7.9</v>
      </c>
      <c r="N24">
        <v>2</v>
      </c>
      <c r="O24">
        <v>5744</v>
      </c>
      <c r="P24" t="s">
        <v>2176</v>
      </c>
      <c r="Q24">
        <v>7</v>
      </c>
      <c r="R24">
        <v>10</v>
      </c>
      <c r="S24">
        <v>12</v>
      </c>
      <c r="T24">
        <v>511</v>
      </c>
      <c r="U24" t="s">
        <v>2162</v>
      </c>
      <c r="V24" t="s">
        <v>2168</v>
      </c>
      <c r="W24" t="s">
        <v>2208</v>
      </c>
      <c r="X24" t="s">
        <v>2210</v>
      </c>
      <c r="Y24" t="s">
        <v>2212</v>
      </c>
      <c r="Z24" s="1">
        <v>45417</v>
      </c>
      <c r="AA24" s="1">
        <v>45423</v>
      </c>
      <c r="AB24" t="s">
        <v>2214</v>
      </c>
      <c r="AC24" t="s">
        <v>2209</v>
      </c>
      <c r="AD24" t="s">
        <v>2216</v>
      </c>
      <c r="AE24" t="s">
        <v>2162</v>
      </c>
      <c r="AG24" t="s">
        <v>2220</v>
      </c>
      <c r="AH24">
        <v>29</v>
      </c>
      <c r="AI24">
        <v>45</v>
      </c>
      <c r="AJ24">
        <v>16</v>
      </c>
      <c r="AK24">
        <v>3</v>
      </c>
      <c r="AL24" t="s">
        <v>2227</v>
      </c>
      <c r="AM24">
        <v>0</v>
      </c>
      <c r="AN24" t="s">
        <v>2177</v>
      </c>
      <c r="AO24" t="s">
        <v>2176</v>
      </c>
      <c r="AP24" t="s">
        <v>2176</v>
      </c>
      <c r="AQ24">
        <v>57.67</v>
      </c>
      <c r="AR24">
        <v>1</v>
      </c>
      <c r="AS24">
        <v>2</v>
      </c>
      <c r="AT24">
        <v>1</v>
      </c>
      <c r="AU24">
        <v>1</v>
      </c>
      <c r="AV24">
        <v>1.333333333333333</v>
      </c>
      <c r="AW24">
        <v>4.2</v>
      </c>
      <c r="AY24">
        <v>4.2</v>
      </c>
      <c r="AZ24">
        <v>2</v>
      </c>
      <c r="BA24">
        <v>2</v>
      </c>
      <c r="BB24">
        <v>31</v>
      </c>
      <c r="BC24">
        <v>26</v>
      </c>
      <c r="BD24">
        <v>27.27</v>
      </c>
      <c r="BE24">
        <v>130</v>
      </c>
      <c r="BF24">
        <v>88</v>
      </c>
      <c r="BG24">
        <v>31</v>
      </c>
      <c r="BH24">
        <v>26</v>
      </c>
      <c r="BI24">
        <v>27.27</v>
      </c>
      <c r="BJ24">
        <v>130</v>
      </c>
      <c r="BK24">
        <v>88</v>
      </c>
      <c r="BL24">
        <v>130</v>
      </c>
      <c r="BM24">
        <v>1.7204999999999999</v>
      </c>
    </row>
    <row r="25" spans="1:65" x14ac:dyDescent="0.25">
      <c r="A25" t="s">
        <v>88</v>
      </c>
      <c r="B25" t="s">
        <v>1207</v>
      </c>
      <c r="C25" t="s">
        <v>2160</v>
      </c>
      <c r="D25" s="1">
        <v>45397</v>
      </c>
      <c r="E25" s="1">
        <v>45440</v>
      </c>
      <c r="F25" s="1">
        <v>45509</v>
      </c>
      <c r="G25" t="s">
        <v>2166</v>
      </c>
      <c r="H25" t="s">
        <v>2172</v>
      </c>
      <c r="I25" t="s">
        <v>2174</v>
      </c>
      <c r="J25">
        <v>10870</v>
      </c>
      <c r="K25">
        <v>327</v>
      </c>
      <c r="L25">
        <v>6.2</v>
      </c>
      <c r="M25">
        <v>7.3</v>
      </c>
      <c r="N25">
        <v>3</v>
      </c>
      <c r="O25">
        <v>2579</v>
      </c>
      <c r="P25" t="s">
        <v>2176</v>
      </c>
      <c r="Q25">
        <v>10</v>
      </c>
      <c r="R25">
        <v>14</v>
      </c>
      <c r="S25">
        <v>19</v>
      </c>
      <c r="T25">
        <v>602</v>
      </c>
      <c r="U25" t="s">
        <v>2166</v>
      </c>
      <c r="V25" t="s">
        <v>2172</v>
      </c>
      <c r="W25" t="s">
        <v>2208</v>
      </c>
      <c r="X25" t="s">
        <v>2210</v>
      </c>
      <c r="Y25" t="s">
        <v>2212</v>
      </c>
      <c r="Z25" s="1">
        <v>45501</v>
      </c>
      <c r="AA25" s="1">
        <v>45501</v>
      </c>
      <c r="AB25" t="s">
        <v>2214</v>
      </c>
      <c r="AC25" t="s">
        <v>2209</v>
      </c>
      <c r="AD25" t="s">
        <v>2216</v>
      </c>
      <c r="AE25" t="s">
        <v>2166</v>
      </c>
      <c r="AG25" t="s">
        <v>2220</v>
      </c>
      <c r="AH25">
        <v>43</v>
      </c>
      <c r="AI25">
        <v>61</v>
      </c>
      <c r="AJ25">
        <v>18</v>
      </c>
      <c r="AK25">
        <v>5</v>
      </c>
      <c r="AL25" t="s">
        <v>2224</v>
      </c>
      <c r="AM25">
        <v>0</v>
      </c>
      <c r="AN25" t="s">
        <v>2177</v>
      </c>
      <c r="AO25" t="s">
        <v>2176</v>
      </c>
      <c r="AP25" t="s">
        <v>2176</v>
      </c>
      <c r="AQ25">
        <v>45.26</v>
      </c>
      <c r="AR25">
        <v>1</v>
      </c>
      <c r="AS25">
        <v>2</v>
      </c>
      <c r="AT25">
        <v>1</v>
      </c>
      <c r="AU25">
        <v>1</v>
      </c>
      <c r="AV25">
        <v>1.333333333333333</v>
      </c>
      <c r="AW25">
        <v>4.8</v>
      </c>
      <c r="AY25">
        <v>4.8</v>
      </c>
      <c r="AZ25">
        <v>0</v>
      </c>
      <c r="BA25">
        <v>2</v>
      </c>
      <c r="BB25">
        <v>43</v>
      </c>
      <c r="BC25">
        <v>27</v>
      </c>
      <c r="BD25">
        <v>37.299999999999997</v>
      </c>
      <c r="BE25">
        <v>193</v>
      </c>
      <c r="BF25">
        <v>86.7</v>
      </c>
      <c r="BG25">
        <v>43</v>
      </c>
      <c r="BH25">
        <v>27</v>
      </c>
      <c r="BI25">
        <v>37.299999999999997</v>
      </c>
      <c r="BJ25">
        <v>193</v>
      </c>
      <c r="BK25">
        <v>86.7</v>
      </c>
      <c r="BL25">
        <v>193</v>
      </c>
      <c r="BM25">
        <v>2.0855999999999999</v>
      </c>
    </row>
    <row r="26" spans="1:65" x14ac:dyDescent="0.25">
      <c r="A26" t="s">
        <v>89</v>
      </c>
      <c r="B26" t="s">
        <v>1208</v>
      </c>
      <c r="C26" t="s">
        <v>2159</v>
      </c>
      <c r="D26" s="1">
        <v>45425</v>
      </c>
      <c r="E26" s="1">
        <v>45459</v>
      </c>
      <c r="F26" s="1">
        <v>45570</v>
      </c>
      <c r="G26" t="s">
        <v>2164</v>
      </c>
      <c r="H26" t="s">
        <v>2170</v>
      </c>
      <c r="I26" t="s">
        <v>2174</v>
      </c>
      <c r="J26">
        <v>27305</v>
      </c>
      <c r="K26">
        <v>820</v>
      </c>
      <c r="L26">
        <v>1.7</v>
      </c>
      <c r="M26">
        <v>6.3</v>
      </c>
      <c r="N26">
        <v>4</v>
      </c>
      <c r="O26">
        <v>6872</v>
      </c>
      <c r="P26" t="s">
        <v>2176</v>
      </c>
      <c r="Q26">
        <v>14</v>
      </c>
      <c r="R26">
        <v>20</v>
      </c>
      <c r="S26">
        <v>43</v>
      </c>
      <c r="T26">
        <v>645</v>
      </c>
      <c r="U26" t="s">
        <v>2164</v>
      </c>
      <c r="V26" t="s">
        <v>2170</v>
      </c>
      <c r="W26" t="s">
        <v>2208</v>
      </c>
      <c r="X26" t="s">
        <v>2210</v>
      </c>
      <c r="Y26" t="s">
        <v>2212</v>
      </c>
      <c r="Z26" s="1">
        <v>45559</v>
      </c>
      <c r="AA26" s="1">
        <v>45564</v>
      </c>
      <c r="AB26" t="s">
        <v>2214</v>
      </c>
      <c r="AC26" t="s">
        <v>2209</v>
      </c>
      <c r="AD26" t="s">
        <v>2216</v>
      </c>
      <c r="AE26" t="s">
        <v>2164</v>
      </c>
      <c r="AG26" t="s">
        <v>2220</v>
      </c>
      <c r="AH26">
        <v>77</v>
      </c>
      <c r="AI26">
        <v>100</v>
      </c>
      <c r="AJ26">
        <v>23</v>
      </c>
      <c r="AK26">
        <v>6</v>
      </c>
      <c r="AL26" t="s">
        <v>2223</v>
      </c>
      <c r="AM26">
        <v>0</v>
      </c>
      <c r="AN26" t="s">
        <v>2176</v>
      </c>
      <c r="AO26" t="s">
        <v>2177</v>
      </c>
      <c r="AP26" t="s">
        <v>2176</v>
      </c>
      <c r="AQ26">
        <v>10.71</v>
      </c>
      <c r="AR26">
        <v>1</v>
      </c>
      <c r="AS26">
        <v>1</v>
      </c>
      <c r="AT26">
        <v>2</v>
      </c>
      <c r="AU26">
        <v>1</v>
      </c>
      <c r="AV26">
        <v>1.333333333333333</v>
      </c>
      <c r="AW26">
        <v>4.5</v>
      </c>
      <c r="AY26">
        <v>4.5</v>
      </c>
      <c r="AZ26">
        <v>3</v>
      </c>
      <c r="BA26">
        <v>2</v>
      </c>
      <c r="BB26">
        <v>33</v>
      </c>
      <c r="BC26">
        <v>25</v>
      </c>
      <c r="BD26">
        <v>28.64</v>
      </c>
      <c r="BE26">
        <v>133</v>
      </c>
      <c r="BF26">
        <v>86.8</v>
      </c>
      <c r="BG26">
        <v>33</v>
      </c>
      <c r="BH26">
        <v>25</v>
      </c>
      <c r="BI26">
        <v>28.64</v>
      </c>
      <c r="BJ26">
        <v>133</v>
      </c>
      <c r="BK26">
        <v>86.8</v>
      </c>
      <c r="BL26">
        <v>133</v>
      </c>
      <c r="BM26">
        <v>8.2096</v>
      </c>
    </row>
    <row r="27" spans="1:65" x14ac:dyDescent="0.25">
      <c r="A27" t="s">
        <v>90</v>
      </c>
      <c r="B27" t="s">
        <v>1187</v>
      </c>
      <c r="C27" t="s">
        <v>2159</v>
      </c>
      <c r="D27" s="1">
        <v>45397</v>
      </c>
      <c r="E27" s="1">
        <v>45432</v>
      </c>
      <c r="F27" s="1">
        <v>45545</v>
      </c>
      <c r="G27" t="s">
        <v>2162</v>
      </c>
      <c r="H27" t="s">
        <v>2168</v>
      </c>
      <c r="I27" t="s">
        <v>2174</v>
      </c>
      <c r="J27">
        <v>27243</v>
      </c>
      <c r="K27">
        <v>818</v>
      </c>
      <c r="L27">
        <v>7.8</v>
      </c>
      <c r="M27">
        <v>3.1</v>
      </c>
      <c r="N27">
        <v>2</v>
      </c>
      <c r="O27">
        <v>4966</v>
      </c>
      <c r="P27" t="s">
        <v>2176</v>
      </c>
      <c r="Q27">
        <v>14</v>
      </c>
      <c r="R27">
        <v>20</v>
      </c>
      <c r="S27">
        <v>47</v>
      </c>
      <c r="T27">
        <v>591</v>
      </c>
      <c r="U27" t="s">
        <v>2162</v>
      </c>
      <c r="V27" t="s">
        <v>2168</v>
      </c>
      <c r="W27" t="s">
        <v>2208</v>
      </c>
      <c r="X27" t="s">
        <v>2210</v>
      </c>
      <c r="Y27" t="s">
        <v>2212</v>
      </c>
      <c r="Z27" s="1">
        <v>45537</v>
      </c>
      <c r="AA27" s="1">
        <v>45543</v>
      </c>
      <c r="AB27" t="s">
        <v>2214</v>
      </c>
      <c r="AC27" t="s">
        <v>2209</v>
      </c>
      <c r="AD27" t="s">
        <v>2216</v>
      </c>
      <c r="AE27" t="s">
        <v>2162</v>
      </c>
      <c r="AG27" t="s">
        <v>2220</v>
      </c>
      <c r="AH27">
        <v>81</v>
      </c>
      <c r="AI27">
        <v>105</v>
      </c>
      <c r="AJ27">
        <v>24</v>
      </c>
      <c r="AK27">
        <v>5</v>
      </c>
      <c r="AL27" t="s">
        <v>2224</v>
      </c>
      <c r="AM27">
        <v>0</v>
      </c>
      <c r="AN27" t="s">
        <v>2176</v>
      </c>
      <c r="AO27" t="s">
        <v>2176</v>
      </c>
      <c r="AP27" t="s">
        <v>2176</v>
      </c>
      <c r="AQ27">
        <v>24.18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4.2</v>
      </c>
      <c r="AY27">
        <v>4.2</v>
      </c>
      <c r="AZ27">
        <v>3</v>
      </c>
      <c r="BA27">
        <v>2</v>
      </c>
      <c r="BB27">
        <v>24</v>
      </c>
      <c r="BC27">
        <v>27</v>
      </c>
      <c r="BD27">
        <v>21.44</v>
      </c>
      <c r="BE27">
        <v>108</v>
      </c>
      <c r="BF27">
        <v>89.3</v>
      </c>
      <c r="BG27">
        <v>24</v>
      </c>
      <c r="BH27">
        <v>27</v>
      </c>
      <c r="BI27">
        <v>21.44</v>
      </c>
      <c r="BJ27">
        <v>108</v>
      </c>
      <c r="BK27">
        <v>89.3</v>
      </c>
      <c r="BL27">
        <v>108</v>
      </c>
      <c r="BM27">
        <v>9.3393999999999995</v>
      </c>
    </row>
    <row r="28" spans="1:65" x14ac:dyDescent="0.25">
      <c r="A28" t="s">
        <v>91</v>
      </c>
      <c r="B28" t="s">
        <v>1209</v>
      </c>
      <c r="C28" t="s">
        <v>2157</v>
      </c>
      <c r="D28" s="1">
        <v>45362</v>
      </c>
      <c r="E28" s="1">
        <v>45397</v>
      </c>
      <c r="F28" s="1">
        <v>45533</v>
      </c>
      <c r="G28" t="s">
        <v>2164</v>
      </c>
      <c r="H28" t="s">
        <v>2170</v>
      </c>
      <c r="I28" t="s">
        <v>2175</v>
      </c>
      <c r="J28">
        <v>49192</v>
      </c>
      <c r="K28">
        <v>1476</v>
      </c>
      <c r="L28">
        <v>19.3</v>
      </c>
      <c r="M28">
        <v>15.4</v>
      </c>
      <c r="N28">
        <v>8</v>
      </c>
      <c r="O28">
        <v>19478</v>
      </c>
      <c r="P28" t="s">
        <v>2178</v>
      </c>
      <c r="Q28">
        <v>18</v>
      </c>
      <c r="R28">
        <v>30</v>
      </c>
      <c r="S28">
        <v>60</v>
      </c>
      <c r="T28">
        <v>832</v>
      </c>
      <c r="U28" t="s">
        <v>2164</v>
      </c>
      <c r="V28" t="s">
        <v>2170</v>
      </c>
      <c r="W28" t="s">
        <v>2208</v>
      </c>
      <c r="X28" t="s">
        <v>2210</v>
      </c>
      <c r="Y28" t="s">
        <v>2212</v>
      </c>
      <c r="Z28" s="1">
        <v>45533</v>
      </c>
      <c r="AA28" s="1">
        <v>45536</v>
      </c>
      <c r="AB28" t="s">
        <v>2214</v>
      </c>
      <c r="AC28" t="s">
        <v>2209</v>
      </c>
      <c r="AD28" t="s">
        <v>2216</v>
      </c>
      <c r="AE28" t="s">
        <v>2164</v>
      </c>
      <c r="AG28" t="s">
        <v>2220</v>
      </c>
      <c r="AH28">
        <v>108</v>
      </c>
      <c r="AI28">
        <v>136</v>
      </c>
      <c r="AJ28">
        <v>28</v>
      </c>
      <c r="AK28">
        <v>4</v>
      </c>
      <c r="AL28" t="s">
        <v>2225</v>
      </c>
      <c r="AM28">
        <v>0</v>
      </c>
      <c r="AN28" t="s">
        <v>2175</v>
      </c>
      <c r="AO28" t="s">
        <v>2175</v>
      </c>
      <c r="AP28" t="s">
        <v>2175</v>
      </c>
      <c r="AQ28">
        <v>297.22000000000003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4.5</v>
      </c>
      <c r="AY28">
        <v>4.5</v>
      </c>
      <c r="AZ28">
        <v>1</v>
      </c>
      <c r="BA28">
        <v>0</v>
      </c>
      <c r="BB28">
        <v>30</v>
      </c>
      <c r="BC28">
        <v>26</v>
      </c>
      <c r="BD28">
        <v>26.42</v>
      </c>
      <c r="BE28">
        <v>126</v>
      </c>
      <c r="BF28">
        <v>88.1</v>
      </c>
      <c r="BG28">
        <v>30</v>
      </c>
      <c r="BH28">
        <v>26</v>
      </c>
      <c r="BI28">
        <v>26.42</v>
      </c>
      <c r="BJ28">
        <v>126</v>
      </c>
      <c r="BK28">
        <v>88.1</v>
      </c>
      <c r="BL28">
        <v>126</v>
      </c>
      <c r="BM28">
        <v>15.0113</v>
      </c>
    </row>
    <row r="29" spans="1:65" x14ac:dyDescent="0.25">
      <c r="A29" t="s">
        <v>92</v>
      </c>
      <c r="B29" t="s">
        <v>1210</v>
      </c>
      <c r="C29" t="s">
        <v>2158</v>
      </c>
      <c r="D29" s="1">
        <v>45390</v>
      </c>
      <c r="E29" s="1">
        <v>45423</v>
      </c>
      <c r="F29" s="1">
        <v>45472</v>
      </c>
      <c r="G29" t="s">
        <v>2163</v>
      </c>
      <c r="H29" t="s">
        <v>2169</v>
      </c>
      <c r="I29" t="s">
        <v>2176</v>
      </c>
      <c r="J29">
        <v>5136</v>
      </c>
      <c r="K29">
        <v>155</v>
      </c>
      <c r="L29">
        <v>8.6</v>
      </c>
      <c r="M29">
        <v>5.7</v>
      </c>
      <c r="N29">
        <v>4</v>
      </c>
      <c r="O29">
        <v>3007</v>
      </c>
      <c r="P29" t="s">
        <v>2176</v>
      </c>
      <c r="Q29">
        <v>7</v>
      </c>
      <c r="R29">
        <v>10</v>
      </c>
      <c r="S29">
        <v>9</v>
      </c>
      <c r="T29">
        <v>608</v>
      </c>
      <c r="U29" t="s">
        <v>2163</v>
      </c>
      <c r="V29" t="s">
        <v>2169</v>
      </c>
      <c r="W29" t="s">
        <v>2208</v>
      </c>
      <c r="X29" t="s">
        <v>2210</v>
      </c>
      <c r="Y29" t="s">
        <v>2212</v>
      </c>
      <c r="Z29" s="1">
        <v>45464</v>
      </c>
      <c r="AA29" s="1">
        <v>45466</v>
      </c>
      <c r="AB29" t="s">
        <v>2214</v>
      </c>
      <c r="AC29" t="s">
        <v>2209</v>
      </c>
      <c r="AD29" t="s">
        <v>2216</v>
      </c>
      <c r="AE29" t="s">
        <v>2163</v>
      </c>
      <c r="AG29" t="s">
        <v>2220</v>
      </c>
      <c r="AH29">
        <v>26</v>
      </c>
      <c r="AI29">
        <v>41</v>
      </c>
      <c r="AJ29">
        <v>15</v>
      </c>
      <c r="AK29">
        <v>5</v>
      </c>
      <c r="AL29" t="s">
        <v>2224</v>
      </c>
      <c r="AM29">
        <v>0</v>
      </c>
      <c r="AN29" t="s">
        <v>2177</v>
      </c>
      <c r="AO29" t="s">
        <v>2177</v>
      </c>
      <c r="AP29" t="s">
        <v>2176</v>
      </c>
      <c r="AQ29">
        <v>49.02</v>
      </c>
      <c r="AR29">
        <v>1</v>
      </c>
      <c r="AS29">
        <v>2</v>
      </c>
      <c r="AT29">
        <v>2</v>
      </c>
      <c r="AU29">
        <v>1</v>
      </c>
      <c r="AV29">
        <v>1.666666666666667</v>
      </c>
      <c r="AW29">
        <v>4.4000000000000004</v>
      </c>
      <c r="AY29">
        <v>4.4000000000000004</v>
      </c>
      <c r="AZ29">
        <v>2</v>
      </c>
      <c r="BA29">
        <v>1</v>
      </c>
      <c r="BB29">
        <v>38</v>
      </c>
      <c r="BC29">
        <v>27</v>
      </c>
      <c r="BD29">
        <v>33.33</v>
      </c>
      <c r="BE29">
        <v>171</v>
      </c>
      <c r="BF29">
        <v>87.7</v>
      </c>
      <c r="BG29">
        <v>38</v>
      </c>
      <c r="BH29">
        <v>27</v>
      </c>
      <c r="BI29">
        <v>33.33</v>
      </c>
      <c r="BJ29">
        <v>171</v>
      </c>
      <c r="BK29">
        <v>87.7</v>
      </c>
      <c r="BL29">
        <v>171</v>
      </c>
      <c r="BM29">
        <v>1.1122000000000001</v>
      </c>
    </row>
    <row r="30" spans="1:65" x14ac:dyDescent="0.25">
      <c r="A30" t="s">
        <v>93</v>
      </c>
      <c r="B30" t="s">
        <v>1211</v>
      </c>
      <c r="C30" t="s">
        <v>2158</v>
      </c>
      <c r="D30" s="1">
        <v>45390</v>
      </c>
      <c r="E30" s="1">
        <v>45429</v>
      </c>
      <c r="F30" s="1">
        <v>45499</v>
      </c>
      <c r="G30" t="s">
        <v>2164</v>
      </c>
      <c r="H30" t="s">
        <v>2170</v>
      </c>
      <c r="I30" t="s">
        <v>2173</v>
      </c>
      <c r="J30">
        <v>16411</v>
      </c>
      <c r="K30">
        <v>493</v>
      </c>
      <c r="L30">
        <v>7.9</v>
      </c>
      <c r="M30">
        <v>14.6</v>
      </c>
      <c r="N30">
        <v>7</v>
      </c>
      <c r="O30">
        <v>14217</v>
      </c>
      <c r="P30" t="s">
        <v>2177</v>
      </c>
      <c r="Q30">
        <v>10</v>
      </c>
      <c r="R30">
        <v>14</v>
      </c>
      <c r="S30">
        <v>25</v>
      </c>
      <c r="T30">
        <v>683</v>
      </c>
      <c r="U30" t="s">
        <v>2164</v>
      </c>
      <c r="V30" t="s">
        <v>2170</v>
      </c>
      <c r="W30" t="s">
        <v>2208</v>
      </c>
      <c r="X30" t="s">
        <v>2210</v>
      </c>
      <c r="Y30" t="s">
        <v>2212</v>
      </c>
      <c r="Z30" s="1">
        <v>45497</v>
      </c>
      <c r="AA30" s="1">
        <v>45501</v>
      </c>
      <c r="AB30" t="s">
        <v>2214</v>
      </c>
      <c r="AC30" t="s">
        <v>2209</v>
      </c>
      <c r="AD30" t="s">
        <v>2216</v>
      </c>
      <c r="AE30" t="s">
        <v>2164</v>
      </c>
      <c r="AG30" t="s">
        <v>2220</v>
      </c>
      <c r="AH30">
        <v>49</v>
      </c>
      <c r="AI30">
        <v>68</v>
      </c>
      <c r="AJ30">
        <v>19</v>
      </c>
      <c r="AK30">
        <v>5</v>
      </c>
      <c r="AL30" t="s">
        <v>2224</v>
      </c>
      <c r="AM30">
        <v>0</v>
      </c>
      <c r="AN30" t="s">
        <v>2177</v>
      </c>
      <c r="AO30" t="s">
        <v>2175</v>
      </c>
      <c r="AP30" t="s">
        <v>2177</v>
      </c>
      <c r="AQ30">
        <v>115.34</v>
      </c>
      <c r="AR30">
        <v>2</v>
      </c>
      <c r="AS30">
        <v>2</v>
      </c>
      <c r="AT30">
        <v>3</v>
      </c>
      <c r="AU30">
        <v>2</v>
      </c>
      <c r="AV30">
        <v>2.333333333333333</v>
      </c>
      <c r="AW30">
        <v>4.5</v>
      </c>
      <c r="AY30">
        <v>4.5</v>
      </c>
      <c r="AZ30">
        <v>2</v>
      </c>
      <c r="BA30">
        <v>3</v>
      </c>
      <c r="BB30">
        <v>35</v>
      </c>
      <c r="BC30">
        <v>27</v>
      </c>
      <c r="BD30">
        <v>30.96</v>
      </c>
      <c r="BE30">
        <v>158</v>
      </c>
      <c r="BF30">
        <v>88.5</v>
      </c>
      <c r="BG30">
        <v>35</v>
      </c>
      <c r="BH30">
        <v>27</v>
      </c>
      <c r="BI30">
        <v>30.96</v>
      </c>
      <c r="BJ30">
        <v>158</v>
      </c>
      <c r="BK30">
        <v>88.5</v>
      </c>
      <c r="BL30">
        <v>158</v>
      </c>
      <c r="BM30">
        <v>3.8460000000000001</v>
      </c>
    </row>
    <row r="31" spans="1:65" x14ac:dyDescent="0.25">
      <c r="A31" t="s">
        <v>94</v>
      </c>
      <c r="B31" t="s">
        <v>1212</v>
      </c>
      <c r="C31" t="s">
        <v>2159</v>
      </c>
      <c r="D31" s="1">
        <v>45425</v>
      </c>
      <c r="E31" s="1">
        <v>45467</v>
      </c>
      <c r="F31" s="1">
        <v>45525</v>
      </c>
      <c r="G31" t="s">
        <v>2165</v>
      </c>
      <c r="H31" t="s">
        <v>2171</v>
      </c>
      <c r="I31" t="s">
        <v>2175</v>
      </c>
      <c r="J31">
        <v>15572</v>
      </c>
      <c r="K31">
        <v>468</v>
      </c>
      <c r="L31">
        <v>12.7</v>
      </c>
      <c r="M31">
        <v>16.2</v>
      </c>
      <c r="N31">
        <v>8</v>
      </c>
      <c r="O31">
        <v>18906</v>
      </c>
      <c r="P31" t="s">
        <v>2178</v>
      </c>
      <c r="Q31">
        <v>10</v>
      </c>
      <c r="R31">
        <v>14</v>
      </c>
      <c r="S31">
        <v>17</v>
      </c>
      <c r="T31">
        <v>939</v>
      </c>
      <c r="U31" t="s">
        <v>2165</v>
      </c>
      <c r="V31" t="s">
        <v>2171</v>
      </c>
      <c r="W31" t="s">
        <v>2208</v>
      </c>
      <c r="X31" t="s">
        <v>2210</v>
      </c>
      <c r="Y31" t="s">
        <v>2212</v>
      </c>
      <c r="Z31" s="1">
        <v>45525</v>
      </c>
      <c r="AA31" s="1">
        <v>45529</v>
      </c>
      <c r="AB31" t="s">
        <v>2214</v>
      </c>
      <c r="AC31" t="s">
        <v>2209</v>
      </c>
      <c r="AD31" t="s">
        <v>2216</v>
      </c>
      <c r="AE31" t="s">
        <v>2165</v>
      </c>
      <c r="AG31" t="s">
        <v>2220</v>
      </c>
      <c r="AH31">
        <v>41</v>
      </c>
      <c r="AI31">
        <v>58</v>
      </c>
      <c r="AJ31">
        <v>17</v>
      </c>
      <c r="AK31">
        <v>6</v>
      </c>
      <c r="AL31" t="s">
        <v>2223</v>
      </c>
      <c r="AM31">
        <v>0</v>
      </c>
      <c r="AN31" t="s">
        <v>2175</v>
      </c>
      <c r="AO31" t="s">
        <v>2175</v>
      </c>
      <c r="AP31" t="s">
        <v>2175</v>
      </c>
      <c r="AQ31">
        <v>205.74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4.5999999999999996</v>
      </c>
      <c r="AY31">
        <v>4.5999999999999996</v>
      </c>
      <c r="AZ31">
        <v>3</v>
      </c>
      <c r="BA31">
        <v>0</v>
      </c>
      <c r="BB31">
        <v>40</v>
      </c>
      <c r="BC31">
        <v>25</v>
      </c>
      <c r="BD31">
        <v>34.72</v>
      </c>
      <c r="BE31">
        <v>161</v>
      </c>
      <c r="BF31">
        <v>86.8</v>
      </c>
      <c r="BG31">
        <v>40</v>
      </c>
      <c r="BH31">
        <v>25</v>
      </c>
      <c r="BI31">
        <v>34.72</v>
      </c>
      <c r="BJ31">
        <v>161</v>
      </c>
      <c r="BK31">
        <v>86.8</v>
      </c>
      <c r="BL31">
        <v>161</v>
      </c>
      <c r="BM31">
        <v>3.8679000000000001</v>
      </c>
    </row>
    <row r="32" spans="1:65" x14ac:dyDescent="0.25">
      <c r="A32" t="s">
        <v>95</v>
      </c>
      <c r="B32" t="s">
        <v>1213</v>
      </c>
      <c r="C32" t="s">
        <v>2158</v>
      </c>
      <c r="D32" s="1">
        <v>45439</v>
      </c>
      <c r="E32" s="1">
        <v>45469</v>
      </c>
      <c r="F32" s="1">
        <v>45539</v>
      </c>
      <c r="G32" t="s">
        <v>2165</v>
      </c>
      <c r="H32" t="s">
        <v>2171</v>
      </c>
      <c r="I32" t="s">
        <v>2176</v>
      </c>
      <c r="J32">
        <v>12229</v>
      </c>
      <c r="K32">
        <v>367</v>
      </c>
      <c r="L32">
        <v>5</v>
      </c>
      <c r="M32">
        <v>7.7</v>
      </c>
      <c r="N32">
        <v>5</v>
      </c>
      <c r="O32">
        <v>8467</v>
      </c>
      <c r="P32" t="s">
        <v>2176</v>
      </c>
      <c r="Q32">
        <v>10</v>
      </c>
      <c r="R32">
        <v>14</v>
      </c>
      <c r="S32">
        <v>18</v>
      </c>
      <c r="T32">
        <v>715</v>
      </c>
      <c r="U32" t="s">
        <v>2165</v>
      </c>
      <c r="V32" t="s">
        <v>2171</v>
      </c>
      <c r="W32" t="s">
        <v>2208</v>
      </c>
      <c r="X32" t="s">
        <v>2210</v>
      </c>
      <c r="Y32" t="s">
        <v>2212</v>
      </c>
      <c r="Z32" s="1">
        <v>45529</v>
      </c>
      <c r="AA32" s="1">
        <v>45529</v>
      </c>
      <c r="AB32" t="s">
        <v>2214</v>
      </c>
      <c r="AC32" t="s">
        <v>2209</v>
      </c>
      <c r="AD32" t="s">
        <v>2216</v>
      </c>
      <c r="AE32" t="s">
        <v>2165</v>
      </c>
      <c r="AG32" t="s">
        <v>2220</v>
      </c>
      <c r="AH32">
        <v>42</v>
      </c>
      <c r="AI32">
        <v>60</v>
      </c>
      <c r="AJ32">
        <v>18</v>
      </c>
      <c r="AK32">
        <v>6</v>
      </c>
      <c r="AL32" t="s">
        <v>2223</v>
      </c>
      <c r="AM32">
        <v>0</v>
      </c>
      <c r="AN32" t="s">
        <v>2176</v>
      </c>
      <c r="AO32" t="s">
        <v>2177</v>
      </c>
      <c r="AP32" t="s">
        <v>2177</v>
      </c>
      <c r="AQ32">
        <v>38.5</v>
      </c>
      <c r="AR32">
        <v>1</v>
      </c>
      <c r="AS32">
        <v>1</v>
      </c>
      <c r="AT32">
        <v>2</v>
      </c>
      <c r="AU32">
        <v>2</v>
      </c>
      <c r="AV32">
        <v>1.666666666666667</v>
      </c>
      <c r="AW32">
        <v>4.5999999999999996</v>
      </c>
      <c r="AY32">
        <v>4.5999999999999996</v>
      </c>
      <c r="AZ32">
        <v>2</v>
      </c>
      <c r="BA32">
        <v>1</v>
      </c>
      <c r="BB32">
        <v>40</v>
      </c>
      <c r="BC32">
        <v>25</v>
      </c>
      <c r="BD32">
        <v>34.72</v>
      </c>
      <c r="BE32">
        <v>161</v>
      </c>
      <c r="BF32">
        <v>86.8</v>
      </c>
      <c r="BG32">
        <v>40</v>
      </c>
      <c r="BH32">
        <v>25</v>
      </c>
      <c r="BI32">
        <v>34.72</v>
      </c>
      <c r="BJ32">
        <v>161</v>
      </c>
      <c r="BK32">
        <v>86.8</v>
      </c>
      <c r="BL32">
        <v>161</v>
      </c>
      <c r="BM32">
        <v>3.0375000000000001</v>
      </c>
    </row>
    <row r="33" spans="1:65" x14ac:dyDescent="0.25">
      <c r="A33" t="s">
        <v>96</v>
      </c>
      <c r="B33" t="s">
        <v>1214</v>
      </c>
      <c r="C33" t="s">
        <v>2158</v>
      </c>
      <c r="D33" s="1">
        <v>45397</v>
      </c>
      <c r="E33" s="1">
        <v>45428</v>
      </c>
      <c r="F33" s="1">
        <v>45483</v>
      </c>
      <c r="G33" t="s">
        <v>2162</v>
      </c>
      <c r="H33" t="s">
        <v>2168</v>
      </c>
      <c r="I33" t="s">
        <v>2176</v>
      </c>
      <c r="J33">
        <v>8979</v>
      </c>
      <c r="K33">
        <v>270</v>
      </c>
      <c r="L33">
        <v>5.4</v>
      </c>
      <c r="M33">
        <v>4.2</v>
      </c>
      <c r="N33">
        <v>3</v>
      </c>
      <c r="O33">
        <v>9038</v>
      </c>
      <c r="P33" t="s">
        <v>2176</v>
      </c>
      <c r="Q33">
        <v>7</v>
      </c>
      <c r="R33">
        <v>10</v>
      </c>
      <c r="S33">
        <v>14</v>
      </c>
      <c r="T33">
        <v>679</v>
      </c>
      <c r="U33" t="s">
        <v>2162</v>
      </c>
      <c r="V33" t="s">
        <v>2168</v>
      </c>
      <c r="W33" t="s">
        <v>2208</v>
      </c>
      <c r="X33" t="s">
        <v>2210</v>
      </c>
      <c r="Y33" t="s">
        <v>2212</v>
      </c>
      <c r="Z33" s="1">
        <v>45475</v>
      </c>
      <c r="AA33" s="1">
        <v>45480</v>
      </c>
      <c r="AB33" t="s">
        <v>2214</v>
      </c>
      <c r="AC33" t="s">
        <v>2209</v>
      </c>
      <c r="AD33" t="s">
        <v>2216</v>
      </c>
      <c r="AE33" t="s">
        <v>2162</v>
      </c>
      <c r="AG33" t="s">
        <v>2220</v>
      </c>
      <c r="AH33">
        <v>31</v>
      </c>
      <c r="AI33">
        <v>47</v>
      </c>
      <c r="AJ33">
        <v>16</v>
      </c>
      <c r="AK33">
        <v>5</v>
      </c>
      <c r="AL33" t="s">
        <v>2224</v>
      </c>
      <c r="AM33">
        <v>0</v>
      </c>
      <c r="AN33" t="s">
        <v>2176</v>
      </c>
      <c r="AO33" t="s">
        <v>2176</v>
      </c>
      <c r="AP33" t="s">
        <v>2177</v>
      </c>
      <c r="AQ33">
        <v>22.68</v>
      </c>
      <c r="AR33">
        <v>1</v>
      </c>
      <c r="AS33">
        <v>1</v>
      </c>
      <c r="AT33">
        <v>1</v>
      </c>
      <c r="AU33">
        <v>2</v>
      </c>
      <c r="AV33">
        <v>1.333333333333333</v>
      </c>
      <c r="AW33">
        <v>4.2</v>
      </c>
      <c r="AY33">
        <v>4.2</v>
      </c>
      <c r="AZ33">
        <v>2</v>
      </c>
      <c r="BA33">
        <v>1</v>
      </c>
      <c r="BB33">
        <v>24</v>
      </c>
      <c r="BC33">
        <v>27</v>
      </c>
      <c r="BD33">
        <v>21.44</v>
      </c>
      <c r="BE33">
        <v>108</v>
      </c>
      <c r="BF33">
        <v>89.3</v>
      </c>
      <c r="BG33">
        <v>24</v>
      </c>
      <c r="BH33">
        <v>27</v>
      </c>
      <c r="BI33">
        <v>21.44</v>
      </c>
      <c r="BJ33">
        <v>108</v>
      </c>
      <c r="BK33">
        <v>89.3</v>
      </c>
      <c r="BL33">
        <v>108</v>
      </c>
      <c r="BM33">
        <v>3.0781999999999998</v>
      </c>
    </row>
    <row r="34" spans="1:65" x14ac:dyDescent="0.25">
      <c r="A34" t="s">
        <v>97</v>
      </c>
      <c r="B34" t="s">
        <v>1215</v>
      </c>
      <c r="C34" t="s">
        <v>2157</v>
      </c>
      <c r="D34" s="1">
        <v>45341</v>
      </c>
      <c r="E34" s="1">
        <v>45383</v>
      </c>
      <c r="F34" s="1">
        <v>45544</v>
      </c>
      <c r="G34" t="s">
        <v>2166</v>
      </c>
      <c r="H34" t="s">
        <v>2172</v>
      </c>
      <c r="I34" t="s">
        <v>2173</v>
      </c>
      <c r="J34">
        <v>52760</v>
      </c>
      <c r="K34">
        <v>1583</v>
      </c>
      <c r="L34">
        <v>14.4</v>
      </c>
      <c r="M34">
        <v>8</v>
      </c>
      <c r="N34">
        <v>3</v>
      </c>
      <c r="O34">
        <v>11445</v>
      </c>
      <c r="P34" t="s">
        <v>2176</v>
      </c>
      <c r="Q34">
        <v>18</v>
      </c>
      <c r="R34">
        <v>30</v>
      </c>
      <c r="S34">
        <v>77</v>
      </c>
      <c r="T34">
        <v>691</v>
      </c>
      <c r="U34" t="s">
        <v>2166</v>
      </c>
      <c r="V34" t="s">
        <v>2172</v>
      </c>
      <c r="W34" t="s">
        <v>2208</v>
      </c>
      <c r="X34" t="s">
        <v>2210</v>
      </c>
      <c r="Y34" t="s">
        <v>2212</v>
      </c>
      <c r="Z34" s="1">
        <v>45539</v>
      </c>
      <c r="AA34" s="1">
        <v>45542</v>
      </c>
      <c r="AB34" t="s">
        <v>2214</v>
      </c>
      <c r="AC34" t="s">
        <v>2209</v>
      </c>
      <c r="AD34" t="s">
        <v>2216</v>
      </c>
      <c r="AE34" t="s">
        <v>2166</v>
      </c>
      <c r="AG34" t="s">
        <v>2220</v>
      </c>
      <c r="AH34">
        <v>125</v>
      </c>
      <c r="AI34">
        <v>156</v>
      </c>
      <c r="AJ34">
        <v>31</v>
      </c>
      <c r="AK34">
        <v>4</v>
      </c>
      <c r="AL34" t="s">
        <v>2225</v>
      </c>
      <c r="AM34">
        <v>0</v>
      </c>
      <c r="AN34" t="s">
        <v>2177</v>
      </c>
      <c r="AO34" t="s">
        <v>2176</v>
      </c>
      <c r="AP34" t="s">
        <v>2177</v>
      </c>
      <c r="AQ34">
        <v>115.2</v>
      </c>
      <c r="AR34">
        <v>1</v>
      </c>
      <c r="AS34">
        <v>2</v>
      </c>
      <c r="AT34">
        <v>1</v>
      </c>
      <c r="AU34">
        <v>2</v>
      </c>
      <c r="AV34">
        <v>1.666666666666667</v>
      </c>
      <c r="AW34">
        <v>4.8</v>
      </c>
      <c r="AY34">
        <v>4.8</v>
      </c>
      <c r="AZ34">
        <v>1</v>
      </c>
      <c r="BA34">
        <v>3</v>
      </c>
      <c r="BB34">
        <v>45</v>
      </c>
      <c r="BC34">
        <v>26</v>
      </c>
      <c r="BD34">
        <v>40.270000000000003</v>
      </c>
      <c r="BE34">
        <v>199</v>
      </c>
      <c r="BF34">
        <v>89.5</v>
      </c>
      <c r="BG34">
        <v>45</v>
      </c>
      <c r="BH34">
        <v>26</v>
      </c>
      <c r="BI34">
        <v>40.270000000000003</v>
      </c>
      <c r="BJ34">
        <v>199</v>
      </c>
      <c r="BK34">
        <v>89.5</v>
      </c>
      <c r="BL34">
        <v>199</v>
      </c>
      <c r="BM34">
        <v>10.1952</v>
      </c>
    </row>
    <row r="35" spans="1:65" x14ac:dyDescent="0.25">
      <c r="A35" t="s">
        <v>98</v>
      </c>
      <c r="B35" t="s">
        <v>1216</v>
      </c>
      <c r="C35" t="s">
        <v>2158</v>
      </c>
      <c r="D35" s="1">
        <v>45383</v>
      </c>
      <c r="E35" s="1">
        <v>45418</v>
      </c>
      <c r="F35" s="1">
        <v>45484</v>
      </c>
      <c r="G35" t="s">
        <v>2165</v>
      </c>
      <c r="H35" t="s">
        <v>2171</v>
      </c>
      <c r="I35" t="s">
        <v>2176</v>
      </c>
      <c r="J35">
        <v>12785</v>
      </c>
      <c r="K35">
        <v>384</v>
      </c>
      <c r="L35">
        <v>9</v>
      </c>
      <c r="M35">
        <v>7.7</v>
      </c>
      <c r="N35">
        <v>3</v>
      </c>
      <c r="O35">
        <v>8626</v>
      </c>
      <c r="P35" t="s">
        <v>2176</v>
      </c>
      <c r="Q35">
        <v>10</v>
      </c>
      <c r="R35">
        <v>14</v>
      </c>
      <c r="S35">
        <v>20</v>
      </c>
      <c r="T35">
        <v>648</v>
      </c>
      <c r="U35" t="s">
        <v>2165</v>
      </c>
      <c r="V35" t="s">
        <v>2171</v>
      </c>
      <c r="W35" t="s">
        <v>2208</v>
      </c>
      <c r="X35" t="s">
        <v>2210</v>
      </c>
      <c r="Y35" t="s">
        <v>2212</v>
      </c>
      <c r="Z35" s="1">
        <v>45480</v>
      </c>
      <c r="AA35" s="1">
        <v>45480</v>
      </c>
      <c r="AB35" t="s">
        <v>2214</v>
      </c>
      <c r="AC35" t="s">
        <v>2209</v>
      </c>
      <c r="AD35" t="s">
        <v>2216</v>
      </c>
      <c r="AE35" t="s">
        <v>2165</v>
      </c>
      <c r="AG35" t="s">
        <v>2220</v>
      </c>
      <c r="AH35">
        <v>44</v>
      </c>
      <c r="AI35">
        <v>62</v>
      </c>
      <c r="AJ35">
        <v>18</v>
      </c>
      <c r="AK35">
        <v>5</v>
      </c>
      <c r="AL35" t="s">
        <v>2224</v>
      </c>
      <c r="AM35">
        <v>0</v>
      </c>
      <c r="AN35" t="s">
        <v>2177</v>
      </c>
      <c r="AO35" t="s">
        <v>2176</v>
      </c>
      <c r="AP35" t="s">
        <v>2177</v>
      </c>
      <c r="AQ35">
        <v>69.3</v>
      </c>
      <c r="AR35">
        <v>1</v>
      </c>
      <c r="AS35">
        <v>2</v>
      </c>
      <c r="AT35">
        <v>1</v>
      </c>
      <c r="AU35">
        <v>2</v>
      </c>
      <c r="AV35">
        <v>1.666666666666667</v>
      </c>
      <c r="AW35">
        <v>4.5999999999999996</v>
      </c>
      <c r="AY35">
        <v>4.5999999999999996</v>
      </c>
      <c r="AZ35">
        <v>2</v>
      </c>
      <c r="BA35">
        <v>1</v>
      </c>
      <c r="BB35">
        <v>36</v>
      </c>
      <c r="BC35">
        <v>27</v>
      </c>
      <c r="BD35">
        <v>31.37</v>
      </c>
      <c r="BE35">
        <v>158</v>
      </c>
      <c r="BF35">
        <v>87.1</v>
      </c>
      <c r="BG35">
        <v>36</v>
      </c>
      <c r="BH35">
        <v>27</v>
      </c>
      <c r="BI35">
        <v>31.37</v>
      </c>
      <c r="BJ35">
        <v>158</v>
      </c>
      <c r="BK35">
        <v>87.1</v>
      </c>
      <c r="BL35">
        <v>158</v>
      </c>
      <c r="BM35">
        <v>2.9963000000000002</v>
      </c>
    </row>
    <row r="36" spans="1:65" x14ac:dyDescent="0.25">
      <c r="A36" t="s">
        <v>99</v>
      </c>
      <c r="B36" t="s">
        <v>1217</v>
      </c>
      <c r="C36" t="s">
        <v>2157</v>
      </c>
      <c r="D36" s="1">
        <v>45320</v>
      </c>
      <c r="E36" s="1">
        <v>45358</v>
      </c>
      <c r="F36" s="1">
        <v>45526</v>
      </c>
      <c r="G36" t="s">
        <v>2165</v>
      </c>
      <c r="H36" t="s">
        <v>2171</v>
      </c>
      <c r="I36" t="s">
        <v>2174</v>
      </c>
      <c r="J36">
        <v>44637</v>
      </c>
      <c r="K36">
        <v>1340</v>
      </c>
      <c r="L36">
        <v>6.2</v>
      </c>
      <c r="M36">
        <v>6</v>
      </c>
      <c r="N36">
        <v>1</v>
      </c>
      <c r="O36">
        <v>3732</v>
      </c>
      <c r="P36" t="s">
        <v>2176</v>
      </c>
      <c r="Q36">
        <v>18</v>
      </c>
      <c r="R36">
        <v>30</v>
      </c>
      <c r="S36">
        <v>79</v>
      </c>
      <c r="T36">
        <v>568</v>
      </c>
      <c r="U36" t="s">
        <v>2165</v>
      </c>
      <c r="V36" t="s">
        <v>2171</v>
      </c>
      <c r="W36" t="s">
        <v>2208</v>
      </c>
      <c r="X36" t="s">
        <v>2210</v>
      </c>
      <c r="Y36" t="s">
        <v>2212</v>
      </c>
      <c r="Z36" s="1">
        <v>45517</v>
      </c>
      <c r="AA36" s="1">
        <v>45521</v>
      </c>
      <c r="AB36" t="s">
        <v>2214</v>
      </c>
      <c r="AC36" t="s">
        <v>2209</v>
      </c>
      <c r="AD36" t="s">
        <v>2216</v>
      </c>
      <c r="AE36" t="s">
        <v>2165</v>
      </c>
      <c r="AG36" t="s">
        <v>2220</v>
      </c>
      <c r="AH36">
        <v>127</v>
      </c>
      <c r="AI36">
        <v>159</v>
      </c>
      <c r="AJ36">
        <v>32</v>
      </c>
      <c r="AK36">
        <v>3</v>
      </c>
      <c r="AL36" t="s">
        <v>2227</v>
      </c>
      <c r="AM36">
        <v>0</v>
      </c>
      <c r="AN36" t="s">
        <v>2177</v>
      </c>
      <c r="AO36" t="s">
        <v>2176</v>
      </c>
      <c r="AP36" t="s">
        <v>2176</v>
      </c>
      <c r="AQ36">
        <v>37.200000000000003</v>
      </c>
      <c r="AR36">
        <v>1</v>
      </c>
      <c r="AS36">
        <v>2</v>
      </c>
      <c r="AT36">
        <v>1</v>
      </c>
      <c r="AU36">
        <v>1</v>
      </c>
      <c r="AV36">
        <v>1.333333333333333</v>
      </c>
      <c r="AW36">
        <v>4.5999999999999996</v>
      </c>
      <c r="AY36">
        <v>4.5999999999999996</v>
      </c>
      <c r="AZ36">
        <v>1</v>
      </c>
      <c r="BA36">
        <v>2</v>
      </c>
      <c r="BB36">
        <v>48</v>
      </c>
      <c r="BC36">
        <v>26</v>
      </c>
      <c r="BD36">
        <v>42.38</v>
      </c>
      <c r="BE36">
        <v>212</v>
      </c>
      <c r="BF36">
        <v>88.3</v>
      </c>
      <c r="BG36">
        <v>48</v>
      </c>
      <c r="BH36">
        <v>26</v>
      </c>
      <c r="BI36">
        <v>42.38</v>
      </c>
      <c r="BJ36">
        <v>212</v>
      </c>
      <c r="BK36">
        <v>88.3</v>
      </c>
      <c r="BL36">
        <v>212</v>
      </c>
      <c r="BM36">
        <v>8.0967000000000002</v>
      </c>
    </row>
    <row r="37" spans="1:65" x14ac:dyDescent="0.25">
      <c r="A37" t="s">
        <v>100</v>
      </c>
      <c r="B37" t="s">
        <v>1218</v>
      </c>
      <c r="C37" t="s">
        <v>2159</v>
      </c>
      <c r="D37" s="1">
        <v>45362</v>
      </c>
      <c r="E37" s="1">
        <v>45400</v>
      </c>
      <c r="F37" s="1">
        <v>45473</v>
      </c>
      <c r="G37" t="s">
        <v>2161</v>
      </c>
      <c r="H37" t="s">
        <v>2167</v>
      </c>
      <c r="I37" t="s">
        <v>2174</v>
      </c>
      <c r="J37">
        <v>10794</v>
      </c>
      <c r="K37">
        <v>324</v>
      </c>
      <c r="L37">
        <v>3.1</v>
      </c>
      <c r="M37">
        <v>1.4</v>
      </c>
      <c r="N37">
        <v>3</v>
      </c>
      <c r="O37">
        <v>3047</v>
      </c>
      <c r="P37" t="s">
        <v>2176</v>
      </c>
      <c r="Q37">
        <v>10</v>
      </c>
      <c r="R37">
        <v>14</v>
      </c>
      <c r="S37">
        <v>16</v>
      </c>
      <c r="T37">
        <v>698</v>
      </c>
      <c r="U37" t="s">
        <v>2161</v>
      </c>
      <c r="V37" t="s">
        <v>2167</v>
      </c>
      <c r="W37" t="s">
        <v>2208</v>
      </c>
      <c r="X37" t="s">
        <v>2210</v>
      </c>
      <c r="Y37" t="s">
        <v>2212</v>
      </c>
      <c r="Z37" s="1">
        <v>45457</v>
      </c>
      <c r="AA37" s="1">
        <v>45459</v>
      </c>
      <c r="AB37" t="s">
        <v>2214</v>
      </c>
      <c r="AC37" t="s">
        <v>2209</v>
      </c>
      <c r="AD37" t="s">
        <v>2216</v>
      </c>
      <c r="AE37" t="s">
        <v>2161</v>
      </c>
      <c r="AG37" t="s">
        <v>2220</v>
      </c>
      <c r="AH37">
        <v>40</v>
      </c>
      <c r="AI37">
        <v>57</v>
      </c>
      <c r="AJ37">
        <v>17</v>
      </c>
      <c r="AK37">
        <v>4</v>
      </c>
      <c r="AL37" t="s">
        <v>2225</v>
      </c>
      <c r="AM37">
        <v>0</v>
      </c>
      <c r="AN37" t="s">
        <v>2176</v>
      </c>
      <c r="AO37" t="s">
        <v>2176</v>
      </c>
      <c r="AP37" t="s">
        <v>2176</v>
      </c>
      <c r="AQ37">
        <v>4.34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4.3</v>
      </c>
      <c r="AY37">
        <v>4.3</v>
      </c>
      <c r="AZ37">
        <v>3</v>
      </c>
      <c r="BA37">
        <v>2</v>
      </c>
      <c r="BB37">
        <v>32</v>
      </c>
      <c r="BC37">
        <v>26</v>
      </c>
      <c r="BD37">
        <v>28.46</v>
      </c>
      <c r="BE37">
        <v>138</v>
      </c>
      <c r="BF37">
        <v>88.9</v>
      </c>
      <c r="BG37">
        <v>32</v>
      </c>
      <c r="BH37">
        <v>26</v>
      </c>
      <c r="BI37">
        <v>28.46</v>
      </c>
      <c r="BJ37">
        <v>138</v>
      </c>
      <c r="BK37">
        <v>88.9</v>
      </c>
      <c r="BL37">
        <v>138</v>
      </c>
      <c r="BM37">
        <v>3.0074999999999998</v>
      </c>
    </row>
    <row r="38" spans="1:65" x14ac:dyDescent="0.25">
      <c r="A38" t="s">
        <v>101</v>
      </c>
      <c r="B38" t="s">
        <v>1219</v>
      </c>
      <c r="C38" t="s">
        <v>2157</v>
      </c>
      <c r="D38" s="1">
        <v>45418</v>
      </c>
      <c r="E38" s="1">
        <v>45452</v>
      </c>
      <c r="F38" s="1">
        <v>45602</v>
      </c>
      <c r="G38" t="s">
        <v>2166</v>
      </c>
      <c r="H38" t="s">
        <v>2172</v>
      </c>
      <c r="I38" t="s">
        <v>2173</v>
      </c>
      <c r="J38">
        <v>46464</v>
      </c>
      <c r="K38">
        <v>1394</v>
      </c>
      <c r="L38">
        <v>14.4</v>
      </c>
      <c r="M38">
        <v>12.4</v>
      </c>
      <c r="N38">
        <v>5</v>
      </c>
      <c r="O38">
        <v>12205</v>
      </c>
      <c r="P38" t="s">
        <v>2177</v>
      </c>
      <c r="Q38">
        <v>18</v>
      </c>
      <c r="R38">
        <v>30</v>
      </c>
      <c r="S38">
        <v>69</v>
      </c>
      <c r="T38">
        <v>677</v>
      </c>
      <c r="U38" t="s">
        <v>2166</v>
      </c>
      <c r="V38" t="s">
        <v>2172</v>
      </c>
      <c r="W38" t="s">
        <v>2208</v>
      </c>
      <c r="X38" t="s">
        <v>2210</v>
      </c>
      <c r="Y38" t="s">
        <v>2212</v>
      </c>
      <c r="Z38" s="1">
        <v>45599</v>
      </c>
      <c r="AA38" s="1">
        <v>45599</v>
      </c>
      <c r="AB38" t="s">
        <v>2214</v>
      </c>
      <c r="AC38" t="s">
        <v>2209</v>
      </c>
      <c r="AD38" t="s">
        <v>2216</v>
      </c>
      <c r="AE38" t="s">
        <v>2166</v>
      </c>
      <c r="AG38" t="s">
        <v>2220</v>
      </c>
      <c r="AH38">
        <v>117</v>
      </c>
      <c r="AI38">
        <v>147</v>
      </c>
      <c r="AJ38">
        <v>30</v>
      </c>
      <c r="AK38">
        <v>6</v>
      </c>
      <c r="AL38" t="s">
        <v>2223</v>
      </c>
      <c r="AM38">
        <v>0</v>
      </c>
      <c r="AN38" t="s">
        <v>2175</v>
      </c>
      <c r="AO38" t="s">
        <v>2177</v>
      </c>
      <c r="AP38" t="s">
        <v>2177</v>
      </c>
      <c r="AQ38">
        <v>178.56</v>
      </c>
      <c r="AR38">
        <v>2</v>
      </c>
      <c r="AS38">
        <v>3</v>
      </c>
      <c r="AT38">
        <v>2</v>
      </c>
      <c r="AU38">
        <v>2</v>
      </c>
      <c r="AV38">
        <v>2.333333333333333</v>
      </c>
      <c r="AW38">
        <v>4.8</v>
      </c>
      <c r="AY38">
        <v>4.8</v>
      </c>
      <c r="AZ38">
        <v>1</v>
      </c>
      <c r="BA38">
        <v>3</v>
      </c>
      <c r="BB38">
        <v>45</v>
      </c>
      <c r="BC38">
        <v>25</v>
      </c>
      <c r="BD38">
        <v>39.200000000000003</v>
      </c>
      <c r="BE38">
        <v>186</v>
      </c>
      <c r="BF38">
        <v>87.1</v>
      </c>
      <c r="BG38">
        <v>45</v>
      </c>
      <c r="BH38">
        <v>25</v>
      </c>
      <c r="BI38">
        <v>39.200000000000003</v>
      </c>
      <c r="BJ38">
        <v>186</v>
      </c>
      <c r="BK38">
        <v>87.1</v>
      </c>
      <c r="BL38">
        <v>186</v>
      </c>
      <c r="BM38">
        <v>9.9901</v>
      </c>
    </row>
    <row r="39" spans="1:65" x14ac:dyDescent="0.25">
      <c r="A39" t="s">
        <v>102</v>
      </c>
      <c r="B39" t="s">
        <v>1220</v>
      </c>
      <c r="C39" t="s">
        <v>2160</v>
      </c>
      <c r="D39" s="1">
        <v>45369</v>
      </c>
      <c r="E39" s="1">
        <v>45411</v>
      </c>
      <c r="F39" s="1">
        <v>45481</v>
      </c>
      <c r="G39" t="s">
        <v>2166</v>
      </c>
      <c r="H39" t="s">
        <v>2172</v>
      </c>
      <c r="I39" t="s">
        <v>2176</v>
      </c>
      <c r="J39">
        <v>17158</v>
      </c>
      <c r="K39">
        <v>515</v>
      </c>
      <c r="L39">
        <v>11.6</v>
      </c>
      <c r="M39">
        <v>7.3</v>
      </c>
      <c r="N39">
        <v>4</v>
      </c>
      <c r="O39">
        <v>3491</v>
      </c>
      <c r="P39" t="s">
        <v>2176</v>
      </c>
      <c r="Q39">
        <v>10</v>
      </c>
      <c r="R39">
        <v>14</v>
      </c>
      <c r="S39">
        <v>24</v>
      </c>
      <c r="T39">
        <v>737</v>
      </c>
      <c r="U39" t="s">
        <v>2166</v>
      </c>
      <c r="V39" t="s">
        <v>2172</v>
      </c>
      <c r="W39" t="s">
        <v>2208</v>
      </c>
      <c r="X39" t="s">
        <v>2210</v>
      </c>
      <c r="Y39" t="s">
        <v>2212</v>
      </c>
      <c r="Z39" s="1">
        <v>45477</v>
      </c>
      <c r="AA39" s="1">
        <v>45480</v>
      </c>
      <c r="AB39" t="s">
        <v>2214</v>
      </c>
      <c r="AC39" t="s">
        <v>2209</v>
      </c>
      <c r="AD39" t="s">
        <v>2216</v>
      </c>
      <c r="AE39" t="s">
        <v>2166</v>
      </c>
      <c r="AG39" t="s">
        <v>2220</v>
      </c>
      <c r="AH39">
        <v>48</v>
      </c>
      <c r="AI39">
        <v>66</v>
      </c>
      <c r="AJ39">
        <v>18</v>
      </c>
      <c r="AK39">
        <v>4</v>
      </c>
      <c r="AL39" t="s">
        <v>2225</v>
      </c>
      <c r="AM39">
        <v>0</v>
      </c>
      <c r="AN39" t="s">
        <v>2177</v>
      </c>
      <c r="AO39" t="s">
        <v>2177</v>
      </c>
      <c r="AP39" t="s">
        <v>2176</v>
      </c>
      <c r="AQ39">
        <v>84.679999999999993</v>
      </c>
      <c r="AR39">
        <v>1</v>
      </c>
      <c r="AS39">
        <v>2</v>
      </c>
      <c r="AT39">
        <v>2</v>
      </c>
      <c r="AU39">
        <v>1</v>
      </c>
      <c r="AV39">
        <v>1.666666666666667</v>
      </c>
      <c r="AW39">
        <v>4.8</v>
      </c>
      <c r="AY39">
        <v>4.8</v>
      </c>
      <c r="AZ39">
        <v>0</v>
      </c>
      <c r="BA39">
        <v>1</v>
      </c>
      <c r="BB39">
        <v>45</v>
      </c>
      <c r="BC39">
        <v>26</v>
      </c>
      <c r="BD39">
        <v>40.270000000000003</v>
      </c>
      <c r="BE39">
        <v>199</v>
      </c>
      <c r="BF39">
        <v>89.5</v>
      </c>
      <c r="BG39">
        <v>45</v>
      </c>
      <c r="BH39">
        <v>26</v>
      </c>
      <c r="BI39">
        <v>40.270000000000003</v>
      </c>
      <c r="BJ39">
        <v>199</v>
      </c>
      <c r="BK39">
        <v>89.5</v>
      </c>
      <c r="BL39">
        <v>199</v>
      </c>
      <c r="BM39">
        <v>3.3155999999999999</v>
      </c>
    </row>
    <row r="40" spans="1:65" x14ac:dyDescent="0.25">
      <c r="A40" t="s">
        <v>103</v>
      </c>
      <c r="B40" t="s">
        <v>1221</v>
      </c>
      <c r="C40" t="s">
        <v>2158</v>
      </c>
      <c r="D40" s="1">
        <v>45348</v>
      </c>
      <c r="E40" s="1">
        <v>45389</v>
      </c>
      <c r="F40" s="1">
        <v>45463</v>
      </c>
      <c r="G40" t="s">
        <v>2161</v>
      </c>
      <c r="H40" t="s">
        <v>2167</v>
      </c>
      <c r="I40" t="s">
        <v>2174</v>
      </c>
      <c r="J40">
        <v>10066</v>
      </c>
      <c r="K40">
        <v>302</v>
      </c>
      <c r="L40">
        <v>6.7</v>
      </c>
      <c r="M40">
        <v>3.6</v>
      </c>
      <c r="N40">
        <v>1</v>
      </c>
      <c r="O40">
        <v>3994</v>
      </c>
      <c r="P40" t="s">
        <v>2176</v>
      </c>
      <c r="Q40">
        <v>10</v>
      </c>
      <c r="R40">
        <v>14</v>
      </c>
      <c r="S40">
        <v>18</v>
      </c>
      <c r="T40">
        <v>589</v>
      </c>
      <c r="U40" t="s">
        <v>2161</v>
      </c>
      <c r="V40" t="s">
        <v>2167</v>
      </c>
      <c r="W40" t="s">
        <v>2208</v>
      </c>
      <c r="X40" t="s">
        <v>2210</v>
      </c>
      <c r="Y40" t="s">
        <v>2212</v>
      </c>
      <c r="Z40" s="1">
        <v>45448</v>
      </c>
      <c r="AA40" s="1">
        <v>45451</v>
      </c>
      <c r="AB40" t="s">
        <v>2214</v>
      </c>
      <c r="AC40" t="s">
        <v>2209</v>
      </c>
      <c r="AD40" t="s">
        <v>2216</v>
      </c>
      <c r="AE40" t="s">
        <v>2161</v>
      </c>
      <c r="AG40" t="s">
        <v>2220</v>
      </c>
      <c r="AH40">
        <v>42</v>
      </c>
      <c r="AI40">
        <v>59</v>
      </c>
      <c r="AJ40">
        <v>17</v>
      </c>
      <c r="AK40">
        <v>4</v>
      </c>
      <c r="AL40" t="s">
        <v>2225</v>
      </c>
      <c r="AM40">
        <v>0</v>
      </c>
      <c r="AN40" t="s">
        <v>2176</v>
      </c>
      <c r="AO40" t="s">
        <v>2176</v>
      </c>
      <c r="AP40" t="s">
        <v>2176</v>
      </c>
      <c r="AQ40">
        <v>24.12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4.3</v>
      </c>
      <c r="AY40">
        <v>4.3</v>
      </c>
      <c r="AZ40">
        <v>2</v>
      </c>
      <c r="BA40">
        <v>2</v>
      </c>
      <c r="BB40">
        <v>32</v>
      </c>
      <c r="BC40">
        <v>26</v>
      </c>
      <c r="BD40">
        <v>28.46</v>
      </c>
      <c r="BE40">
        <v>138</v>
      </c>
      <c r="BF40">
        <v>88.9</v>
      </c>
      <c r="BG40">
        <v>32</v>
      </c>
      <c r="BH40">
        <v>26</v>
      </c>
      <c r="BI40">
        <v>28.46</v>
      </c>
      <c r="BJ40">
        <v>138</v>
      </c>
      <c r="BK40">
        <v>88.9</v>
      </c>
      <c r="BL40">
        <v>138</v>
      </c>
      <c r="BM40">
        <v>2.8047</v>
      </c>
    </row>
    <row r="41" spans="1:65" x14ac:dyDescent="0.25">
      <c r="A41" t="s">
        <v>104</v>
      </c>
      <c r="B41" t="s">
        <v>1222</v>
      </c>
      <c r="C41" t="s">
        <v>2158</v>
      </c>
      <c r="D41" s="1">
        <v>45439</v>
      </c>
      <c r="E41" s="1">
        <v>45471</v>
      </c>
      <c r="F41" s="1">
        <v>45530</v>
      </c>
      <c r="G41" t="s">
        <v>2162</v>
      </c>
      <c r="H41" t="s">
        <v>2168</v>
      </c>
      <c r="I41" t="s">
        <v>2173</v>
      </c>
      <c r="J41">
        <v>10918</v>
      </c>
      <c r="K41">
        <v>328</v>
      </c>
      <c r="L41">
        <v>12.6</v>
      </c>
      <c r="M41">
        <v>8.1999999999999993</v>
      </c>
      <c r="N41">
        <v>6</v>
      </c>
      <c r="O41">
        <v>8127</v>
      </c>
      <c r="P41" t="s">
        <v>2177</v>
      </c>
      <c r="Q41">
        <v>10</v>
      </c>
      <c r="R41">
        <v>14</v>
      </c>
      <c r="S41">
        <v>14</v>
      </c>
      <c r="T41">
        <v>799</v>
      </c>
      <c r="U41" t="s">
        <v>2162</v>
      </c>
      <c r="V41" t="s">
        <v>2168</v>
      </c>
      <c r="W41" t="s">
        <v>2208</v>
      </c>
      <c r="X41" t="s">
        <v>2210</v>
      </c>
      <c r="Y41" t="s">
        <v>2212</v>
      </c>
      <c r="Z41" s="1">
        <v>45526</v>
      </c>
      <c r="AA41" s="1">
        <v>45529</v>
      </c>
      <c r="AB41" t="s">
        <v>2214</v>
      </c>
      <c r="AC41" t="s">
        <v>2209</v>
      </c>
      <c r="AD41" t="s">
        <v>2216</v>
      </c>
      <c r="AE41" t="s">
        <v>2162</v>
      </c>
      <c r="AG41" t="s">
        <v>2220</v>
      </c>
      <c r="AH41">
        <v>38</v>
      </c>
      <c r="AI41">
        <v>55</v>
      </c>
      <c r="AJ41">
        <v>17</v>
      </c>
      <c r="AK41">
        <v>6</v>
      </c>
      <c r="AL41" t="s">
        <v>2223</v>
      </c>
      <c r="AM41">
        <v>0</v>
      </c>
      <c r="AN41" t="s">
        <v>2177</v>
      </c>
      <c r="AO41" t="s">
        <v>2177</v>
      </c>
      <c r="AP41" t="s">
        <v>2177</v>
      </c>
      <c r="AQ41">
        <v>103.32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4.2</v>
      </c>
      <c r="AY41">
        <v>4.2</v>
      </c>
      <c r="AZ41">
        <v>2</v>
      </c>
      <c r="BA41">
        <v>3</v>
      </c>
      <c r="BB41">
        <v>29</v>
      </c>
      <c r="BC41">
        <v>25</v>
      </c>
      <c r="BD41">
        <v>25.56</v>
      </c>
      <c r="BE41">
        <v>117</v>
      </c>
      <c r="BF41">
        <v>88.1</v>
      </c>
      <c r="BG41">
        <v>29</v>
      </c>
      <c r="BH41">
        <v>25</v>
      </c>
      <c r="BI41">
        <v>25.56</v>
      </c>
      <c r="BJ41">
        <v>117</v>
      </c>
      <c r="BK41">
        <v>88.1</v>
      </c>
      <c r="BL41">
        <v>117</v>
      </c>
      <c r="BM41">
        <v>3.7313999999999998</v>
      </c>
    </row>
    <row r="42" spans="1:65" x14ac:dyDescent="0.25">
      <c r="A42" t="s">
        <v>105</v>
      </c>
      <c r="B42" t="s">
        <v>1223</v>
      </c>
      <c r="C42" t="s">
        <v>2159</v>
      </c>
      <c r="D42" s="1">
        <v>45411</v>
      </c>
      <c r="E42" s="1">
        <v>45446</v>
      </c>
      <c r="F42" s="1">
        <v>45507</v>
      </c>
      <c r="G42" t="s">
        <v>2162</v>
      </c>
      <c r="H42" t="s">
        <v>2168</v>
      </c>
      <c r="I42" t="s">
        <v>2173</v>
      </c>
      <c r="J42">
        <v>13038</v>
      </c>
      <c r="K42">
        <v>392</v>
      </c>
      <c r="L42">
        <v>10</v>
      </c>
      <c r="M42">
        <v>10.7</v>
      </c>
      <c r="N42">
        <v>4</v>
      </c>
      <c r="O42">
        <v>7350</v>
      </c>
      <c r="P42" t="s">
        <v>2177</v>
      </c>
      <c r="Q42">
        <v>10</v>
      </c>
      <c r="R42">
        <v>14</v>
      </c>
      <c r="S42">
        <v>18</v>
      </c>
      <c r="T42">
        <v>751</v>
      </c>
      <c r="U42" t="s">
        <v>2166</v>
      </c>
      <c r="V42" t="s">
        <v>2172</v>
      </c>
      <c r="W42" t="s">
        <v>2209</v>
      </c>
      <c r="X42" t="s">
        <v>2211</v>
      </c>
      <c r="Y42" t="s">
        <v>2212</v>
      </c>
      <c r="Z42" s="1">
        <v>45505</v>
      </c>
      <c r="AA42" s="1">
        <v>45508</v>
      </c>
      <c r="AB42" t="s">
        <v>2214</v>
      </c>
      <c r="AC42" t="s">
        <v>2209</v>
      </c>
      <c r="AD42" t="s">
        <v>2218</v>
      </c>
      <c r="AE42" t="s">
        <v>2166</v>
      </c>
      <c r="AG42" t="s">
        <v>2221</v>
      </c>
      <c r="AH42">
        <v>42</v>
      </c>
      <c r="AI42">
        <v>59</v>
      </c>
      <c r="AJ42">
        <v>17</v>
      </c>
      <c r="AK42">
        <v>6</v>
      </c>
      <c r="AL42" t="s">
        <v>2223</v>
      </c>
      <c r="AM42">
        <v>0</v>
      </c>
      <c r="AN42" t="s">
        <v>2177</v>
      </c>
      <c r="AO42" t="s">
        <v>2177</v>
      </c>
      <c r="AP42" t="s">
        <v>2177</v>
      </c>
      <c r="AQ42">
        <v>107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4.8</v>
      </c>
      <c r="AY42">
        <v>4.2</v>
      </c>
      <c r="AZ42">
        <v>3</v>
      </c>
      <c r="BA42">
        <v>3</v>
      </c>
      <c r="BB42">
        <v>45</v>
      </c>
      <c r="BC42">
        <v>25</v>
      </c>
      <c r="BD42">
        <v>39.200000000000003</v>
      </c>
      <c r="BE42">
        <v>186</v>
      </c>
      <c r="BF42">
        <v>87.1</v>
      </c>
      <c r="BG42">
        <v>29</v>
      </c>
      <c r="BH42">
        <v>25</v>
      </c>
      <c r="BI42">
        <v>25.56</v>
      </c>
      <c r="BJ42">
        <v>117</v>
      </c>
      <c r="BK42">
        <v>88.1</v>
      </c>
      <c r="BL42">
        <v>186</v>
      </c>
      <c r="BM42">
        <v>2.8033000000000001</v>
      </c>
    </row>
    <row r="43" spans="1:65" x14ac:dyDescent="0.25">
      <c r="A43" t="s">
        <v>106</v>
      </c>
      <c r="B43" t="s">
        <v>1224</v>
      </c>
      <c r="C43" t="s">
        <v>2158</v>
      </c>
      <c r="D43" s="1">
        <v>45432</v>
      </c>
      <c r="E43" s="1">
        <v>45466</v>
      </c>
      <c r="F43" s="1">
        <v>45521</v>
      </c>
      <c r="G43" t="s">
        <v>2165</v>
      </c>
      <c r="H43" t="s">
        <v>2171</v>
      </c>
      <c r="I43" t="s">
        <v>2175</v>
      </c>
      <c r="J43">
        <v>12387</v>
      </c>
      <c r="K43">
        <v>372</v>
      </c>
      <c r="L43">
        <v>14.8</v>
      </c>
      <c r="M43">
        <v>15.5</v>
      </c>
      <c r="N43">
        <v>7</v>
      </c>
      <c r="O43">
        <v>14600</v>
      </c>
      <c r="P43" t="s">
        <v>2178</v>
      </c>
      <c r="Q43">
        <v>10</v>
      </c>
      <c r="R43">
        <v>14</v>
      </c>
      <c r="S43">
        <v>14</v>
      </c>
      <c r="T43">
        <v>888</v>
      </c>
      <c r="U43" t="s">
        <v>2165</v>
      </c>
      <c r="V43" t="s">
        <v>2171</v>
      </c>
      <c r="W43" t="s">
        <v>2208</v>
      </c>
      <c r="X43" t="s">
        <v>2210</v>
      </c>
      <c r="Y43" t="s">
        <v>2212</v>
      </c>
      <c r="Z43" s="1">
        <v>45520</v>
      </c>
      <c r="AA43" s="1">
        <v>45522</v>
      </c>
      <c r="AB43" t="s">
        <v>2214</v>
      </c>
      <c r="AC43" t="s">
        <v>2209</v>
      </c>
      <c r="AD43" t="s">
        <v>2216</v>
      </c>
      <c r="AE43" t="s">
        <v>2165</v>
      </c>
      <c r="AG43" t="s">
        <v>2220</v>
      </c>
      <c r="AH43">
        <v>38</v>
      </c>
      <c r="AI43">
        <v>54</v>
      </c>
      <c r="AJ43">
        <v>16</v>
      </c>
      <c r="AK43">
        <v>6</v>
      </c>
      <c r="AL43" t="s">
        <v>2223</v>
      </c>
      <c r="AM43">
        <v>0</v>
      </c>
      <c r="AN43" t="s">
        <v>2175</v>
      </c>
      <c r="AO43" t="s">
        <v>2175</v>
      </c>
      <c r="AP43" t="s">
        <v>2177</v>
      </c>
      <c r="AQ43">
        <v>229.4</v>
      </c>
      <c r="AR43">
        <v>3</v>
      </c>
      <c r="AS43">
        <v>3</v>
      </c>
      <c r="AT43">
        <v>3</v>
      </c>
      <c r="AU43">
        <v>2</v>
      </c>
      <c r="AV43">
        <v>2.666666666666667</v>
      </c>
      <c r="AW43">
        <v>4.5999999999999996</v>
      </c>
      <c r="AY43">
        <v>4.5999999999999996</v>
      </c>
      <c r="AZ43">
        <v>2</v>
      </c>
      <c r="BA43">
        <v>0</v>
      </c>
      <c r="BB43">
        <v>40</v>
      </c>
      <c r="BC43">
        <v>25</v>
      </c>
      <c r="BD43">
        <v>34.72</v>
      </c>
      <c r="BE43">
        <v>161</v>
      </c>
      <c r="BF43">
        <v>86.8</v>
      </c>
      <c r="BG43">
        <v>40</v>
      </c>
      <c r="BH43">
        <v>25</v>
      </c>
      <c r="BI43">
        <v>34.72</v>
      </c>
      <c r="BJ43">
        <v>161</v>
      </c>
      <c r="BK43">
        <v>86.8</v>
      </c>
      <c r="BL43">
        <v>161</v>
      </c>
      <c r="BM43">
        <v>3.0768</v>
      </c>
    </row>
    <row r="44" spans="1:65" x14ac:dyDescent="0.25">
      <c r="A44" t="s">
        <v>107</v>
      </c>
      <c r="B44" t="s">
        <v>1225</v>
      </c>
      <c r="C44" t="s">
        <v>2157</v>
      </c>
      <c r="D44" s="1">
        <v>45313</v>
      </c>
      <c r="E44" s="1">
        <v>45356</v>
      </c>
      <c r="F44" s="1">
        <v>45509</v>
      </c>
      <c r="G44" t="s">
        <v>2166</v>
      </c>
      <c r="H44" t="s">
        <v>2172</v>
      </c>
      <c r="I44" t="s">
        <v>2176</v>
      </c>
      <c r="J44">
        <v>41733</v>
      </c>
      <c r="K44">
        <v>1252</v>
      </c>
      <c r="L44">
        <v>9.1</v>
      </c>
      <c r="M44">
        <v>3.8</v>
      </c>
      <c r="N44">
        <v>2</v>
      </c>
      <c r="O44">
        <v>9846</v>
      </c>
      <c r="P44" t="s">
        <v>2176</v>
      </c>
      <c r="Q44">
        <v>18</v>
      </c>
      <c r="R44">
        <v>30</v>
      </c>
      <c r="S44">
        <v>67</v>
      </c>
      <c r="T44">
        <v>626</v>
      </c>
      <c r="U44" t="s">
        <v>2166</v>
      </c>
      <c r="V44" t="s">
        <v>2172</v>
      </c>
      <c r="W44" t="s">
        <v>2208</v>
      </c>
      <c r="X44" t="s">
        <v>2210</v>
      </c>
      <c r="Y44" t="s">
        <v>2212</v>
      </c>
      <c r="Z44" s="1">
        <v>45501</v>
      </c>
      <c r="AA44" s="1">
        <v>45507</v>
      </c>
      <c r="AB44" t="s">
        <v>2214</v>
      </c>
      <c r="AC44" t="s">
        <v>2209</v>
      </c>
      <c r="AD44" t="s">
        <v>2216</v>
      </c>
      <c r="AE44" t="s">
        <v>2166</v>
      </c>
      <c r="AG44" t="s">
        <v>2220</v>
      </c>
      <c r="AH44">
        <v>115</v>
      </c>
      <c r="AI44">
        <v>145</v>
      </c>
      <c r="AJ44">
        <v>30</v>
      </c>
      <c r="AK44">
        <v>3</v>
      </c>
      <c r="AL44" t="s">
        <v>2227</v>
      </c>
      <c r="AM44">
        <v>0</v>
      </c>
      <c r="AN44" t="s">
        <v>2176</v>
      </c>
      <c r="AO44" t="s">
        <v>2176</v>
      </c>
      <c r="AP44" t="s">
        <v>2177</v>
      </c>
      <c r="AQ44">
        <v>34.58</v>
      </c>
      <c r="AR44">
        <v>1</v>
      </c>
      <c r="AS44">
        <v>1</v>
      </c>
      <c r="AT44">
        <v>1</v>
      </c>
      <c r="AU44">
        <v>2</v>
      </c>
      <c r="AV44">
        <v>1.333333333333333</v>
      </c>
      <c r="AW44">
        <v>4.8</v>
      </c>
      <c r="AY44">
        <v>4.8</v>
      </c>
      <c r="AZ44">
        <v>1</v>
      </c>
      <c r="BA44">
        <v>1</v>
      </c>
      <c r="BB44">
        <v>49</v>
      </c>
      <c r="BC44">
        <v>26</v>
      </c>
      <c r="BD44">
        <v>43.12</v>
      </c>
      <c r="BE44">
        <v>216</v>
      </c>
      <c r="BF44">
        <v>88</v>
      </c>
      <c r="BG44">
        <v>49</v>
      </c>
      <c r="BH44">
        <v>26</v>
      </c>
      <c r="BI44">
        <v>43.12</v>
      </c>
      <c r="BJ44">
        <v>216</v>
      </c>
      <c r="BK44">
        <v>88</v>
      </c>
      <c r="BL44">
        <v>216</v>
      </c>
      <c r="BM44">
        <v>7.4298000000000002</v>
      </c>
    </row>
    <row r="45" spans="1:65" x14ac:dyDescent="0.25">
      <c r="A45" t="s">
        <v>108</v>
      </c>
      <c r="B45" t="s">
        <v>1226</v>
      </c>
      <c r="C45" t="s">
        <v>2160</v>
      </c>
      <c r="D45" s="1">
        <v>45425</v>
      </c>
      <c r="E45" s="1">
        <v>45470</v>
      </c>
      <c r="F45" s="1">
        <v>45529</v>
      </c>
      <c r="G45" t="s">
        <v>2162</v>
      </c>
      <c r="H45" t="s">
        <v>2168</v>
      </c>
      <c r="I45" t="s">
        <v>2173</v>
      </c>
      <c r="J45">
        <v>13132</v>
      </c>
      <c r="K45">
        <v>394</v>
      </c>
      <c r="L45">
        <v>14</v>
      </c>
      <c r="M45">
        <v>14.2</v>
      </c>
      <c r="N45">
        <v>6</v>
      </c>
      <c r="O45">
        <v>8454</v>
      </c>
      <c r="P45" t="s">
        <v>2177</v>
      </c>
      <c r="Q45">
        <v>10</v>
      </c>
      <c r="R45">
        <v>14</v>
      </c>
      <c r="S45">
        <v>17</v>
      </c>
      <c r="T45">
        <v>773</v>
      </c>
      <c r="U45" t="s">
        <v>2162</v>
      </c>
      <c r="V45" t="s">
        <v>2168</v>
      </c>
      <c r="W45" t="s">
        <v>2208</v>
      </c>
      <c r="X45" t="s">
        <v>2210</v>
      </c>
      <c r="Y45" t="s">
        <v>2212</v>
      </c>
      <c r="Z45" s="1">
        <v>45529</v>
      </c>
      <c r="AA45" s="1">
        <v>45529</v>
      </c>
      <c r="AB45" t="s">
        <v>2214</v>
      </c>
      <c r="AC45" t="s">
        <v>2209</v>
      </c>
      <c r="AD45" t="s">
        <v>2216</v>
      </c>
      <c r="AE45" t="s">
        <v>2162</v>
      </c>
      <c r="AG45" t="s">
        <v>2220</v>
      </c>
      <c r="AH45">
        <v>41</v>
      </c>
      <c r="AI45">
        <v>59</v>
      </c>
      <c r="AJ45">
        <v>18</v>
      </c>
      <c r="AK45">
        <v>6</v>
      </c>
      <c r="AL45" t="s">
        <v>2223</v>
      </c>
      <c r="AM45">
        <v>0</v>
      </c>
      <c r="AN45" t="s">
        <v>2175</v>
      </c>
      <c r="AO45" t="s">
        <v>2177</v>
      </c>
      <c r="AP45" t="s">
        <v>2177</v>
      </c>
      <c r="AQ45">
        <v>198.8</v>
      </c>
      <c r="AR45">
        <v>2</v>
      </c>
      <c r="AS45">
        <v>3</v>
      </c>
      <c r="AT45">
        <v>2</v>
      </c>
      <c r="AU45">
        <v>2</v>
      </c>
      <c r="AV45">
        <v>2.333333333333333</v>
      </c>
      <c r="AW45">
        <v>4.2</v>
      </c>
      <c r="AY45">
        <v>4.2</v>
      </c>
      <c r="AZ45">
        <v>0</v>
      </c>
      <c r="BA45">
        <v>3</v>
      </c>
      <c r="BB45">
        <v>29</v>
      </c>
      <c r="BC45">
        <v>25</v>
      </c>
      <c r="BD45">
        <v>25.56</v>
      </c>
      <c r="BE45">
        <v>117</v>
      </c>
      <c r="BF45">
        <v>88.1</v>
      </c>
      <c r="BG45">
        <v>29</v>
      </c>
      <c r="BH45">
        <v>25</v>
      </c>
      <c r="BI45">
        <v>25.56</v>
      </c>
      <c r="BJ45">
        <v>117</v>
      </c>
      <c r="BK45">
        <v>88.1</v>
      </c>
      <c r="BL45">
        <v>117</v>
      </c>
      <c r="BM45">
        <v>4.4880000000000004</v>
      </c>
    </row>
    <row r="46" spans="1:65" x14ac:dyDescent="0.25">
      <c r="A46" t="s">
        <v>109</v>
      </c>
      <c r="B46" t="s">
        <v>1227</v>
      </c>
      <c r="C46" t="s">
        <v>2158</v>
      </c>
      <c r="D46" s="1">
        <v>45432</v>
      </c>
      <c r="E46" s="1">
        <v>45475</v>
      </c>
      <c r="F46" s="1">
        <v>45523</v>
      </c>
      <c r="G46" t="s">
        <v>2163</v>
      </c>
      <c r="H46" t="s">
        <v>2169</v>
      </c>
      <c r="I46" t="s">
        <v>2173</v>
      </c>
      <c r="J46">
        <v>9358</v>
      </c>
      <c r="K46">
        <v>281</v>
      </c>
      <c r="L46">
        <v>7.2</v>
      </c>
      <c r="M46">
        <v>7.2</v>
      </c>
      <c r="N46">
        <v>6</v>
      </c>
      <c r="O46">
        <v>13788</v>
      </c>
      <c r="P46" t="s">
        <v>2176</v>
      </c>
      <c r="Q46">
        <v>7</v>
      </c>
      <c r="R46">
        <v>10</v>
      </c>
      <c r="S46">
        <v>12</v>
      </c>
      <c r="T46">
        <v>785</v>
      </c>
      <c r="U46" t="s">
        <v>2163</v>
      </c>
      <c r="V46" t="s">
        <v>2169</v>
      </c>
      <c r="W46" t="s">
        <v>2208</v>
      </c>
      <c r="X46" t="s">
        <v>2210</v>
      </c>
      <c r="Y46" t="s">
        <v>2212</v>
      </c>
      <c r="Z46" s="1">
        <v>45519</v>
      </c>
      <c r="AA46" s="1">
        <v>45522</v>
      </c>
      <c r="AB46" t="s">
        <v>2214</v>
      </c>
      <c r="AC46" t="s">
        <v>2209</v>
      </c>
      <c r="AD46" t="s">
        <v>2216</v>
      </c>
      <c r="AE46" t="s">
        <v>2163</v>
      </c>
      <c r="AG46" t="s">
        <v>2220</v>
      </c>
      <c r="AH46">
        <v>29</v>
      </c>
      <c r="AI46">
        <v>44</v>
      </c>
      <c r="AJ46">
        <v>15</v>
      </c>
      <c r="AK46">
        <v>7</v>
      </c>
      <c r="AL46" t="s">
        <v>2226</v>
      </c>
      <c r="AM46">
        <v>0</v>
      </c>
      <c r="AN46" t="s">
        <v>2177</v>
      </c>
      <c r="AO46" t="s">
        <v>2177</v>
      </c>
      <c r="AP46" t="s">
        <v>2177</v>
      </c>
      <c r="AQ46">
        <v>51.84</v>
      </c>
      <c r="AR46">
        <v>1</v>
      </c>
      <c r="AS46">
        <v>2</v>
      </c>
      <c r="AT46">
        <v>2</v>
      </c>
      <c r="AU46">
        <v>2</v>
      </c>
      <c r="AV46">
        <v>2</v>
      </c>
      <c r="AW46">
        <v>4.4000000000000004</v>
      </c>
      <c r="AY46">
        <v>4.4000000000000004</v>
      </c>
      <c r="AZ46">
        <v>2</v>
      </c>
      <c r="BA46">
        <v>3</v>
      </c>
      <c r="BB46">
        <v>33</v>
      </c>
      <c r="BC46">
        <v>27</v>
      </c>
      <c r="BD46">
        <v>28.89</v>
      </c>
      <c r="BE46">
        <v>145</v>
      </c>
      <c r="BF46">
        <v>87.5</v>
      </c>
      <c r="BG46">
        <v>33</v>
      </c>
      <c r="BH46">
        <v>27</v>
      </c>
      <c r="BI46">
        <v>28.89</v>
      </c>
      <c r="BJ46">
        <v>145</v>
      </c>
      <c r="BK46">
        <v>87.5</v>
      </c>
      <c r="BL46">
        <v>145</v>
      </c>
      <c r="BM46">
        <v>2.3896999999999999</v>
      </c>
    </row>
    <row r="47" spans="1:65" x14ac:dyDescent="0.25">
      <c r="A47" t="s">
        <v>110</v>
      </c>
      <c r="B47" t="s">
        <v>1228</v>
      </c>
      <c r="C47" t="s">
        <v>2159</v>
      </c>
      <c r="D47" s="1">
        <v>45390</v>
      </c>
      <c r="E47" s="1">
        <v>45432</v>
      </c>
      <c r="F47" s="1">
        <v>45512</v>
      </c>
      <c r="G47" t="s">
        <v>2165</v>
      </c>
      <c r="H47" t="s">
        <v>2171</v>
      </c>
      <c r="I47" t="s">
        <v>2176</v>
      </c>
      <c r="J47">
        <v>16118</v>
      </c>
      <c r="K47">
        <v>484</v>
      </c>
      <c r="L47">
        <v>4.3</v>
      </c>
      <c r="M47">
        <v>4.5999999999999996</v>
      </c>
      <c r="N47">
        <v>3</v>
      </c>
      <c r="O47">
        <v>4141</v>
      </c>
      <c r="P47" t="s">
        <v>2176</v>
      </c>
      <c r="Q47">
        <v>10</v>
      </c>
      <c r="R47">
        <v>14</v>
      </c>
      <c r="S47">
        <v>27</v>
      </c>
      <c r="T47">
        <v>619</v>
      </c>
      <c r="U47" t="s">
        <v>2165</v>
      </c>
      <c r="V47" t="s">
        <v>2171</v>
      </c>
      <c r="W47" t="s">
        <v>2208</v>
      </c>
      <c r="X47" t="s">
        <v>2210</v>
      </c>
      <c r="Y47" t="s">
        <v>2212</v>
      </c>
      <c r="Z47" s="1">
        <v>45502</v>
      </c>
      <c r="AA47" s="1">
        <v>45508</v>
      </c>
      <c r="AB47" t="s">
        <v>2214</v>
      </c>
      <c r="AC47" t="s">
        <v>2209</v>
      </c>
      <c r="AD47" t="s">
        <v>2216</v>
      </c>
      <c r="AE47" t="s">
        <v>2165</v>
      </c>
      <c r="AG47" t="s">
        <v>2220</v>
      </c>
      <c r="AH47">
        <v>51</v>
      </c>
      <c r="AI47">
        <v>70</v>
      </c>
      <c r="AJ47">
        <v>19</v>
      </c>
      <c r="AK47">
        <v>5</v>
      </c>
      <c r="AL47" t="s">
        <v>2224</v>
      </c>
      <c r="AM47">
        <v>0</v>
      </c>
      <c r="AN47" t="s">
        <v>2176</v>
      </c>
      <c r="AO47" t="s">
        <v>2176</v>
      </c>
      <c r="AP47" t="s">
        <v>2176</v>
      </c>
      <c r="AQ47">
        <v>19.78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4.5999999999999996</v>
      </c>
      <c r="AY47">
        <v>4.5999999999999996</v>
      </c>
      <c r="AZ47">
        <v>3</v>
      </c>
      <c r="BA47">
        <v>1</v>
      </c>
      <c r="BB47">
        <v>36</v>
      </c>
      <c r="BC47">
        <v>27</v>
      </c>
      <c r="BD47">
        <v>31.37</v>
      </c>
      <c r="BE47">
        <v>158</v>
      </c>
      <c r="BF47">
        <v>87.1</v>
      </c>
      <c r="BG47">
        <v>36</v>
      </c>
      <c r="BH47">
        <v>27</v>
      </c>
      <c r="BI47">
        <v>31.37</v>
      </c>
      <c r="BJ47">
        <v>158</v>
      </c>
      <c r="BK47">
        <v>87.1</v>
      </c>
      <c r="BL47">
        <v>158</v>
      </c>
      <c r="BM47">
        <v>3.7774000000000001</v>
      </c>
    </row>
    <row r="48" spans="1:65" x14ac:dyDescent="0.25">
      <c r="A48" t="s">
        <v>111</v>
      </c>
      <c r="B48" t="s">
        <v>1229</v>
      </c>
      <c r="C48" t="s">
        <v>2159</v>
      </c>
      <c r="D48" s="1">
        <v>45327</v>
      </c>
      <c r="E48" s="1">
        <v>45361</v>
      </c>
      <c r="F48" s="1">
        <v>45460</v>
      </c>
      <c r="G48" t="s">
        <v>2166</v>
      </c>
      <c r="H48" t="s">
        <v>2172</v>
      </c>
      <c r="I48" t="s">
        <v>2176</v>
      </c>
      <c r="J48">
        <v>25048</v>
      </c>
      <c r="K48">
        <v>752</v>
      </c>
      <c r="L48">
        <v>5.6</v>
      </c>
      <c r="M48">
        <v>4.8</v>
      </c>
      <c r="N48">
        <v>2</v>
      </c>
      <c r="O48">
        <v>7238</v>
      </c>
      <c r="P48" t="s">
        <v>2176</v>
      </c>
      <c r="Q48">
        <v>14</v>
      </c>
      <c r="R48">
        <v>20</v>
      </c>
      <c r="S48">
        <v>36</v>
      </c>
      <c r="T48">
        <v>698</v>
      </c>
      <c r="U48" t="s">
        <v>2166</v>
      </c>
      <c r="V48" t="s">
        <v>2172</v>
      </c>
      <c r="W48" t="s">
        <v>2208</v>
      </c>
      <c r="X48" t="s">
        <v>2210</v>
      </c>
      <c r="Y48" t="s">
        <v>2212</v>
      </c>
      <c r="Z48" s="1">
        <v>45453</v>
      </c>
      <c r="AA48" s="1">
        <v>45458</v>
      </c>
      <c r="AB48" t="s">
        <v>2214</v>
      </c>
      <c r="AC48" t="s">
        <v>2209</v>
      </c>
      <c r="AD48" t="s">
        <v>2216</v>
      </c>
      <c r="AE48" t="s">
        <v>2166</v>
      </c>
      <c r="AG48" t="s">
        <v>2220</v>
      </c>
      <c r="AH48">
        <v>70</v>
      </c>
      <c r="AI48">
        <v>92</v>
      </c>
      <c r="AJ48">
        <v>22</v>
      </c>
      <c r="AK48">
        <v>3</v>
      </c>
      <c r="AL48" t="s">
        <v>2227</v>
      </c>
      <c r="AM48">
        <v>0</v>
      </c>
      <c r="AN48" t="s">
        <v>2176</v>
      </c>
      <c r="AO48" t="s">
        <v>2176</v>
      </c>
      <c r="AP48" t="s">
        <v>2177</v>
      </c>
      <c r="AQ48">
        <v>26.88</v>
      </c>
      <c r="AR48">
        <v>1</v>
      </c>
      <c r="AS48">
        <v>1</v>
      </c>
      <c r="AT48">
        <v>1</v>
      </c>
      <c r="AU48">
        <v>2</v>
      </c>
      <c r="AV48">
        <v>1.333333333333333</v>
      </c>
      <c r="AW48">
        <v>4.8</v>
      </c>
      <c r="AY48">
        <v>4.8</v>
      </c>
      <c r="AZ48">
        <v>3</v>
      </c>
      <c r="BA48">
        <v>1</v>
      </c>
      <c r="BB48">
        <v>49</v>
      </c>
      <c r="BC48">
        <v>26</v>
      </c>
      <c r="BD48">
        <v>43.12</v>
      </c>
      <c r="BE48">
        <v>216</v>
      </c>
      <c r="BF48">
        <v>88</v>
      </c>
      <c r="BG48">
        <v>49</v>
      </c>
      <c r="BH48">
        <v>26</v>
      </c>
      <c r="BI48">
        <v>43.12</v>
      </c>
      <c r="BJ48">
        <v>216</v>
      </c>
      <c r="BK48">
        <v>88</v>
      </c>
      <c r="BL48">
        <v>216</v>
      </c>
      <c r="BM48">
        <v>4.4592999999999998</v>
      </c>
    </row>
    <row r="49" spans="1:65" x14ac:dyDescent="0.25">
      <c r="A49" t="s">
        <v>112</v>
      </c>
      <c r="B49" t="s">
        <v>1230</v>
      </c>
      <c r="C49" t="s">
        <v>2160</v>
      </c>
      <c r="D49" s="1">
        <v>45397</v>
      </c>
      <c r="E49" s="1">
        <v>45441</v>
      </c>
      <c r="F49" s="1">
        <v>45509</v>
      </c>
      <c r="G49" t="s">
        <v>2161</v>
      </c>
      <c r="H49" t="s">
        <v>2167</v>
      </c>
      <c r="I49" t="s">
        <v>2176</v>
      </c>
      <c r="J49">
        <v>12709</v>
      </c>
      <c r="K49">
        <v>382</v>
      </c>
      <c r="L49">
        <v>8</v>
      </c>
      <c r="M49">
        <v>9.1</v>
      </c>
      <c r="N49">
        <v>3</v>
      </c>
      <c r="O49">
        <v>8355</v>
      </c>
      <c r="P49" t="s">
        <v>2176</v>
      </c>
      <c r="Q49">
        <v>10</v>
      </c>
      <c r="R49">
        <v>14</v>
      </c>
      <c r="S49">
        <v>19</v>
      </c>
      <c r="T49">
        <v>689</v>
      </c>
      <c r="U49" t="s">
        <v>2161</v>
      </c>
      <c r="V49" t="s">
        <v>2167</v>
      </c>
      <c r="W49" t="s">
        <v>2208</v>
      </c>
      <c r="X49" t="s">
        <v>2210</v>
      </c>
      <c r="Y49" t="s">
        <v>2212</v>
      </c>
      <c r="Z49" s="1">
        <v>45502</v>
      </c>
      <c r="AA49" s="1">
        <v>45508</v>
      </c>
      <c r="AB49" t="s">
        <v>2214</v>
      </c>
      <c r="AC49" t="s">
        <v>2209</v>
      </c>
      <c r="AD49" t="s">
        <v>2216</v>
      </c>
      <c r="AE49" t="s">
        <v>2161</v>
      </c>
      <c r="AG49" t="s">
        <v>2220</v>
      </c>
      <c r="AH49">
        <v>43</v>
      </c>
      <c r="AI49">
        <v>61</v>
      </c>
      <c r="AJ49">
        <v>18</v>
      </c>
      <c r="AK49">
        <v>5</v>
      </c>
      <c r="AL49" t="s">
        <v>2224</v>
      </c>
      <c r="AM49">
        <v>0</v>
      </c>
      <c r="AN49" t="s">
        <v>2177</v>
      </c>
      <c r="AO49" t="s">
        <v>2176</v>
      </c>
      <c r="AP49" t="s">
        <v>2177</v>
      </c>
      <c r="AQ49">
        <v>72.8</v>
      </c>
      <c r="AR49">
        <v>1</v>
      </c>
      <c r="AS49">
        <v>2</v>
      </c>
      <c r="AT49">
        <v>1</v>
      </c>
      <c r="AU49">
        <v>2</v>
      </c>
      <c r="AV49">
        <v>1.666666666666667</v>
      </c>
      <c r="AW49">
        <v>4.3</v>
      </c>
      <c r="AY49">
        <v>4.3</v>
      </c>
      <c r="AZ49">
        <v>0</v>
      </c>
      <c r="BA49">
        <v>1</v>
      </c>
      <c r="BB49">
        <v>33</v>
      </c>
      <c r="BC49">
        <v>27</v>
      </c>
      <c r="BD49">
        <v>28.96</v>
      </c>
      <c r="BE49">
        <v>147</v>
      </c>
      <c r="BF49">
        <v>87.8</v>
      </c>
      <c r="BG49">
        <v>33</v>
      </c>
      <c r="BH49">
        <v>27</v>
      </c>
      <c r="BI49">
        <v>28.96</v>
      </c>
      <c r="BJ49">
        <v>147</v>
      </c>
      <c r="BK49">
        <v>87.8</v>
      </c>
      <c r="BL49">
        <v>147</v>
      </c>
      <c r="BM49">
        <v>3.2012999999999998</v>
      </c>
    </row>
    <row r="50" spans="1:65" x14ac:dyDescent="0.25">
      <c r="A50" t="s">
        <v>113</v>
      </c>
      <c r="B50" t="s">
        <v>1231</v>
      </c>
      <c r="C50" t="s">
        <v>2157</v>
      </c>
      <c r="D50" s="1">
        <v>45348</v>
      </c>
      <c r="E50" s="1">
        <v>45382</v>
      </c>
      <c r="F50" s="1">
        <v>45520</v>
      </c>
      <c r="G50" t="s">
        <v>2162</v>
      </c>
      <c r="H50" t="s">
        <v>2168</v>
      </c>
      <c r="I50" t="s">
        <v>2173</v>
      </c>
      <c r="J50">
        <v>45474</v>
      </c>
      <c r="K50">
        <v>1365</v>
      </c>
      <c r="L50">
        <v>8.9</v>
      </c>
      <c r="M50">
        <v>9.1999999999999993</v>
      </c>
      <c r="N50">
        <v>6</v>
      </c>
      <c r="O50">
        <v>13331</v>
      </c>
      <c r="P50" t="s">
        <v>2176</v>
      </c>
      <c r="Q50">
        <v>18</v>
      </c>
      <c r="R50">
        <v>30</v>
      </c>
      <c r="S50">
        <v>59</v>
      </c>
      <c r="T50">
        <v>781</v>
      </c>
      <c r="U50" t="s">
        <v>2166</v>
      </c>
      <c r="V50" t="s">
        <v>2172</v>
      </c>
      <c r="W50" t="s">
        <v>2209</v>
      </c>
      <c r="X50" t="s">
        <v>2211</v>
      </c>
      <c r="Y50" t="s">
        <v>2212</v>
      </c>
      <c r="Z50" s="1">
        <v>45517</v>
      </c>
      <c r="AA50" s="1">
        <v>45521</v>
      </c>
      <c r="AB50" t="s">
        <v>2214</v>
      </c>
      <c r="AC50" t="s">
        <v>2209</v>
      </c>
      <c r="AD50" t="s">
        <v>2218</v>
      </c>
      <c r="AE50" t="s">
        <v>2166</v>
      </c>
      <c r="AG50" t="s">
        <v>2221</v>
      </c>
      <c r="AH50">
        <v>107</v>
      </c>
      <c r="AI50">
        <v>135</v>
      </c>
      <c r="AJ50">
        <v>28</v>
      </c>
      <c r="AK50">
        <v>3</v>
      </c>
      <c r="AL50" t="s">
        <v>2227</v>
      </c>
      <c r="AM50">
        <v>0</v>
      </c>
      <c r="AN50" t="s">
        <v>2177</v>
      </c>
      <c r="AO50" t="s">
        <v>2177</v>
      </c>
      <c r="AP50" t="s">
        <v>2177</v>
      </c>
      <c r="AQ50">
        <v>81.88</v>
      </c>
      <c r="AR50">
        <v>1</v>
      </c>
      <c r="AS50">
        <v>2</v>
      </c>
      <c r="AT50">
        <v>2</v>
      </c>
      <c r="AU50">
        <v>2</v>
      </c>
      <c r="AV50">
        <v>2</v>
      </c>
      <c r="AW50">
        <v>4.8</v>
      </c>
      <c r="AY50">
        <v>4.2</v>
      </c>
      <c r="AZ50">
        <v>1</v>
      </c>
      <c r="BA50">
        <v>3</v>
      </c>
      <c r="BB50">
        <v>49</v>
      </c>
      <c r="BC50">
        <v>26</v>
      </c>
      <c r="BD50">
        <v>43.12</v>
      </c>
      <c r="BE50">
        <v>216</v>
      </c>
      <c r="BF50">
        <v>88</v>
      </c>
      <c r="BG50">
        <v>31</v>
      </c>
      <c r="BH50">
        <v>26</v>
      </c>
      <c r="BI50">
        <v>27.27</v>
      </c>
      <c r="BJ50">
        <v>130</v>
      </c>
      <c r="BK50">
        <v>88</v>
      </c>
      <c r="BL50">
        <v>216</v>
      </c>
      <c r="BM50">
        <v>8.0958000000000006</v>
      </c>
    </row>
    <row r="51" spans="1:65" x14ac:dyDescent="0.25">
      <c r="A51" t="s">
        <v>114</v>
      </c>
      <c r="B51" t="s">
        <v>1232</v>
      </c>
      <c r="C51" t="s">
        <v>2159</v>
      </c>
      <c r="D51" s="1">
        <v>45453</v>
      </c>
      <c r="E51" s="1">
        <v>45486</v>
      </c>
      <c r="F51" s="1">
        <v>45575</v>
      </c>
      <c r="G51" t="s">
        <v>2165</v>
      </c>
      <c r="H51" t="s">
        <v>2171</v>
      </c>
      <c r="I51" t="s">
        <v>2174</v>
      </c>
      <c r="J51">
        <v>18517</v>
      </c>
      <c r="K51">
        <v>556</v>
      </c>
      <c r="L51">
        <v>5</v>
      </c>
      <c r="M51">
        <v>7.6</v>
      </c>
      <c r="N51">
        <v>3</v>
      </c>
      <c r="O51">
        <v>3083</v>
      </c>
      <c r="P51" t="s">
        <v>2176</v>
      </c>
      <c r="Q51">
        <v>10</v>
      </c>
      <c r="R51">
        <v>14</v>
      </c>
      <c r="S51">
        <v>29</v>
      </c>
      <c r="T51">
        <v>642</v>
      </c>
      <c r="U51" t="s">
        <v>2165</v>
      </c>
      <c r="V51" t="s">
        <v>2171</v>
      </c>
      <c r="W51" t="s">
        <v>2208</v>
      </c>
      <c r="X51" t="s">
        <v>2210</v>
      </c>
      <c r="Y51" t="s">
        <v>2212</v>
      </c>
      <c r="Z51" s="1">
        <v>45559</v>
      </c>
      <c r="AA51" s="1">
        <v>45564</v>
      </c>
      <c r="AB51" t="s">
        <v>2214</v>
      </c>
      <c r="AC51" t="s">
        <v>2209</v>
      </c>
      <c r="AD51" t="s">
        <v>2216</v>
      </c>
      <c r="AE51" t="s">
        <v>2165</v>
      </c>
      <c r="AG51" t="s">
        <v>2220</v>
      </c>
      <c r="AH51">
        <v>53</v>
      </c>
      <c r="AI51">
        <v>73</v>
      </c>
      <c r="AJ51">
        <v>20</v>
      </c>
      <c r="AK51">
        <v>7</v>
      </c>
      <c r="AL51" t="s">
        <v>2226</v>
      </c>
      <c r="AM51">
        <v>0</v>
      </c>
      <c r="AN51" t="s">
        <v>2176</v>
      </c>
      <c r="AO51" t="s">
        <v>2176</v>
      </c>
      <c r="AP51" t="s">
        <v>2176</v>
      </c>
      <c r="AQ51">
        <v>38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4.5999999999999996</v>
      </c>
      <c r="AY51">
        <v>4.5999999999999996</v>
      </c>
      <c r="AZ51">
        <v>3</v>
      </c>
      <c r="BA51">
        <v>2</v>
      </c>
      <c r="BB51">
        <v>38</v>
      </c>
      <c r="BC51">
        <v>27</v>
      </c>
      <c r="BD51">
        <v>34</v>
      </c>
      <c r="BE51">
        <v>174</v>
      </c>
      <c r="BF51">
        <v>89.5</v>
      </c>
      <c r="BG51">
        <v>38</v>
      </c>
      <c r="BH51">
        <v>27</v>
      </c>
      <c r="BI51">
        <v>34</v>
      </c>
      <c r="BJ51">
        <v>174</v>
      </c>
      <c r="BK51">
        <v>89.5</v>
      </c>
      <c r="BL51">
        <v>174</v>
      </c>
      <c r="BM51">
        <v>3.9405999999999999</v>
      </c>
    </row>
    <row r="52" spans="1:65" x14ac:dyDescent="0.25">
      <c r="A52" t="s">
        <v>115</v>
      </c>
      <c r="B52" t="s">
        <v>1233</v>
      </c>
      <c r="C52" t="s">
        <v>2158</v>
      </c>
      <c r="D52" s="1">
        <v>45439</v>
      </c>
      <c r="E52" s="1">
        <v>45484</v>
      </c>
      <c r="F52" s="1">
        <v>45538</v>
      </c>
      <c r="G52" t="s">
        <v>2162</v>
      </c>
      <c r="H52" t="s">
        <v>2168</v>
      </c>
      <c r="I52" t="s">
        <v>2174</v>
      </c>
      <c r="J52">
        <v>5375</v>
      </c>
      <c r="K52">
        <v>162</v>
      </c>
      <c r="L52">
        <v>4.0999999999999996</v>
      </c>
      <c r="M52">
        <v>3.2</v>
      </c>
      <c r="N52">
        <v>2</v>
      </c>
      <c r="O52">
        <v>2899</v>
      </c>
      <c r="P52" t="s">
        <v>2176</v>
      </c>
      <c r="Q52">
        <v>7</v>
      </c>
      <c r="R52">
        <v>10</v>
      </c>
      <c r="S52">
        <v>9</v>
      </c>
      <c r="T52">
        <v>669</v>
      </c>
      <c r="U52" t="s">
        <v>2162</v>
      </c>
      <c r="V52" t="s">
        <v>2168</v>
      </c>
      <c r="W52" t="s">
        <v>2208</v>
      </c>
      <c r="X52" t="s">
        <v>2210</v>
      </c>
      <c r="Y52" t="s">
        <v>2212</v>
      </c>
      <c r="Z52" s="1">
        <v>45525</v>
      </c>
      <c r="AA52" s="1">
        <v>45529</v>
      </c>
      <c r="AB52" t="s">
        <v>2214</v>
      </c>
      <c r="AC52" t="s">
        <v>2209</v>
      </c>
      <c r="AD52" t="s">
        <v>2216</v>
      </c>
      <c r="AE52" t="s">
        <v>2162</v>
      </c>
      <c r="AG52" t="s">
        <v>2220</v>
      </c>
      <c r="AH52">
        <v>26</v>
      </c>
      <c r="AI52">
        <v>41</v>
      </c>
      <c r="AJ52">
        <v>15</v>
      </c>
      <c r="AK52">
        <v>7</v>
      </c>
      <c r="AL52" t="s">
        <v>2226</v>
      </c>
      <c r="AM52">
        <v>0</v>
      </c>
      <c r="AN52" t="s">
        <v>2176</v>
      </c>
      <c r="AO52" t="s">
        <v>2176</v>
      </c>
      <c r="AP52" t="s">
        <v>2176</v>
      </c>
      <c r="AQ52">
        <v>13.12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4.2</v>
      </c>
      <c r="AY52">
        <v>4.2</v>
      </c>
      <c r="AZ52">
        <v>2</v>
      </c>
      <c r="BA52">
        <v>2</v>
      </c>
      <c r="BB52">
        <v>30</v>
      </c>
      <c r="BC52">
        <v>27</v>
      </c>
      <c r="BD52">
        <v>26.15</v>
      </c>
      <c r="BE52">
        <v>133</v>
      </c>
      <c r="BF52">
        <v>87.2</v>
      </c>
      <c r="BG52">
        <v>30</v>
      </c>
      <c r="BH52">
        <v>27</v>
      </c>
      <c r="BI52">
        <v>26.15</v>
      </c>
      <c r="BJ52">
        <v>133</v>
      </c>
      <c r="BK52">
        <v>87.2</v>
      </c>
      <c r="BL52">
        <v>133</v>
      </c>
      <c r="BM52">
        <v>1.4964</v>
      </c>
    </row>
    <row r="53" spans="1:65" x14ac:dyDescent="0.25">
      <c r="A53" t="s">
        <v>116</v>
      </c>
      <c r="B53" t="s">
        <v>1234</v>
      </c>
      <c r="C53" t="s">
        <v>2160</v>
      </c>
      <c r="D53" s="1">
        <v>45376</v>
      </c>
      <c r="E53" s="1">
        <v>45419</v>
      </c>
      <c r="F53" s="1">
        <v>45473</v>
      </c>
      <c r="G53" t="s">
        <v>2165</v>
      </c>
      <c r="H53" t="s">
        <v>2171</v>
      </c>
      <c r="I53" t="s">
        <v>2175</v>
      </c>
      <c r="J53">
        <v>14916</v>
      </c>
      <c r="K53">
        <v>448</v>
      </c>
      <c r="L53">
        <v>12.3</v>
      </c>
      <c r="M53">
        <v>15.5</v>
      </c>
      <c r="N53">
        <v>8</v>
      </c>
      <c r="O53">
        <v>17607</v>
      </c>
      <c r="P53" t="s">
        <v>2178</v>
      </c>
      <c r="Q53">
        <v>10</v>
      </c>
      <c r="R53">
        <v>14</v>
      </c>
      <c r="S53">
        <v>18</v>
      </c>
      <c r="T53">
        <v>859</v>
      </c>
      <c r="U53" t="s">
        <v>2165</v>
      </c>
      <c r="V53" t="s">
        <v>2171</v>
      </c>
      <c r="W53" t="s">
        <v>2208</v>
      </c>
      <c r="X53" t="s">
        <v>2210</v>
      </c>
      <c r="Y53" t="s">
        <v>2212</v>
      </c>
      <c r="Z53" s="1">
        <v>45478</v>
      </c>
      <c r="AA53" s="1">
        <v>45480</v>
      </c>
      <c r="AB53" t="s">
        <v>2215</v>
      </c>
      <c r="AC53" t="s">
        <v>2208</v>
      </c>
      <c r="AD53" t="s">
        <v>2217</v>
      </c>
      <c r="AE53" t="s">
        <v>2165</v>
      </c>
      <c r="AG53" t="s">
        <v>2220</v>
      </c>
      <c r="AH53">
        <v>42</v>
      </c>
      <c r="AI53">
        <v>59</v>
      </c>
      <c r="AJ53">
        <v>17</v>
      </c>
      <c r="AK53">
        <v>5</v>
      </c>
      <c r="AL53" t="s">
        <v>2224</v>
      </c>
      <c r="AM53">
        <v>0</v>
      </c>
      <c r="AN53" t="s">
        <v>2175</v>
      </c>
      <c r="AO53" t="s">
        <v>2175</v>
      </c>
      <c r="AP53" t="s">
        <v>2175</v>
      </c>
      <c r="AQ53">
        <v>190.65</v>
      </c>
      <c r="AR53">
        <v>3</v>
      </c>
      <c r="AS53">
        <v>3</v>
      </c>
      <c r="AT53">
        <v>3</v>
      </c>
      <c r="AU53">
        <v>3</v>
      </c>
      <c r="AV53">
        <v>3</v>
      </c>
      <c r="AW53">
        <v>4.5999999999999996</v>
      </c>
      <c r="AY53">
        <v>4.5999999999999996</v>
      </c>
      <c r="AZ53">
        <v>0</v>
      </c>
      <c r="BA53">
        <v>0</v>
      </c>
      <c r="BB53">
        <v>36</v>
      </c>
      <c r="BC53">
        <v>27</v>
      </c>
      <c r="BD53">
        <v>31.37</v>
      </c>
      <c r="BE53">
        <v>158</v>
      </c>
      <c r="BF53">
        <v>87.1</v>
      </c>
      <c r="BG53">
        <v>36</v>
      </c>
      <c r="BH53">
        <v>27</v>
      </c>
      <c r="BI53">
        <v>31.37</v>
      </c>
      <c r="BJ53">
        <v>158</v>
      </c>
      <c r="BK53">
        <v>87.1</v>
      </c>
      <c r="BL53">
        <v>158</v>
      </c>
      <c r="BM53">
        <v>3.4956999999999998</v>
      </c>
    </row>
    <row r="54" spans="1:65" x14ac:dyDescent="0.25">
      <c r="A54" t="s">
        <v>117</v>
      </c>
      <c r="B54" t="s">
        <v>1206</v>
      </c>
      <c r="C54" t="s">
        <v>2158</v>
      </c>
      <c r="D54" s="1">
        <v>45341</v>
      </c>
      <c r="E54" s="1">
        <v>45378</v>
      </c>
      <c r="F54" s="1">
        <v>45442</v>
      </c>
      <c r="G54" t="s">
        <v>2162</v>
      </c>
      <c r="H54" t="s">
        <v>2168</v>
      </c>
      <c r="I54" t="s">
        <v>2174</v>
      </c>
      <c r="J54">
        <v>8960</v>
      </c>
      <c r="K54">
        <v>269</v>
      </c>
      <c r="L54">
        <v>4.3</v>
      </c>
      <c r="M54">
        <v>7.2</v>
      </c>
      <c r="N54">
        <v>2</v>
      </c>
      <c r="O54">
        <v>2821</v>
      </c>
      <c r="P54" t="s">
        <v>2176</v>
      </c>
      <c r="Q54">
        <v>7</v>
      </c>
      <c r="R54">
        <v>10</v>
      </c>
      <c r="S54">
        <v>16</v>
      </c>
      <c r="T54">
        <v>580</v>
      </c>
      <c r="U54" t="s">
        <v>2162</v>
      </c>
      <c r="V54" t="s">
        <v>2168</v>
      </c>
      <c r="W54" t="s">
        <v>2208</v>
      </c>
      <c r="X54" t="s">
        <v>2210</v>
      </c>
      <c r="Y54" t="s">
        <v>2212</v>
      </c>
      <c r="Z54" s="1">
        <v>45427</v>
      </c>
      <c r="AA54" s="1">
        <v>45430</v>
      </c>
      <c r="AB54" t="s">
        <v>2214</v>
      </c>
      <c r="AC54" t="s">
        <v>2209</v>
      </c>
      <c r="AD54" t="s">
        <v>2216</v>
      </c>
      <c r="AE54" t="s">
        <v>2162</v>
      </c>
      <c r="AG54" t="s">
        <v>2220</v>
      </c>
      <c r="AH54">
        <v>33</v>
      </c>
      <c r="AI54">
        <v>49</v>
      </c>
      <c r="AJ54">
        <v>16</v>
      </c>
      <c r="AK54">
        <v>3</v>
      </c>
      <c r="AL54" t="s">
        <v>2227</v>
      </c>
      <c r="AM54">
        <v>0</v>
      </c>
      <c r="AN54" t="s">
        <v>2176</v>
      </c>
      <c r="AO54" t="s">
        <v>2176</v>
      </c>
      <c r="AP54" t="s">
        <v>2176</v>
      </c>
      <c r="AQ54">
        <v>30.96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4.2</v>
      </c>
      <c r="AY54">
        <v>4.2</v>
      </c>
      <c r="AZ54">
        <v>2</v>
      </c>
      <c r="BA54">
        <v>2</v>
      </c>
      <c r="BB54">
        <v>31</v>
      </c>
      <c r="BC54">
        <v>26</v>
      </c>
      <c r="BD54">
        <v>27.27</v>
      </c>
      <c r="BE54">
        <v>130</v>
      </c>
      <c r="BF54">
        <v>88</v>
      </c>
      <c r="BG54">
        <v>31</v>
      </c>
      <c r="BH54">
        <v>26</v>
      </c>
      <c r="BI54">
        <v>27.27</v>
      </c>
      <c r="BJ54">
        <v>130</v>
      </c>
      <c r="BK54">
        <v>88</v>
      </c>
      <c r="BL54">
        <v>130</v>
      </c>
      <c r="BM54">
        <v>2.6501000000000001</v>
      </c>
    </row>
    <row r="55" spans="1:65" x14ac:dyDescent="0.25">
      <c r="A55" t="s">
        <v>118</v>
      </c>
      <c r="B55" t="s">
        <v>1235</v>
      </c>
      <c r="C55" t="s">
        <v>2159</v>
      </c>
      <c r="D55" s="1">
        <v>45327</v>
      </c>
      <c r="E55" s="1">
        <v>45369</v>
      </c>
      <c r="F55" s="1">
        <v>45433</v>
      </c>
      <c r="G55" t="s">
        <v>2164</v>
      </c>
      <c r="H55" t="s">
        <v>2170</v>
      </c>
      <c r="I55" t="s">
        <v>2175</v>
      </c>
      <c r="J55">
        <v>17181</v>
      </c>
      <c r="K55">
        <v>516</v>
      </c>
      <c r="L55">
        <v>19.600000000000001</v>
      </c>
      <c r="M55">
        <v>17.8</v>
      </c>
      <c r="N55">
        <v>8</v>
      </c>
      <c r="O55">
        <v>19337</v>
      </c>
      <c r="P55" t="s">
        <v>2178</v>
      </c>
      <c r="Q55">
        <v>10</v>
      </c>
      <c r="R55">
        <v>14</v>
      </c>
      <c r="S55">
        <v>20</v>
      </c>
      <c r="T55">
        <v>889</v>
      </c>
      <c r="U55" t="s">
        <v>2164</v>
      </c>
      <c r="V55" t="s">
        <v>2170</v>
      </c>
      <c r="W55" t="s">
        <v>2208</v>
      </c>
      <c r="X55" t="s">
        <v>2210</v>
      </c>
      <c r="Y55" t="s">
        <v>2212</v>
      </c>
      <c r="Z55" s="1">
        <v>45431</v>
      </c>
      <c r="AA55" s="1">
        <v>45437</v>
      </c>
      <c r="AB55" t="s">
        <v>2214</v>
      </c>
      <c r="AC55" t="s">
        <v>2209</v>
      </c>
      <c r="AD55" t="s">
        <v>2216</v>
      </c>
      <c r="AE55" t="s">
        <v>2164</v>
      </c>
      <c r="AG55" t="s">
        <v>2220</v>
      </c>
      <c r="AH55">
        <v>44</v>
      </c>
      <c r="AI55">
        <v>62</v>
      </c>
      <c r="AJ55">
        <v>18</v>
      </c>
      <c r="AK55">
        <v>3</v>
      </c>
      <c r="AL55" t="s">
        <v>2227</v>
      </c>
      <c r="AM55">
        <v>0</v>
      </c>
      <c r="AN55" t="s">
        <v>2175</v>
      </c>
      <c r="AO55" t="s">
        <v>2175</v>
      </c>
      <c r="AP55" t="s">
        <v>2175</v>
      </c>
      <c r="AQ55">
        <v>348.88000000000011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4.5</v>
      </c>
      <c r="AY55">
        <v>4.5</v>
      </c>
      <c r="AZ55">
        <v>3</v>
      </c>
      <c r="BA55">
        <v>0</v>
      </c>
      <c r="BB55">
        <v>30</v>
      </c>
      <c r="BC55">
        <v>26</v>
      </c>
      <c r="BD55">
        <v>26.31</v>
      </c>
      <c r="BE55">
        <v>128</v>
      </c>
      <c r="BF55">
        <v>87.7</v>
      </c>
      <c r="BG55">
        <v>30</v>
      </c>
      <c r="BH55">
        <v>26</v>
      </c>
      <c r="BI55">
        <v>26.31</v>
      </c>
      <c r="BJ55">
        <v>128</v>
      </c>
      <c r="BK55">
        <v>87.7</v>
      </c>
      <c r="BL55">
        <v>128</v>
      </c>
      <c r="BM55">
        <v>5.1609999999999996</v>
      </c>
    </row>
    <row r="56" spans="1:65" x14ac:dyDescent="0.25">
      <c r="A56" t="s">
        <v>119</v>
      </c>
      <c r="B56" t="s">
        <v>1236</v>
      </c>
      <c r="C56" t="s">
        <v>2158</v>
      </c>
      <c r="D56" s="1">
        <v>45355</v>
      </c>
      <c r="E56" s="1">
        <v>45390</v>
      </c>
      <c r="F56" s="1">
        <v>45431</v>
      </c>
      <c r="G56" t="s">
        <v>2162</v>
      </c>
      <c r="H56" t="s">
        <v>2168</v>
      </c>
      <c r="I56" t="s">
        <v>2175</v>
      </c>
      <c r="J56">
        <v>6977</v>
      </c>
      <c r="K56">
        <v>210</v>
      </c>
      <c r="L56">
        <v>17.399999999999999</v>
      </c>
      <c r="M56">
        <v>12.8</v>
      </c>
      <c r="N56">
        <v>9</v>
      </c>
      <c r="O56">
        <v>17913</v>
      </c>
      <c r="P56" t="s">
        <v>2178</v>
      </c>
      <c r="Q56">
        <v>7</v>
      </c>
      <c r="R56">
        <v>10</v>
      </c>
      <c r="S56">
        <v>9</v>
      </c>
      <c r="T56">
        <v>824</v>
      </c>
      <c r="U56" t="s">
        <v>2162</v>
      </c>
      <c r="V56" t="s">
        <v>2168</v>
      </c>
      <c r="W56" t="s">
        <v>2208</v>
      </c>
      <c r="X56" t="s">
        <v>2210</v>
      </c>
      <c r="Y56" t="s">
        <v>2212</v>
      </c>
      <c r="Z56" s="1">
        <v>45431</v>
      </c>
      <c r="AA56" s="1">
        <v>45431</v>
      </c>
      <c r="AB56" t="s">
        <v>2214</v>
      </c>
      <c r="AC56" t="s">
        <v>2209</v>
      </c>
      <c r="AD56" t="s">
        <v>2216</v>
      </c>
      <c r="AE56" t="s">
        <v>2162</v>
      </c>
      <c r="AG56" t="s">
        <v>2220</v>
      </c>
      <c r="AH56">
        <v>26</v>
      </c>
      <c r="AI56">
        <v>41</v>
      </c>
      <c r="AJ56">
        <v>15</v>
      </c>
      <c r="AK56">
        <v>4</v>
      </c>
      <c r="AL56" t="s">
        <v>2225</v>
      </c>
      <c r="AM56">
        <v>0</v>
      </c>
      <c r="AN56" t="s">
        <v>2175</v>
      </c>
      <c r="AO56" t="s">
        <v>2175</v>
      </c>
      <c r="AP56" t="s">
        <v>2175</v>
      </c>
      <c r="AQ56">
        <v>222.72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4.2</v>
      </c>
      <c r="AY56">
        <v>4.2</v>
      </c>
      <c r="AZ56">
        <v>2</v>
      </c>
      <c r="BA56">
        <v>0</v>
      </c>
      <c r="BB56">
        <v>25</v>
      </c>
      <c r="BC56">
        <v>26</v>
      </c>
      <c r="BD56">
        <v>21.81</v>
      </c>
      <c r="BE56">
        <v>104</v>
      </c>
      <c r="BF56">
        <v>87.2</v>
      </c>
      <c r="BG56">
        <v>25</v>
      </c>
      <c r="BH56">
        <v>26</v>
      </c>
      <c r="BI56">
        <v>21.81</v>
      </c>
      <c r="BJ56">
        <v>104</v>
      </c>
      <c r="BK56">
        <v>87.2</v>
      </c>
      <c r="BL56">
        <v>104</v>
      </c>
      <c r="BM56">
        <v>2.5792999999999999</v>
      </c>
    </row>
    <row r="57" spans="1:65" x14ac:dyDescent="0.25">
      <c r="A57" t="s">
        <v>120</v>
      </c>
      <c r="B57" t="s">
        <v>1221</v>
      </c>
      <c r="C57" t="s">
        <v>2158</v>
      </c>
      <c r="D57" s="1">
        <v>45348</v>
      </c>
      <c r="E57" s="1">
        <v>45382</v>
      </c>
      <c r="F57" s="1">
        <v>45467</v>
      </c>
      <c r="G57" t="s">
        <v>2161</v>
      </c>
      <c r="H57" t="s">
        <v>2167</v>
      </c>
      <c r="I57" t="s">
        <v>2174</v>
      </c>
      <c r="J57">
        <v>13757</v>
      </c>
      <c r="K57">
        <v>413</v>
      </c>
      <c r="L57">
        <v>3.7</v>
      </c>
      <c r="M57">
        <v>7.7</v>
      </c>
      <c r="N57">
        <v>1</v>
      </c>
      <c r="O57">
        <v>5102</v>
      </c>
      <c r="P57" t="s">
        <v>2176</v>
      </c>
      <c r="Q57">
        <v>10</v>
      </c>
      <c r="R57">
        <v>14</v>
      </c>
      <c r="S57">
        <v>26</v>
      </c>
      <c r="T57">
        <v>537</v>
      </c>
      <c r="U57" t="s">
        <v>2161</v>
      </c>
      <c r="V57" t="s">
        <v>2167</v>
      </c>
      <c r="W57" t="s">
        <v>2208</v>
      </c>
      <c r="X57" t="s">
        <v>2210</v>
      </c>
      <c r="Y57" t="s">
        <v>2212</v>
      </c>
      <c r="Z57" s="1">
        <v>45451</v>
      </c>
      <c r="AA57" s="1">
        <v>45451</v>
      </c>
      <c r="AB57" t="s">
        <v>2214</v>
      </c>
      <c r="AC57" t="s">
        <v>2209</v>
      </c>
      <c r="AD57" t="s">
        <v>2216</v>
      </c>
      <c r="AE57" t="s">
        <v>2161</v>
      </c>
      <c r="AG57" t="s">
        <v>2220</v>
      </c>
      <c r="AH57">
        <v>50</v>
      </c>
      <c r="AI57">
        <v>69</v>
      </c>
      <c r="AJ57">
        <v>19</v>
      </c>
      <c r="AK57">
        <v>3</v>
      </c>
      <c r="AL57" t="s">
        <v>2227</v>
      </c>
      <c r="AM57">
        <v>0</v>
      </c>
      <c r="AN57" t="s">
        <v>2176</v>
      </c>
      <c r="AO57" t="s">
        <v>2176</v>
      </c>
      <c r="AP57" t="s">
        <v>2176</v>
      </c>
      <c r="AQ57">
        <v>28.49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4.3</v>
      </c>
      <c r="AY57">
        <v>4.3</v>
      </c>
      <c r="AZ57">
        <v>2</v>
      </c>
      <c r="BA57">
        <v>2</v>
      </c>
      <c r="BB57">
        <v>38</v>
      </c>
      <c r="BC57">
        <v>26</v>
      </c>
      <c r="BD57">
        <v>33.729999999999997</v>
      </c>
      <c r="BE57">
        <v>164</v>
      </c>
      <c r="BF57">
        <v>88.8</v>
      </c>
      <c r="BG57">
        <v>38</v>
      </c>
      <c r="BH57">
        <v>26</v>
      </c>
      <c r="BI57">
        <v>33.729999999999997</v>
      </c>
      <c r="BJ57">
        <v>164</v>
      </c>
      <c r="BK57">
        <v>88.8</v>
      </c>
      <c r="BL57">
        <v>164</v>
      </c>
      <c r="BM57">
        <v>3.2256</v>
      </c>
    </row>
    <row r="58" spans="1:65" x14ac:dyDescent="0.25">
      <c r="A58" t="s">
        <v>121</v>
      </c>
      <c r="B58" t="s">
        <v>1237</v>
      </c>
      <c r="C58" t="s">
        <v>2158</v>
      </c>
      <c r="D58" s="1">
        <v>45348</v>
      </c>
      <c r="E58" s="1">
        <v>45389</v>
      </c>
      <c r="F58" s="1">
        <v>45451</v>
      </c>
      <c r="G58" t="s">
        <v>2162</v>
      </c>
      <c r="H58" t="s">
        <v>2168</v>
      </c>
      <c r="I58" t="s">
        <v>2173</v>
      </c>
      <c r="J58">
        <v>14085</v>
      </c>
      <c r="K58">
        <v>423</v>
      </c>
      <c r="L58">
        <v>13.5</v>
      </c>
      <c r="M58">
        <v>10.8</v>
      </c>
      <c r="N58">
        <v>4</v>
      </c>
      <c r="O58">
        <v>11897</v>
      </c>
      <c r="P58" t="s">
        <v>2177</v>
      </c>
      <c r="Q58">
        <v>10</v>
      </c>
      <c r="R58">
        <v>14</v>
      </c>
      <c r="S58">
        <v>18</v>
      </c>
      <c r="T58">
        <v>801</v>
      </c>
      <c r="U58" t="s">
        <v>2162</v>
      </c>
      <c r="V58" t="s">
        <v>2168</v>
      </c>
      <c r="W58" t="s">
        <v>2208</v>
      </c>
      <c r="X58" t="s">
        <v>2210</v>
      </c>
      <c r="Y58" t="s">
        <v>2212</v>
      </c>
      <c r="Z58" s="1">
        <v>45448</v>
      </c>
      <c r="AA58" s="1">
        <v>45451</v>
      </c>
      <c r="AB58" t="s">
        <v>2214</v>
      </c>
      <c r="AC58" t="s">
        <v>2209</v>
      </c>
      <c r="AD58" t="s">
        <v>2216</v>
      </c>
      <c r="AE58" t="s">
        <v>2162</v>
      </c>
      <c r="AG58" t="s">
        <v>2220</v>
      </c>
      <c r="AH58">
        <v>42</v>
      </c>
      <c r="AI58">
        <v>59</v>
      </c>
      <c r="AJ58">
        <v>17</v>
      </c>
      <c r="AK58">
        <v>4</v>
      </c>
      <c r="AL58" t="s">
        <v>2225</v>
      </c>
      <c r="AM58">
        <v>0</v>
      </c>
      <c r="AN58" t="s">
        <v>2175</v>
      </c>
      <c r="AO58" t="s">
        <v>2177</v>
      </c>
      <c r="AP58" t="s">
        <v>2177</v>
      </c>
      <c r="AQ58">
        <v>145.80000000000001</v>
      </c>
      <c r="AR58">
        <v>2</v>
      </c>
      <c r="AS58">
        <v>3</v>
      </c>
      <c r="AT58">
        <v>2</v>
      </c>
      <c r="AU58">
        <v>2</v>
      </c>
      <c r="AV58">
        <v>2.333333333333333</v>
      </c>
      <c r="AW58">
        <v>4.2</v>
      </c>
      <c r="AY58">
        <v>4.2</v>
      </c>
      <c r="AZ58">
        <v>2</v>
      </c>
      <c r="BA58">
        <v>3</v>
      </c>
      <c r="BB58">
        <v>25</v>
      </c>
      <c r="BC58">
        <v>26</v>
      </c>
      <c r="BD58">
        <v>21.81</v>
      </c>
      <c r="BE58">
        <v>104</v>
      </c>
      <c r="BF58">
        <v>87.2</v>
      </c>
      <c r="BG58">
        <v>25</v>
      </c>
      <c r="BH58">
        <v>26</v>
      </c>
      <c r="BI58">
        <v>21.81</v>
      </c>
      <c r="BJ58">
        <v>104</v>
      </c>
      <c r="BK58">
        <v>87.2</v>
      </c>
      <c r="BL58">
        <v>104</v>
      </c>
      <c r="BM58">
        <v>5.2069999999999999</v>
      </c>
    </row>
    <row r="59" spans="1:65" x14ac:dyDescent="0.25">
      <c r="A59" t="s">
        <v>122</v>
      </c>
      <c r="B59" t="s">
        <v>1238</v>
      </c>
      <c r="C59" t="s">
        <v>2158</v>
      </c>
      <c r="D59" s="1">
        <v>45341</v>
      </c>
      <c r="E59" s="1">
        <v>45379</v>
      </c>
      <c r="F59" s="1">
        <v>45426</v>
      </c>
      <c r="G59" t="s">
        <v>2161</v>
      </c>
      <c r="H59" t="s">
        <v>2167</v>
      </c>
      <c r="I59" t="s">
        <v>2173</v>
      </c>
      <c r="J59">
        <v>9885</v>
      </c>
      <c r="K59">
        <v>297</v>
      </c>
      <c r="L59">
        <v>13.8</v>
      </c>
      <c r="M59">
        <v>6.8</v>
      </c>
      <c r="N59">
        <v>6</v>
      </c>
      <c r="O59">
        <v>8733</v>
      </c>
      <c r="P59" t="s">
        <v>2177</v>
      </c>
      <c r="Q59">
        <v>7</v>
      </c>
      <c r="R59">
        <v>10</v>
      </c>
      <c r="S59">
        <v>14</v>
      </c>
      <c r="T59">
        <v>721</v>
      </c>
      <c r="U59" t="s">
        <v>2161</v>
      </c>
      <c r="V59" t="s">
        <v>2167</v>
      </c>
      <c r="W59" t="s">
        <v>2208</v>
      </c>
      <c r="X59" t="s">
        <v>2210</v>
      </c>
      <c r="Y59" t="s">
        <v>2212</v>
      </c>
      <c r="Z59" s="1">
        <v>45426</v>
      </c>
      <c r="AA59" s="1">
        <v>45430</v>
      </c>
      <c r="AB59" t="s">
        <v>2214</v>
      </c>
      <c r="AC59" t="s">
        <v>2209</v>
      </c>
      <c r="AD59" t="s">
        <v>2216</v>
      </c>
      <c r="AE59" t="s">
        <v>2161</v>
      </c>
      <c r="AG59" t="s">
        <v>2220</v>
      </c>
      <c r="AH59">
        <v>31</v>
      </c>
      <c r="AI59">
        <v>47</v>
      </c>
      <c r="AJ59">
        <v>16</v>
      </c>
      <c r="AK59">
        <v>3</v>
      </c>
      <c r="AL59" t="s">
        <v>2227</v>
      </c>
      <c r="AM59">
        <v>0</v>
      </c>
      <c r="AN59" t="s">
        <v>2177</v>
      </c>
      <c r="AO59" t="s">
        <v>2177</v>
      </c>
      <c r="AP59" t="s">
        <v>2177</v>
      </c>
      <c r="AQ59">
        <v>93.84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4.3</v>
      </c>
      <c r="AY59">
        <v>4.3</v>
      </c>
      <c r="AZ59">
        <v>2</v>
      </c>
      <c r="BA59">
        <v>3</v>
      </c>
      <c r="BB59">
        <v>38</v>
      </c>
      <c r="BC59">
        <v>26</v>
      </c>
      <c r="BD59">
        <v>33.729999999999997</v>
      </c>
      <c r="BE59">
        <v>164</v>
      </c>
      <c r="BF59">
        <v>88.8</v>
      </c>
      <c r="BG59">
        <v>38</v>
      </c>
      <c r="BH59">
        <v>26</v>
      </c>
      <c r="BI59">
        <v>33.729999999999997</v>
      </c>
      <c r="BJ59">
        <v>164</v>
      </c>
      <c r="BK59">
        <v>88.8</v>
      </c>
      <c r="BL59">
        <v>164</v>
      </c>
      <c r="BM59">
        <v>2.3176999999999999</v>
      </c>
    </row>
    <row r="60" spans="1:65" x14ac:dyDescent="0.25">
      <c r="A60" t="s">
        <v>123</v>
      </c>
      <c r="B60" t="s">
        <v>1239</v>
      </c>
      <c r="C60" t="s">
        <v>2159</v>
      </c>
      <c r="D60" s="1">
        <v>45355</v>
      </c>
      <c r="E60" s="1">
        <v>45391</v>
      </c>
      <c r="F60" s="1">
        <v>45476</v>
      </c>
      <c r="G60" t="s">
        <v>2162</v>
      </c>
      <c r="H60" t="s">
        <v>2168</v>
      </c>
      <c r="I60" t="s">
        <v>2174</v>
      </c>
      <c r="J60">
        <v>19707</v>
      </c>
      <c r="K60">
        <v>592</v>
      </c>
      <c r="L60">
        <v>5.8</v>
      </c>
      <c r="M60">
        <v>6.7</v>
      </c>
      <c r="N60">
        <v>2</v>
      </c>
      <c r="O60">
        <v>1455</v>
      </c>
      <c r="P60" t="s">
        <v>2176</v>
      </c>
      <c r="Q60">
        <v>10</v>
      </c>
      <c r="R60">
        <v>14</v>
      </c>
      <c r="S60">
        <v>30</v>
      </c>
      <c r="T60">
        <v>670</v>
      </c>
      <c r="U60" t="s">
        <v>2162</v>
      </c>
      <c r="V60" t="s">
        <v>2168</v>
      </c>
      <c r="W60" t="s">
        <v>2208</v>
      </c>
      <c r="X60" t="s">
        <v>2210</v>
      </c>
      <c r="Y60" t="s">
        <v>2212</v>
      </c>
      <c r="Z60" s="1">
        <v>45464</v>
      </c>
      <c r="AA60" s="1">
        <v>45466</v>
      </c>
      <c r="AB60" t="s">
        <v>2214</v>
      </c>
      <c r="AC60" t="s">
        <v>2209</v>
      </c>
      <c r="AD60" t="s">
        <v>2216</v>
      </c>
      <c r="AE60" t="s">
        <v>2162</v>
      </c>
      <c r="AG60" t="s">
        <v>2220</v>
      </c>
      <c r="AH60">
        <v>54</v>
      </c>
      <c r="AI60">
        <v>73</v>
      </c>
      <c r="AJ60">
        <v>19</v>
      </c>
      <c r="AK60">
        <v>4</v>
      </c>
      <c r="AL60" t="s">
        <v>2225</v>
      </c>
      <c r="AM60">
        <v>0</v>
      </c>
      <c r="AN60" t="s">
        <v>2177</v>
      </c>
      <c r="AO60" t="s">
        <v>2176</v>
      </c>
      <c r="AP60" t="s">
        <v>2176</v>
      </c>
      <c r="AQ60">
        <v>38.86</v>
      </c>
      <c r="AR60">
        <v>1</v>
      </c>
      <c r="AS60">
        <v>2</v>
      </c>
      <c r="AT60">
        <v>1</v>
      </c>
      <c r="AU60">
        <v>1</v>
      </c>
      <c r="AV60">
        <v>1.333333333333333</v>
      </c>
      <c r="AW60">
        <v>4.2</v>
      </c>
      <c r="AY60">
        <v>4.2</v>
      </c>
      <c r="AZ60">
        <v>3</v>
      </c>
      <c r="BA60">
        <v>2</v>
      </c>
      <c r="BB60">
        <v>25</v>
      </c>
      <c r="BC60">
        <v>26</v>
      </c>
      <c r="BD60">
        <v>21.81</v>
      </c>
      <c r="BE60">
        <v>104</v>
      </c>
      <c r="BF60">
        <v>87.2</v>
      </c>
      <c r="BG60">
        <v>25</v>
      </c>
      <c r="BH60">
        <v>26</v>
      </c>
      <c r="BI60">
        <v>21.81</v>
      </c>
      <c r="BJ60">
        <v>104</v>
      </c>
      <c r="BK60">
        <v>87.2</v>
      </c>
      <c r="BL60">
        <v>104</v>
      </c>
      <c r="BM60">
        <v>7.2854000000000001</v>
      </c>
    </row>
    <row r="61" spans="1:65" x14ac:dyDescent="0.25">
      <c r="A61" t="s">
        <v>124</v>
      </c>
      <c r="B61" t="s">
        <v>1240</v>
      </c>
      <c r="C61" t="s">
        <v>2158</v>
      </c>
      <c r="D61" s="1">
        <v>45320</v>
      </c>
      <c r="E61" s="1">
        <v>45364</v>
      </c>
      <c r="F61" s="1">
        <v>45414</v>
      </c>
      <c r="G61" t="s">
        <v>2161</v>
      </c>
      <c r="H61" t="s">
        <v>2167</v>
      </c>
      <c r="I61" t="s">
        <v>2176</v>
      </c>
      <c r="J61">
        <v>6355</v>
      </c>
      <c r="K61">
        <v>191</v>
      </c>
      <c r="L61">
        <v>10.199999999999999</v>
      </c>
      <c r="M61">
        <v>11.4</v>
      </c>
      <c r="N61">
        <v>4</v>
      </c>
      <c r="O61">
        <v>3968</v>
      </c>
      <c r="P61" t="s">
        <v>2176</v>
      </c>
      <c r="Q61">
        <v>7</v>
      </c>
      <c r="R61">
        <v>10</v>
      </c>
      <c r="S61">
        <v>12</v>
      </c>
      <c r="T61">
        <v>573</v>
      </c>
      <c r="U61" t="s">
        <v>2161</v>
      </c>
      <c r="V61" t="s">
        <v>2167</v>
      </c>
      <c r="W61" t="s">
        <v>2208</v>
      </c>
      <c r="X61" t="s">
        <v>2210</v>
      </c>
      <c r="Y61" t="s">
        <v>2212</v>
      </c>
      <c r="Z61" s="1">
        <v>45409</v>
      </c>
      <c r="AA61" s="1">
        <v>45409</v>
      </c>
      <c r="AB61" t="s">
        <v>2214</v>
      </c>
      <c r="AC61" t="s">
        <v>2209</v>
      </c>
      <c r="AD61" t="s">
        <v>2216</v>
      </c>
      <c r="AE61" t="s">
        <v>2161</v>
      </c>
      <c r="AG61" t="s">
        <v>2220</v>
      </c>
      <c r="AH61">
        <v>29</v>
      </c>
      <c r="AI61">
        <v>45</v>
      </c>
      <c r="AJ61">
        <v>16</v>
      </c>
      <c r="AK61">
        <v>3</v>
      </c>
      <c r="AL61" t="s">
        <v>2227</v>
      </c>
      <c r="AM61">
        <v>0</v>
      </c>
      <c r="AN61" t="s">
        <v>2175</v>
      </c>
      <c r="AO61" t="s">
        <v>2177</v>
      </c>
      <c r="AP61" t="s">
        <v>2176</v>
      </c>
      <c r="AQ61">
        <v>116.28</v>
      </c>
      <c r="AR61">
        <v>1</v>
      </c>
      <c r="AS61">
        <v>3</v>
      </c>
      <c r="AT61">
        <v>2</v>
      </c>
      <c r="AU61">
        <v>1</v>
      </c>
      <c r="AV61">
        <v>2</v>
      </c>
      <c r="AW61">
        <v>4.3</v>
      </c>
      <c r="AY61">
        <v>4.3</v>
      </c>
      <c r="AZ61">
        <v>2</v>
      </c>
      <c r="BA61">
        <v>1</v>
      </c>
      <c r="BB61">
        <v>38</v>
      </c>
      <c r="BC61">
        <v>26</v>
      </c>
      <c r="BD61">
        <v>33.729999999999997</v>
      </c>
      <c r="BE61">
        <v>164</v>
      </c>
      <c r="BF61">
        <v>88.8</v>
      </c>
      <c r="BG61">
        <v>38</v>
      </c>
      <c r="BH61">
        <v>26</v>
      </c>
      <c r="BI61">
        <v>33.729999999999997</v>
      </c>
      <c r="BJ61">
        <v>164</v>
      </c>
      <c r="BK61">
        <v>88.8</v>
      </c>
      <c r="BL61">
        <v>164</v>
      </c>
      <c r="BM61">
        <v>1.49</v>
      </c>
    </row>
    <row r="62" spans="1:65" x14ac:dyDescent="0.25">
      <c r="A62" t="s">
        <v>125</v>
      </c>
      <c r="B62" t="s">
        <v>1241</v>
      </c>
      <c r="C62" t="s">
        <v>2160</v>
      </c>
      <c r="D62" s="1">
        <v>45453</v>
      </c>
      <c r="E62" s="1">
        <v>45484</v>
      </c>
      <c r="F62" s="1">
        <v>45564</v>
      </c>
      <c r="G62" t="s">
        <v>2166</v>
      </c>
      <c r="H62" t="s">
        <v>2172</v>
      </c>
      <c r="I62" t="s">
        <v>2174</v>
      </c>
      <c r="J62">
        <v>10095</v>
      </c>
      <c r="K62">
        <v>303</v>
      </c>
      <c r="L62">
        <v>4</v>
      </c>
      <c r="M62">
        <v>5.5</v>
      </c>
      <c r="N62">
        <v>1</v>
      </c>
      <c r="O62">
        <v>3002</v>
      </c>
      <c r="P62" t="s">
        <v>2176</v>
      </c>
      <c r="Q62">
        <v>10</v>
      </c>
      <c r="R62">
        <v>14</v>
      </c>
      <c r="S62">
        <v>20</v>
      </c>
      <c r="T62">
        <v>517</v>
      </c>
      <c r="U62" t="s">
        <v>2166</v>
      </c>
      <c r="V62" t="s">
        <v>2172</v>
      </c>
      <c r="W62" t="s">
        <v>2208</v>
      </c>
      <c r="X62" t="s">
        <v>2210</v>
      </c>
      <c r="Y62" t="s">
        <v>2212</v>
      </c>
      <c r="Z62" s="1">
        <v>45546</v>
      </c>
      <c r="AA62" s="1">
        <v>45550</v>
      </c>
      <c r="AB62" t="s">
        <v>2214</v>
      </c>
      <c r="AC62" t="s">
        <v>2209</v>
      </c>
      <c r="AD62" t="s">
        <v>2216</v>
      </c>
      <c r="AE62" t="s">
        <v>2166</v>
      </c>
      <c r="AG62" t="s">
        <v>2220</v>
      </c>
      <c r="AH62">
        <v>44</v>
      </c>
      <c r="AI62">
        <v>62</v>
      </c>
      <c r="AJ62">
        <v>18</v>
      </c>
      <c r="AK62">
        <v>7</v>
      </c>
      <c r="AL62" t="s">
        <v>2226</v>
      </c>
      <c r="AM62">
        <v>0</v>
      </c>
      <c r="AN62" t="s">
        <v>2176</v>
      </c>
      <c r="AO62" t="s">
        <v>2176</v>
      </c>
      <c r="AP62" t="s">
        <v>2176</v>
      </c>
      <c r="AQ62">
        <v>22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4.8</v>
      </c>
      <c r="AY62">
        <v>4.8</v>
      </c>
      <c r="AZ62">
        <v>0</v>
      </c>
      <c r="BA62">
        <v>2</v>
      </c>
      <c r="BB62">
        <v>48</v>
      </c>
      <c r="BC62">
        <v>27</v>
      </c>
      <c r="BD62">
        <v>42.33</v>
      </c>
      <c r="BE62">
        <v>216</v>
      </c>
      <c r="BF62">
        <v>88.2</v>
      </c>
      <c r="BG62">
        <v>48</v>
      </c>
      <c r="BH62">
        <v>27</v>
      </c>
      <c r="BI62">
        <v>42.33</v>
      </c>
      <c r="BJ62">
        <v>216</v>
      </c>
      <c r="BK62">
        <v>88.2</v>
      </c>
      <c r="BL62">
        <v>216</v>
      </c>
      <c r="BM62">
        <v>1.7306999999999999</v>
      </c>
    </row>
    <row r="63" spans="1:65" x14ac:dyDescent="0.25">
      <c r="A63" t="s">
        <v>126</v>
      </c>
      <c r="B63" t="s">
        <v>1242</v>
      </c>
      <c r="C63" t="s">
        <v>2159</v>
      </c>
      <c r="D63" s="1">
        <v>45418</v>
      </c>
      <c r="E63" s="1">
        <v>45454</v>
      </c>
      <c r="F63" s="1">
        <v>45539</v>
      </c>
      <c r="G63" t="s">
        <v>2166</v>
      </c>
      <c r="H63" t="s">
        <v>2172</v>
      </c>
      <c r="I63" t="s">
        <v>2174</v>
      </c>
      <c r="J63">
        <v>16401</v>
      </c>
      <c r="K63">
        <v>493</v>
      </c>
      <c r="L63">
        <v>3.8</v>
      </c>
      <c r="M63">
        <v>4.8</v>
      </c>
      <c r="N63">
        <v>4</v>
      </c>
      <c r="O63">
        <v>1200</v>
      </c>
      <c r="P63" t="s">
        <v>2176</v>
      </c>
      <c r="Q63">
        <v>10</v>
      </c>
      <c r="R63">
        <v>14</v>
      </c>
      <c r="S63">
        <v>28</v>
      </c>
      <c r="T63">
        <v>606</v>
      </c>
      <c r="U63" t="s">
        <v>2166</v>
      </c>
      <c r="V63" t="s">
        <v>2172</v>
      </c>
      <c r="W63" t="s">
        <v>2208</v>
      </c>
      <c r="X63" t="s">
        <v>2210</v>
      </c>
      <c r="Y63" t="s">
        <v>2212</v>
      </c>
      <c r="Z63" s="1">
        <v>45525</v>
      </c>
      <c r="AA63" s="1">
        <v>45529</v>
      </c>
      <c r="AB63" t="s">
        <v>2214</v>
      </c>
      <c r="AC63" t="s">
        <v>2209</v>
      </c>
      <c r="AD63" t="s">
        <v>2216</v>
      </c>
      <c r="AE63" t="s">
        <v>2166</v>
      </c>
      <c r="AG63" t="s">
        <v>2220</v>
      </c>
      <c r="AH63">
        <v>52</v>
      </c>
      <c r="AI63">
        <v>71</v>
      </c>
      <c r="AJ63">
        <v>19</v>
      </c>
      <c r="AK63">
        <v>6</v>
      </c>
      <c r="AL63" t="s">
        <v>2223</v>
      </c>
      <c r="AM63">
        <v>0</v>
      </c>
      <c r="AN63" t="s">
        <v>2176</v>
      </c>
      <c r="AO63" t="s">
        <v>2177</v>
      </c>
      <c r="AP63" t="s">
        <v>2176</v>
      </c>
      <c r="AQ63">
        <v>18.239999999999998</v>
      </c>
      <c r="AR63">
        <v>1</v>
      </c>
      <c r="AS63">
        <v>1</v>
      </c>
      <c r="AT63">
        <v>2</v>
      </c>
      <c r="AU63">
        <v>1</v>
      </c>
      <c r="AV63">
        <v>1.333333333333333</v>
      </c>
      <c r="AW63">
        <v>4.8</v>
      </c>
      <c r="AY63">
        <v>4.8</v>
      </c>
      <c r="AZ63">
        <v>3</v>
      </c>
      <c r="BA63">
        <v>2</v>
      </c>
      <c r="BB63">
        <v>45</v>
      </c>
      <c r="BC63">
        <v>25</v>
      </c>
      <c r="BD63">
        <v>39.200000000000003</v>
      </c>
      <c r="BE63">
        <v>186</v>
      </c>
      <c r="BF63">
        <v>87.1</v>
      </c>
      <c r="BG63">
        <v>45</v>
      </c>
      <c r="BH63">
        <v>25</v>
      </c>
      <c r="BI63">
        <v>39.200000000000003</v>
      </c>
      <c r="BJ63">
        <v>186</v>
      </c>
      <c r="BK63">
        <v>87.1</v>
      </c>
      <c r="BL63">
        <v>186</v>
      </c>
      <c r="BM63">
        <v>3.5263</v>
      </c>
    </row>
    <row r="64" spans="1:65" x14ac:dyDescent="0.25">
      <c r="A64" t="s">
        <v>127</v>
      </c>
      <c r="B64" t="s">
        <v>1243</v>
      </c>
      <c r="C64" t="s">
        <v>2160</v>
      </c>
      <c r="D64" s="1">
        <v>45446</v>
      </c>
      <c r="E64" s="1">
        <v>45479</v>
      </c>
      <c r="F64" s="1">
        <v>45523</v>
      </c>
      <c r="G64" t="s">
        <v>2166</v>
      </c>
      <c r="H64" t="s">
        <v>2172</v>
      </c>
      <c r="I64" t="s">
        <v>2174</v>
      </c>
      <c r="J64">
        <v>4967</v>
      </c>
      <c r="K64">
        <v>150</v>
      </c>
      <c r="L64">
        <v>4.9000000000000004</v>
      </c>
      <c r="M64">
        <v>2.8</v>
      </c>
      <c r="N64">
        <v>3</v>
      </c>
      <c r="O64">
        <v>2249</v>
      </c>
      <c r="P64" t="s">
        <v>2176</v>
      </c>
      <c r="Q64">
        <v>5</v>
      </c>
      <c r="R64">
        <v>8</v>
      </c>
      <c r="S64">
        <v>8</v>
      </c>
      <c r="T64">
        <v>678</v>
      </c>
      <c r="U64" t="s">
        <v>2166</v>
      </c>
      <c r="V64" t="s">
        <v>2172</v>
      </c>
      <c r="W64" t="s">
        <v>2208</v>
      </c>
      <c r="X64" t="s">
        <v>2210</v>
      </c>
      <c r="Y64" t="s">
        <v>2212</v>
      </c>
      <c r="Z64" s="1">
        <v>45515</v>
      </c>
      <c r="AA64" s="1">
        <v>45515</v>
      </c>
      <c r="AB64" t="s">
        <v>2214</v>
      </c>
      <c r="AC64" t="s">
        <v>2209</v>
      </c>
      <c r="AD64" t="s">
        <v>2216</v>
      </c>
      <c r="AE64" t="s">
        <v>2166</v>
      </c>
      <c r="AG64" t="s">
        <v>2220</v>
      </c>
      <c r="AH64">
        <v>21</v>
      </c>
      <c r="AI64">
        <v>36</v>
      </c>
      <c r="AJ64">
        <v>15</v>
      </c>
      <c r="AK64">
        <v>7</v>
      </c>
      <c r="AL64" t="s">
        <v>2226</v>
      </c>
      <c r="AM64">
        <v>0</v>
      </c>
      <c r="AN64" t="s">
        <v>2176</v>
      </c>
      <c r="AO64" t="s">
        <v>2176</v>
      </c>
      <c r="AP64" t="s">
        <v>2176</v>
      </c>
      <c r="AQ64">
        <v>13.72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4.8</v>
      </c>
      <c r="AY64">
        <v>4.8</v>
      </c>
      <c r="AZ64">
        <v>0</v>
      </c>
      <c r="BA64">
        <v>2</v>
      </c>
      <c r="BB64">
        <v>48</v>
      </c>
      <c r="BC64">
        <v>27</v>
      </c>
      <c r="BD64">
        <v>42.33</v>
      </c>
      <c r="BE64">
        <v>216</v>
      </c>
      <c r="BF64">
        <v>88.2</v>
      </c>
      <c r="BG64">
        <v>48</v>
      </c>
      <c r="BH64">
        <v>27</v>
      </c>
      <c r="BI64">
        <v>42.33</v>
      </c>
      <c r="BJ64">
        <v>216</v>
      </c>
      <c r="BK64">
        <v>88.2</v>
      </c>
      <c r="BL64">
        <v>216</v>
      </c>
      <c r="BM64">
        <v>0.85150000000000003</v>
      </c>
    </row>
    <row r="65" spans="1:65" x14ac:dyDescent="0.25">
      <c r="A65" t="s">
        <v>128</v>
      </c>
      <c r="B65" t="s">
        <v>1244</v>
      </c>
      <c r="C65" t="s">
        <v>2158</v>
      </c>
      <c r="D65" s="1">
        <v>45320</v>
      </c>
      <c r="E65" s="1">
        <v>45350</v>
      </c>
      <c r="F65" s="1">
        <v>45402</v>
      </c>
      <c r="G65" t="s">
        <v>2163</v>
      </c>
      <c r="H65" t="s">
        <v>2169</v>
      </c>
      <c r="I65" t="s">
        <v>2175</v>
      </c>
      <c r="J65">
        <v>14903</v>
      </c>
      <c r="K65">
        <v>448</v>
      </c>
      <c r="L65">
        <v>13.1</v>
      </c>
      <c r="M65">
        <v>12.2</v>
      </c>
      <c r="N65">
        <v>8</v>
      </c>
      <c r="O65">
        <v>19281</v>
      </c>
      <c r="P65" t="s">
        <v>2178</v>
      </c>
      <c r="Q65">
        <v>10</v>
      </c>
      <c r="R65">
        <v>14</v>
      </c>
      <c r="S65">
        <v>16</v>
      </c>
      <c r="T65">
        <v>993</v>
      </c>
      <c r="U65" t="s">
        <v>2163</v>
      </c>
      <c r="V65" t="s">
        <v>2169</v>
      </c>
      <c r="W65" t="s">
        <v>2208</v>
      </c>
      <c r="X65" t="s">
        <v>2210</v>
      </c>
      <c r="Y65" t="s">
        <v>2212</v>
      </c>
      <c r="Z65" s="1">
        <v>45407</v>
      </c>
      <c r="AA65" s="1">
        <v>45409</v>
      </c>
      <c r="AB65" t="s">
        <v>2215</v>
      </c>
      <c r="AC65" t="s">
        <v>2208</v>
      </c>
      <c r="AD65" t="s">
        <v>2217</v>
      </c>
      <c r="AE65" t="s">
        <v>2163</v>
      </c>
      <c r="AG65" t="s">
        <v>2220</v>
      </c>
      <c r="AH65">
        <v>40</v>
      </c>
      <c r="AI65">
        <v>57</v>
      </c>
      <c r="AJ65">
        <v>17</v>
      </c>
      <c r="AK65">
        <v>2</v>
      </c>
      <c r="AL65" t="s">
        <v>2228</v>
      </c>
      <c r="AM65">
        <v>0</v>
      </c>
      <c r="AN65" t="s">
        <v>2175</v>
      </c>
      <c r="AO65" t="s">
        <v>2175</v>
      </c>
      <c r="AP65" t="s">
        <v>2175</v>
      </c>
      <c r="AQ65">
        <v>159.82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4.4000000000000004</v>
      </c>
      <c r="AY65">
        <v>4.4000000000000004</v>
      </c>
      <c r="AZ65">
        <v>2</v>
      </c>
      <c r="BA65">
        <v>0</v>
      </c>
      <c r="BB65">
        <v>30</v>
      </c>
      <c r="BC65">
        <v>24</v>
      </c>
      <c r="BD65">
        <v>26.21</v>
      </c>
      <c r="BE65">
        <v>116</v>
      </c>
      <c r="BF65">
        <v>87.4</v>
      </c>
      <c r="BG65">
        <v>30</v>
      </c>
      <c r="BH65">
        <v>24</v>
      </c>
      <c r="BI65">
        <v>26.21</v>
      </c>
      <c r="BJ65">
        <v>116</v>
      </c>
      <c r="BK65">
        <v>87.4</v>
      </c>
      <c r="BL65">
        <v>116</v>
      </c>
      <c r="BM65">
        <v>5.3512000000000004</v>
      </c>
    </row>
    <row r="66" spans="1:65" x14ac:dyDescent="0.25">
      <c r="A66" t="s">
        <v>129</v>
      </c>
      <c r="B66" t="s">
        <v>1188</v>
      </c>
      <c r="C66" t="s">
        <v>2158</v>
      </c>
      <c r="D66" s="1">
        <v>45411</v>
      </c>
      <c r="E66" s="1">
        <v>45447</v>
      </c>
      <c r="F66" s="1">
        <v>45511</v>
      </c>
      <c r="G66" t="s">
        <v>2163</v>
      </c>
      <c r="H66" t="s">
        <v>2169</v>
      </c>
      <c r="I66" t="s">
        <v>2173</v>
      </c>
      <c r="J66">
        <v>12533</v>
      </c>
      <c r="K66">
        <v>376</v>
      </c>
      <c r="L66">
        <v>7.4</v>
      </c>
      <c r="M66">
        <v>13.4</v>
      </c>
      <c r="N66">
        <v>3</v>
      </c>
      <c r="O66">
        <v>14327</v>
      </c>
      <c r="P66" t="s">
        <v>2176</v>
      </c>
      <c r="Q66">
        <v>10</v>
      </c>
      <c r="R66">
        <v>14</v>
      </c>
      <c r="S66">
        <v>20</v>
      </c>
      <c r="T66">
        <v>650</v>
      </c>
      <c r="U66" t="s">
        <v>2166</v>
      </c>
      <c r="V66" t="s">
        <v>2172</v>
      </c>
      <c r="W66" t="s">
        <v>2209</v>
      </c>
      <c r="X66" t="s">
        <v>2211</v>
      </c>
      <c r="Y66" t="s">
        <v>2212</v>
      </c>
      <c r="Z66" s="1">
        <v>45509</v>
      </c>
      <c r="AA66" s="1">
        <v>45515</v>
      </c>
      <c r="AB66" t="s">
        <v>2214</v>
      </c>
      <c r="AC66" t="s">
        <v>2209</v>
      </c>
      <c r="AD66" t="s">
        <v>2218</v>
      </c>
      <c r="AE66" t="s">
        <v>2166</v>
      </c>
      <c r="AG66" t="s">
        <v>2221</v>
      </c>
      <c r="AH66">
        <v>44</v>
      </c>
      <c r="AI66">
        <v>62</v>
      </c>
      <c r="AJ66">
        <v>18</v>
      </c>
      <c r="AK66">
        <v>6</v>
      </c>
      <c r="AL66" t="s">
        <v>2223</v>
      </c>
      <c r="AM66">
        <v>0</v>
      </c>
      <c r="AN66" t="s">
        <v>2177</v>
      </c>
      <c r="AO66" t="s">
        <v>2176</v>
      </c>
      <c r="AP66" t="s">
        <v>2177</v>
      </c>
      <c r="AQ66">
        <v>99.160000000000011</v>
      </c>
      <c r="AR66">
        <v>1</v>
      </c>
      <c r="AS66">
        <v>2</v>
      </c>
      <c r="AT66">
        <v>1</v>
      </c>
      <c r="AU66">
        <v>2</v>
      </c>
      <c r="AV66">
        <v>1.666666666666667</v>
      </c>
      <c r="AW66">
        <v>4.8</v>
      </c>
      <c r="AY66">
        <v>4.4000000000000004</v>
      </c>
      <c r="AZ66">
        <v>2</v>
      </c>
      <c r="BA66">
        <v>3</v>
      </c>
      <c r="BB66">
        <v>45</v>
      </c>
      <c r="BC66">
        <v>25</v>
      </c>
      <c r="BD66">
        <v>39.200000000000003</v>
      </c>
      <c r="BE66">
        <v>186</v>
      </c>
      <c r="BF66">
        <v>87.1</v>
      </c>
      <c r="BG66">
        <v>30</v>
      </c>
      <c r="BH66">
        <v>25</v>
      </c>
      <c r="BI66">
        <v>26.48</v>
      </c>
      <c r="BJ66">
        <v>121</v>
      </c>
      <c r="BK66">
        <v>88.3</v>
      </c>
      <c r="BL66">
        <v>186</v>
      </c>
      <c r="BM66">
        <v>2.6947000000000001</v>
      </c>
    </row>
    <row r="67" spans="1:65" x14ac:dyDescent="0.25">
      <c r="A67" t="s">
        <v>130</v>
      </c>
      <c r="B67" t="s">
        <v>1245</v>
      </c>
      <c r="C67" t="s">
        <v>2157</v>
      </c>
      <c r="D67" s="1">
        <v>45376</v>
      </c>
      <c r="E67" s="1">
        <v>45411</v>
      </c>
      <c r="F67" s="1">
        <v>45540</v>
      </c>
      <c r="G67" t="s">
        <v>2164</v>
      </c>
      <c r="H67" t="s">
        <v>2170</v>
      </c>
      <c r="I67" t="s">
        <v>2175</v>
      </c>
      <c r="J67">
        <v>54709</v>
      </c>
      <c r="K67">
        <v>1642</v>
      </c>
      <c r="L67">
        <v>12.4</v>
      </c>
      <c r="M67">
        <v>12.3</v>
      </c>
      <c r="N67">
        <v>6</v>
      </c>
      <c r="O67">
        <v>15023</v>
      </c>
      <c r="P67" t="s">
        <v>2177</v>
      </c>
      <c r="Q67">
        <v>18</v>
      </c>
      <c r="R67">
        <v>30</v>
      </c>
      <c r="S67">
        <v>58</v>
      </c>
      <c r="T67">
        <v>952</v>
      </c>
      <c r="U67" t="s">
        <v>2166</v>
      </c>
      <c r="V67" t="s">
        <v>2172</v>
      </c>
      <c r="W67" t="s">
        <v>2209</v>
      </c>
      <c r="X67" t="s">
        <v>2211</v>
      </c>
      <c r="Y67" t="s">
        <v>2212</v>
      </c>
      <c r="Z67" s="1">
        <v>45545</v>
      </c>
      <c r="AA67" s="1">
        <v>45550</v>
      </c>
      <c r="AB67" t="s">
        <v>2215</v>
      </c>
      <c r="AC67" t="s">
        <v>2208</v>
      </c>
      <c r="AD67" t="s">
        <v>2218</v>
      </c>
      <c r="AE67" t="s">
        <v>2166</v>
      </c>
      <c r="AG67" t="s">
        <v>2221</v>
      </c>
      <c r="AH67">
        <v>106</v>
      </c>
      <c r="AI67">
        <v>134</v>
      </c>
      <c r="AJ67">
        <v>28</v>
      </c>
      <c r="AK67">
        <v>4</v>
      </c>
      <c r="AL67" t="s">
        <v>2225</v>
      </c>
      <c r="AM67">
        <v>0</v>
      </c>
      <c r="AN67" t="s">
        <v>2175</v>
      </c>
      <c r="AO67" t="s">
        <v>2177</v>
      </c>
      <c r="AP67" t="s">
        <v>2175</v>
      </c>
      <c r="AQ67">
        <v>152.52000000000001</v>
      </c>
      <c r="AR67">
        <v>2</v>
      </c>
      <c r="AS67">
        <v>3</v>
      </c>
      <c r="AT67">
        <v>2</v>
      </c>
      <c r="AU67">
        <v>3</v>
      </c>
      <c r="AV67">
        <v>2.666666666666667</v>
      </c>
      <c r="AW67">
        <v>4.8</v>
      </c>
      <c r="AY67">
        <v>4.5</v>
      </c>
      <c r="AZ67">
        <v>1</v>
      </c>
      <c r="BA67">
        <v>0</v>
      </c>
      <c r="BB67">
        <v>45</v>
      </c>
      <c r="BC67">
        <v>26</v>
      </c>
      <c r="BD67">
        <v>40.270000000000003</v>
      </c>
      <c r="BE67">
        <v>199</v>
      </c>
      <c r="BF67">
        <v>89.5</v>
      </c>
      <c r="BG67">
        <v>30</v>
      </c>
      <c r="BH67">
        <v>26</v>
      </c>
      <c r="BI67">
        <v>26.42</v>
      </c>
      <c r="BJ67">
        <v>126</v>
      </c>
      <c r="BK67">
        <v>88.1</v>
      </c>
      <c r="BL67">
        <v>199</v>
      </c>
      <c r="BM67">
        <v>10.5718</v>
      </c>
    </row>
    <row r="68" spans="1:65" x14ac:dyDescent="0.25">
      <c r="A68" t="s">
        <v>131</v>
      </c>
      <c r="B68" t="s">
        <v>1246</v>
      </c>
      <c r="C68" t="s">
        <v>2158</v>
      </c>
      <c r="D68" s="1">
        <v>45383</v>
      </c>
      <c r="E68" s="1">
        <v>45419</v>
      </c>
      <c r="F68" s="1">
        <v>45486</v>
      </c>
      <c r="G68" t="s">
        <v>2164</v>
      </c>
      <c r="H68" t="s">
        <v>2170</v>
      </c>
      <c r="I68" t="s">
        <v>2176</v>
      </c>
      <c r="J68">
        <v>10959</v>
      </c>
      <c r="K68">
        <v>329</v>
      </c>
      <c r="L68">
        <v>3.3</v>
      </c>
      <c r="M68">
        <v>9.3000000000000007</v>
      </c>
      <c r="N68">
        <v>4</v>
      </c>
      <c r="O68">
        <v>9248</v>
      </c>
      <c r="P68" t="s">
        <v>2176</v>
      </c>
      <c r="Q68">
        <v>10</v>
      </c>
      <c r="R68">
        <v>14</v>
      </c>
      <c r="S68">
        <v>16</v>
      </c>
      <c r="T68">
        <v>715</v>
      </c>
      <c r="U68" t="s">
        <v>2162</v>
      </c>
      <c r="V68" t="s">
        <v>2168</v>
      </c>
      <c r="W68" t="s">
        <v>2209</v>
      </c>
      <c r="X68" t="s">
        <v>2211</v>
      </c>
      <c r="Y68" t="s">
        <v>2212</v>
      </c>
      <c r="Z68" s="1">
        <v>45476</v>
      </c>
      <c r="AA68" s="1">
        <v>45480</v>
      </c>
      <c r="AB68" t="s">
        <v>2214</v>
      </c>
      <c r="AC68" t="s">
        <v>2209</v>
      </c>
      <c r="AD68" t="s">
        <v>2218</v>
      </c>
      <c r="AE68" t="s">
        <v>2162</v>
      </c>
      <c r="AG68" t="s">
        <v>2221</v>
      </c>
      <c r="AH68">
        <v>40</v>
      </c>
      <c r="AI68">
        <v>57</v>
      </c>
      <c r="AJ68">
        <v>17</v>
      </c>
      <c r="AK68">
        <v>5</v>
      </c>
      <c r="AL68" t="s">
        <v>2224</v>
      </c>
      <c r="AM68">
        <v>0</v>
      </c>
      <c r="AN68" t="s">
        <v>2176</v>
      </c>
      <c r="AO68" t="s">
        <v>2177</v>
      </c>
      <c r="AP68" t="s">
        <v>2177</v>
      </c>
      <c r="AQ68">
        <v>30.69</v>
      </c>
      <c r="AR68">
        <v>1</v>
      </c>
      <c r="AS68">
        <v>1</v>
      </c>
      <c r="AT68">
        <v>2</v>
      </c>
      <c r="AU68">
        <v>2</v>
      </c>
      <c r="AV68">
        <v>1.666666666666667</v>
      </c>
      <c r="AW68">
        <v>4.2</v>
      </c>
      <c r="AY68">
        <v>4.5</v>
      </c>
      <c r="AZ68">
        <v>2</v>
      </c>
      <c r="BA68">
        <v>1</v>
      </c>
      <c r="BB68">
        <v>24</v>
      </c>
      <c r="BC68">
        <v>27</v>
      </c>
      <c r="BD68">
        <v>21.44</v>
      </c>
      <c r="BE68">
        <v>108</v>
      </c>
      <c r="BF68">
        <v>89.3</v>
      </c>
      <c r="BG68">
        <v>35</v>
      </c>
      <c r="BH68">
        <v>27</v>
      </c>
      <c r="BI68">
        <v>30.96</v>
      </c>
      <c r="BJ68">
        <v>158</v>
      </c>
      <c r="BK68">
        <v>88.5</v>
      </c>
      <c r="BL68">
        <v>108</v>
      </c>
      <c r="BM68">
        <v>3.7568999999999999</v>
      </c>
    </row>
    <row r="69" spans="1:65" x14ac:dyDescent="0.25">
      <c r="A69" t="s">
        <v>132</v>
      </c>
      <c r="B69" t="s">
        <v>1247</v>
      </c>
      <c r="C69" t="s">
        <v>2160</v>
      </c>
      <c r="D69" s="1">
        <v>45439</v>
      </c>
      <c r="E69" s="1">
        <v>45477</v>
      </c>
      <c r="F69" s="1">
        <v>45528</v>
      </c>
      <c r="G69" t="s">
        <v>2166</v>
      </c>
      <c r="H69" t="s">
        <v>2172</v>
      </c>
      <c r="I69" t="s">
        <v>2176</v>
      </c>
      <c r="J69">
        <v>7758</v>
      </c>
      <c r="K69">
        <v>233</v>
      </c>
      <c r="L69">
        <v>7.1</v>
      </c>
      <c r="M69">
        <v>3.4</v>
      </c>
      <c r="N69">
        <v>3</v>
      </c>
      <c r="O69">
        <v>6458</v>
      </c>
      <c r="P69" t="s">
        <v>2176</v>
      </c>
      <c r="Q69">
        <v>7</v>
      </c>
      <c r="R69">
        <v>10</v>
      </c>
      <c r="S69">
        <v>12</v>
      </c>
      <c r="T69">
        <v>695</v>
      </c>
      <c r="U69" t="s">
        <v>2166</v>
      </c>
      <c r="V69" t="s">
        <v>2172</v>
      </c>
      <c r="W69" t="s">
        <v>2208</v>
      </c>
      <c r="X69" t="s">
        <v>2210</v>
      </c>
      <c r="Y69" t="s">
        <v>2212</v>
      </c>
      <c r="Z69" s="1">
        <v>45522</v>
      </c>
      <c r="AA69" s="1">
        <v>45522</v>
      </c>
      <c r="AB69" t="s">
        <v>2214</v>
      </c>
      <c r="AC69" t="s">
        <v>2209</v>
      </c>
      <c r="AD69" t="s">
        <v>2216</v>
      </c>
      <c r="AE69" t="s">
        <v>2166</v>
      </c>
      <c r="AG69" t="s">
        <v>2220</v>
      </c>
      <c r="AH69">
        <v>29</v>
      </c>
      <c r="AI69">
        <v>45</v>
      </c>
      <c r="AJ69">
        <v>16</v>
      </c>
      <c r="AK69">
        <v>7</v>
      </c>
      <c r="AL69" t="s">
        <v>2226</v>
      </c>
      <c r="AM69">
        <v>0</v>
      </c>
      <c r="AN69" t="s">
        <v>2176</v>
      </c>
      <c r="AO69" t="s">
        <v>2176</v>
      </c>
      <c r="AP69" t="s">
        <v>2176</v>
      </c>
      <c r="AQ69">
        <v>24.14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4.8</v>
      </c>
      <c r="AY69">
        <v>4.8</v>
      </c>
      <c r="AZ69">
        <v>0</v>
      </c>
      <c r="BA69">
        <v>1</v>
      </c>
      <c r="BB69">
        <v>48</v>
      </c>
      <c r="BC69">
        <v>27</v>
      </c>
      <c r="BD69">
        <v>42.33</v>
      </c>
      <c r="BE69">
        <v>216</v>
      </c>
      <c r="BF69">
        <v>88.2</v>
      </c>
      <c r="BG69">
        <v>48</v>
      </c>
      <c r="BH69">
        <v>27</v>
      </c>
      <c r="BI69">
        <v>42.33</v>
      </c>
      <c r="BJ69">
        <v>216</v>
      </c>
      <c r="BK69">
        <v>88.2</v>
      </c>
      <c r="BL69">
        <v>216</v>
      </c>
      <c r="BM69">
        <v>1.33</v>
      </c>
    </row>
    <row r="70" spans="1:65" x14ac:dyDescent="0.25">
      <c r="A70" t="s">
        <v>133</v>
      </c>
      <c r="B70" t="s">
        <v>1248</v>
      </c>
      <c r="C70" t="s">
        <v>2157</v>
      </c>
      <c r="D70" s="1">
        <v>45453</v>
      </c>
      <c r="E70" s="1">
        <v>45487</v>
      </c>
      <c r="F70" s="1">
        <v>45616</v>
      </c>
      <c r="G70" t="s">
        <v>2165</v>
      </c>
      <c r="H70" t="s">
        <v>2171</v>
      </c>
      <c r="I70" t="s">
        <v>2175</v>
      </c>
      <c r="J70">
        <v>42805</v>
      </c>
      <c r="K70">
        <v>1285</v>
      </c>
      <c r="L70">
        <v>15.2</v>
      </c>
      <c r="M70">
        <v>19</v>
      </c>
      <c r="N70">
        <v>7</v>
      </c>
      <c r="O70">
        <v>13305</v>
      </c>
      <c r="P70" t="s">
        <v>2178</v>
      </c>
      <c r="Q70">
        <v>18</v>
      </c>
      <c r="R70">
        <v>30</v>
      </c>
      <c r="S70">
        <v>52</v>
      </c>
      <c r="T70">
        <v>826</v>
      </c>
      <c r="U70" t="s">
        <v>2165</v>
      </c>
      <c r="V70" t="s">
        <v>2171</v>
      </c>
      <c r="W70" t="s">
        <v>2208</v>
      </c>
      <c r="X70" t="s">
        <v>2210</v>
      </c>
      <c r="Y70" t="s">
        <v>2212</v>
      </c>
      <c r="Z70" s="1">
        <v>45614</v>
      </c>
      <c r="AA70" s="1">
        <v>45620</v>
      </c>
      <c r="AB70" t="s">
        <v>2214</v>
      </c>
      <c r="AC70" t="s">
        <v>2209</v>
      </c>
      <c r="AD70" t="s">
        <v>2216</v>
      </c>
      <c r="AE70" t="s">
        <v>2165</v>
      </c>
      <c r="AG70" t="s">
        <v>2220</v>
      </c>
      <c r="AH70">
        <v>100</v>
      </c>
      <c r="AI70">
        <v>127</v>
      </c>
      <c r="AJ70">
        <v>27</v>
      </c>
      <c r="AK70">
        <v>7</v>
      </c>
      <c r="AL70" t="s">
        <v>2226</v>
      </c>
      <c r="AM70">
        <v>0</v>
      </c>
      <c r="AN70" t="s">
        <v>2175</v>
      </c>
      <c r="AO70" t="s">
        <v>2175</v>
      </c>
      <c r="AP70" t="s">
        <v>2177</v>
      </c>
      <c r="AQ70">
        <v>288.8</v>
      </c>
      <c r="AR70">
        <v>3</v>
      </c>
      <c r="AS70">
        <v>3</v>
      </c>
      <c r="AT70">
        <v>3</v>
      </c>
      <c r="AU70">
        <v>2</v>
      </c>
      <c r="AV70">
        <v>2.666666666666667</v>
      </c>
      <c r="AW70">
        <v>4.5999999999999996</v>
      </c>
      <c r="AY70">
        <v>4.5999999999999996</v>
      </c>
      <c r="AZ70">
        <v>1</v>
      </c>
      <c r="BA70">
        <v>0</v>
      </c>
      <c r="BB70">
        <v>38</v>
      </c>
      <c r="BC70">
        <v>27</v>
      </c>
      <c r="BD70">
        <v>34</v>
      </c>
      <c r="BE70">
        <v>174</v>
      </c>
      <c r="BF70">
        <v>89.5</v>
      </c>
      <c r="BG70">
        <v>38</v>
      </c>
      <c r="BH70">
        <v>27</v>
      </c>
      <c r="BI70">
        <v>34</v>
      </c>
      <c r="BJ70">
        <v>174</v>
      </c>
      <c r="BK70">
        <v>89.5</v>
      </c>
      <c r="BL70">
        <v>174</v>
      </c>
      <c r="BM70">
        <v>9.1094000000000008</v>
      </c>
    </row>
    <row r="71" spans="1:65" x14ac:dyDescent="0.25">
      <c r="A71" t="s">
        <v>134</v>
      </c>
      <c r="B71" t="s">
        <v>1249</v>
      </c>
      <c r="C71" t="s">
        <v>2160</v>
      </c>
      <c r="D71" s="1">
        <v>45334</v>
      </c>
      <c r="E71" s="1">
        <v>45372</v>
      </c>
      <c r="F71" s="1">
        <v>45453</v>
      </c>
      <c r="G71" t="s">
        <v>2166</v>
      </c>
      <c r="H71" t="s">
        <v>2172</v>
      </c>
      <c r="I71" t="s">
        <v>2174</v>
      </c>
      <c r="J71">
        <v>12495</v>
      </c>
      <c r="K71">
        <v>375</v>
      </c>
      <c r="L71">
        <v>1.6</v>
      </c>
      <c r="M71">
        <v>1.5</v>
      </c>
      <c r="N71">
        <v>1</v>
      </c>
      <c r="O71">
        <v>3002</v>
      </c>
      <c r="P71" t="s">
        <v>2176</v>
      </c>
      <c r="Q71">
        <v>10</v>
      </c>
      <c r="R71">
        <v>14</v>
      </c>
      <c r="S71">
        <v>25</v>
      </c>
      <c r="T71">
        <v>504</v>
      </c>
      <c r="U71" t="s">
        <v>2166</v>
      </c>
      <c r="V71" t="s">
        <v>2172</v>
      </c>
      <c r="W71" t="s">
        <v>2208</v>
      </c>
      <c r="X71" t="s">
        <v>2210</v>
      </c>
      <c r="Y71" t="s">
        <v>2212</v>
      </c>
      <c r="Z71" s="1">
        <v>45440</v>
      </c>
      <c r="AA71" s="1">
        <v>45444</v>
      </c>
      <c r="AB71" t="s">
        <v>2214</v>
      </c>
      <c r="AC71" t="s">
        <v>2209</v>
      </c>
      <c r="AD71" t="s">
        <v>2216</v>
      </c>
      <c r="AE71" t="s">
        <v>2166</v>
      </c>
      <c r="AG71" t="s">
        <v>2220</v>
      </c>
      <c r="AH71">
        <v>49</v>
      </c>
      <c r="AI71">
        <v>68</v>
      </c>
      <c r="AJ71">
        <v>19</v>
      </c>
      <c r="AK71">
        <v>3</v>
      </c>
      <c r="AL71" t="s">
        <v>2227</v>
      </c>
      <c r="AM71">
        <v>0</v>
      </c>
      <c r="AN71" t="s">
        <v>2176</v>
      </c>
      <c r="AO71" t="s">
        <v>2176</v>
      </c>
      <c r="AP71" t="s">
        <v>2176</v>
      </c>
      <c r="AQ71">
        <v>2.4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4.8</v>
      </c>
      <c r="AY71">
        <v>4.8</v>
      </c>
      <c r="AZ71">
        <v>0</v>
      </c>
      <c r="BA71">
        <v>2</v>
      </c>
      <c r="BB71">
        <v>49</v>
      </c>
      <c r="BC71">
        <v>26</v>
      </c>
      <c r="BD71">
        <v>43.12</v>
      </c>
      <c r="BE71">
        <v>216</v>
      </c>
      <c r="BF71">
        <v>88</v>
      </c>
      <c r="BG71">
        <v>49</v>
      </c>
      <c r="BH71">
        <v>26</v>
      </c>
      <c r="BI71">
        <v>43.12</v>
      </c>
      <c r="BJ71">
        <v>216</v>
      </c>
      <c r="BK71">
        <v>88</v>
      </c>
      <c r="BL71">
        <v>216</v>
      </c>
      <c r="BM71">
        <v>2.2244999999999999</v>
      </c>
    </row>
    <row r="72" spans="1:65" x14ac:dyDescent="0.25">
      <c r="A72" t="s">
        <v>135</v>
      </c>
      <c r="B72" t="s">
        <v>1250</v>
      </c>
      <c r="C72" t="s">
        <v>2159</v>
      </c>
      <c r="D72" s="1">
        <v>45334</v>
      </c>
      <c r="E72" s="1">
        <v>45366</v>
      </c>
      <c r="F72" s="1">
        <v>45457</v>
      </c>
      <c r="G72" t="s">
        <v>2163</v>
      </c>
      <c r="H72" t="s">
        <v>2169</v>
      </c>
      <c r="I72" t="s">
        <v>2173</v>
      </c>
      <c r="J72">
        <v>24411</v>
      </c>
      <c r="K72">
        <v>733</v>
      </c>
      <c r="L72">
        <v>7.1</v>
      </c>
      <c r="M72">
        <v>13.5</v>
      </c>
      <c r="N72">
        <v>5</v>
      </c>
      <c r="O72">
        <v>10885</v>
      </c>
      <c r="P72" t="s">
        <v>2177</v>
      </c>
      <c r="Q72">
        <v>14</v>
      </c>
      <c r="R72">
        <v>20</v>
      </c>
      <c r="S72">
        <v>34</v>
      </c>
      <c r="T72">
        <v>728</v>
      </c>
      <c r="U72" t="s">
        <v>2163</v>
      </c>
      <c r="V72" t="s">
        <v>2169</v>
      </c>
      <c r="W72" t="s">
        <v>2208</v>
      </c>
      <c r="X72" t="s">
        <v>2210</v>
      </c>
      <c r="Y72" t="s">
        <v>2212</v>
      </c>
      <c r="Z72" s="1">
        <v>45456</v>
      </c>
      <c r="AA72" s="1">
        <v>45458</v>
      </c>
      <c r="AB72" t="s">
        <v>2214</v>
      </c>
      <c r="AC72" t="s">
        <v>2209</v>
      </c>
      <c r="AD72" t="s">
        <v>2216</v>
      </c>
      <c r="AE72" t="s">
        <v>2163</v>
      </c>
      <c r="AG72" t="s">
        <v>2220</v>
      </c>
      <c r="AH72">
        <v>68</v>
      </c>
      <c r="AI72">
        <v>90</v>
      </c>
      <c r="AJ72">
        <v>22</v>
      </c>
      <c r="AK72">
        <v>3</v>
      </c>
      <c r="AL72" t="s">
        <v>2227</v>
      </c>
      <c r="AM72">
        <v>0</v>
      </c>
      <c r="AN72" t="s">
        <v>2177</v>
      </c>
      <c r="AO72" t="s">
        <v>2177</v>
      </c>
      <c r="AP72" t="s">
        <v>2177</v>
      </c>
      <c r="AQ72">
        <v>95.85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4.4000000000000004</v>
      </c>
      <c r="AY72">
        <v>4.4000000000000004</v>
      </c>
      <c r="AZ72">
        <v>3</v>
      </c>
      <c r="BA72">
        <v>3</v>
      </c>
      <c r="BB72">
        <v>35</v>
      </c>
      <c r="BC72">
        <v>26</v>
      </c>
      <c r="BD72">
        <v>31.08</v>
      </c>
      <c r="BE72">
        <v>149</v>
      </c>
      <c r="BF72">
        <v>88.8</v>
      </c>
      <c r="BG72">
        <v>35</v>
      </c>
      <c r="BH72">
        <v>26</v>
      </c>
      <c r="BI72">
        <v>31.08</v>
      </c>
      <c r="BJ72">
        <v>149</v>
      </c>
      <c r="BK72">
        <v>88.8</v>
      </c>
      <c r="BL72">
        <v>149</v>
      </c>
      <c r="BM72">
        <v>6.2995999999999999</v>
      </c>
    </row>
    <row r="73" spans="1:65" x14ac:dyDescent="0.25">
      <c r="A73" t="s">
        <v>136</v>
      </c>
      <c r="B73" t="s">
        <v>1251</v>
      </c>
      <c r="C73" t="s">
        <v>2157</v>
      </c>
      <c r="D73" s="1">
        <v>45306</v>
      </c>
      <c r="E73" s="1">
        <v>45347</v>
      </c>
      <c r="F73" s="1">
        <v>45487</v>
      </c>
      <c r="G73" t="s">
        <v>2163</v>
      </c>
      <c r="H73" t="s">
        <v>2169</v>
      </c>
      <c r="I73" t="s">
        <v>2175</v>
      </c>
      <c r="J73">
        <v>59457</v>
      </c>
      <c r="K73">
        <v>1784</v>
      </c>
      <c r="L73">
        <v>18.899999999999999</v>
      </c>
      <c r="M73">
        <v>15.4</v>
      </c>
      <c r="N73">
        <v>7</v>
      </c>
      <c r="O73">
        <v>13371</v>
      </c>
      <c r="P73" t="s">
        <v>2178</v>
      </c>
      <c r="Q73">
        <v>18</v>
      </c>
      <c r="R73">
        <v>30</v>
      </c>
      <c r="S73">
        <v>66</v>
      </c>
      <c r="T73">
        <v>908</v>
      </c>
      <c r="U73" t="s">
        <v>2163</v>
      </c>
      <c r="V73" t="s">
        <v>2169</v>
      </c>
      <c r="W73" t="s">
        <v>2208</v>
      </c>
      <c r="X73" t="s">
        <v>2210</v>
      </c>
      <c r="Y73" t="s">
        <v>2212</v>
      </c>
      <c r="Z73" s="1">
        <v>45490</v>
      </c>
      <c r="AA73" s="1">
        <v>45493</v>
      </c>
      <c r="AB73" t="s">
        <v>2215</v>
      </c>
      <c r="AC73" t="s">
        <v>2208</v>
      </c>
      <c r="AD73" t="s">
        <v>2217</v>
      </c>
      <c r="AE73" t="s">
        <v>2163</v>
      </c>
      <c r="AG73" t="s">
        <v>2220</v>
      </c>
      <c r="AH73">
        <v>114</v>
      </c>
      <c r="AI73">
        <v>143</v>
      </c>
      <c r="AJ73">
        <v>29</v>
      </c>
      <c r="AK73">
        <v>2</v>
      </c>
      <c r="AL73" t="s">
        <v>2228</v>
      </c>
      <c r="AM73">
        <v>0</v>
      </c>
      <c r="AN73" t="s">
        <v>2175</v>
      </c>
      <c r="AO73" t="s">
        <v>2175</v>
      </c>
      <c r="AP73" t="s">
        <v>2177</v>
      </c>
      <c r="AQ73">
        <v>291.06</v>
      </c>
      <c r="AR73">
        <v>3</v>
      </c>
      <c r="AS73">
        <v>3</v>
      </c>
      <c r="AT73">
        <v>3</v>
      </c>
      <c r="AU73">
        <v>2</v>
      </c>
      <c r="AV73">
        <v>2.666666666666667</v>
      </c>
      <c r="AW73">
        <v>4.4000000000000004</v>
      </c>
      <c r="AY73">
        <v>4.4000000000000004</v>
      </c>
      <c r="AZ73">
        <v>1</v>
      </c>
      <c r="BA73">
        <v>0</v>
      </c>
      <c r="BB73">
        <v>30</v>
      </c>
      <c r="BC73">
        <v>24</v>
      </c>
      <c r="BD73">
        <v>26.21</v>
      </c>
      <c r="BE73">
        <v>116</v>
      </c>
      <c r="BF73">
        <v>87.4</v>
      </c>
      <c r="BG73">
        <v>30</v>
      </c>
      <c r="BH73">
        <v>24</v>
      </c>
      <c r="BI73">
        <v>26.21</v>
      </c>
      <c r="BJ73">
        <v>116</v>
      </c>
      <c r="BK73">
        <v>87.4</v>
      </c>
      <c r="BL73">
        <v>116</v>
      </c>
      <c r="BM73">
        <v>21.349</v>
      </c>
    </row>
    <row r="74" spans="1:65" x14ac:dyDescent="0.25">
      <c r="A74" t="s">
        <v>137</v>
      </c>
      <c r="B74" t="s">
        <v>1252</v>
      </c>
      <c r="C74" t="s">
        <v>2157</v>
      </c>
      <c r="D74" s="1">
        <v>45306</v>
      </c>
      <c r="E74" s="1">
        <v>45345</v>
      </c>
      <c r="F74" s="1">
        <v>45507</v>
      </c>
      <c r="G74" t="s">
        <v>2165</v>
      </c>
      <c r="H74" t="s">
        <v>2171</v>
      </c>
      <c r="I74" t="s">
        <v>2176</v>
      </c>
      <c r="J74">
        <v>44883</v>
      </c>
      <c r="K74">
        <v>1347</v>
      </c>
      <c r="L74">
        <v>3.4</v>
      </c>
      <c r="M74">
        <v>9.1999999999999993</v>
      </c>
      <c r="N74">
        <v>3</v>
      </c>
      <c r="O74">
        <v>6263</v>
      </c>
      <c r="P74" t="s">
        <v>2176</v>
      </c>
      <c r="Q74">
        <v>18</v>
      </c>
      <c r="R74">
        <v>30</v>
      </c>
      <c r="S74">
        <v>76</v>
      </c>
      <c r="T74">
        <v>598</v>
      </c>
      <c r="U74" t="s">
        <v>2165</v>
      </c>
      <c r="V74" t="s">
        <v>2171</v>
      </c>
      <c r="W74" t="s">
        <v>2208</v>
      </c>
      <c r="X74" t="s">
        <v>2210</v>
      </c>
      <c r="Y74" t="s">
        <v>2212</v>
      </c>
      <c r="Z74" s="1">
        <v>45501</v>
      </c>
      <c r="AA74" s="1">
        <v>45507</v>
      </c>
      <c r="AB74" t="s">
        <v>2214</v>
      </c>
      <c r="AC74" t="s">
        <v>2209</v>
      </c>
      <c r="AD74" t="s">
        <v>2216</v>
      </c>
      <c r="AE74" t="s">
        <v>2165</v>
      </c>
      <c r="AG74" t="s">
        <v>2220</v>
      </c>
      <c r="AH74">
        <v>124</v>
      </c>
      <c r="AI74">
        <v>156</v>
      </c>
      <c r="AJ74">
        <v>32</v>
      </c>
      <c r="AK74">
        <v>2</v>
      </c>
      <c r="AL74" t="s">
        <v>2228</v>
      </c>
      <c r="AM74">
        <v>0</v>
      </c>
      <c r="AN74" t="s">
        <v>2176</v>
      </c>
      <c r="AO74" t="s">
        <v>2176</v>
      </c>
      <c r="AP74" t="s">
        <v>2176</v>
      </c>
      <c r="AQ74">
        <v>31.28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4.5999999999999996</v>
      </c>
      <c r="AY74">
        <v>4.5999999999999996</v>
      </c>
      <c r="AZ74">
        <v>1</v>
      </c>
      <c r="BA74">
        <v>1</v>
      </c>
      <c r="BB74">
        <v>36</v>
      </c>
      <c r="BC74">
        <v>24</v>
      </c>
      <c r="BD74">
        <v>31.79</v>
      </c>
      <c r="BE74">
        <v>142</v>
      </c>
      <c r="BF74">
        <v>88.3</v>
      </c>
      <c r="BG74">
        <v>36</v>
      </c>
      <c r="BH74">
        <v>24</v>
      </c>
      <c r="BI74">
        <v>31.79</v>
      </c>
      <c r="BJ74">
        <v>142</v>
      </c>
      <c r="BK74">
        <v>88.3</v>
      </c>
      <c r="BL74">
        <v>142</v>
      </c>
      <c r="BM74">
        <v>13.166</v>
      </c>
    </row>
    <row r="75" spans="1:65" x14ac:dyDescent="0.25">
      <c r="A75" t="s">
        <v>138</v>
      </c>
      <c r="B75" t="s">
        <v>1253</v>
      </c>
      <c r="C75" t="s">
        <v>2159</v>
      </c>
      <c r="D75" s="1">
        <v>45362</v>
      </c>
      <c r="E75" s="1">
        <v>45394</v>
      </c>
      <c r="F75" s="1">
        <v>45508</v>
      </c>
      <c r="G75" t="s">
        <v>2162</v>
      </c>
      <c r="H75" t="s">
        <v>2168</v>
      </c>
      <c r="I75" t="s">
        <v>2174</v>
      </c>
      <c r="J75">
        <v>27459</v>
      </c>
      <c r="K75">
        <v>824</v>
      </c>
      <c r="L75">
        <v>6.7</v>
      </c>
      <c r="M75">
        <v>2.2000000000000002</v>
      </c>
      <c r="N75">
        <v>3</v>
      </c>
      <c r="O75">
        <v>3804</v>
      </c>
      <c r="P75" t="s">
        <v>2176</v>
      </c>
      <c r="Q75">
        <v>14</v>
      </c>
      <c r="R75">
        <v>20</v>
      </c>
      <c r="S75">
        <v>45</v>
      </c>
      <c r="T75">
        <v>623</v>
      </c>
      <c r="U75" t="s">
        <v>2161</v>
      </c>
      <c r="V75" t="s">
        <v>2167</v>
      </c>
      <c r="W75" t="s">
        <v>2209</v>
      </c>
      <c r="X75" t="s">
        <v>2211</v>
      </c>
      <c r="Y75" t="s">
        <v>2212</v>
      </c>
      <c r="Z75" s="1">
        <v>45497</v>
      </c>
      <c r="AA75" s="1">
        <v>45501</v>
      </c>
      <c r="AB75" t="s">
        <v>2214</v>
      </c>
      <c r="AC75" t="s">
        <v>2209</v>
      </c>
      <c r="AD75" t="s">
        <v>2218</v>
      </c>
      <c r="AE75" t="s">
        <v>2161</v>
      </c>
      <c r="AG75" t="s">
        <v>2221</v>
      </c>
      <c r="AH75">
        <v>79</v>
      </c>
      <c r="AI75">
        <v>103</v>
      </c>
      <c r="AJ75">
        <v>24</v>
      </c>
      <c r="AK75">
        <v>4</v>
      </c>
      <c r="AL75" t="s">
        <v>2225</v>
      </c>
      <c r="AM75">
        <v>0</v>
      </c>
      <c r="AN75" t="s">
        <v>2176</v>
      </c>
      <c r="AO75" t="s">
        <v>2176</v>
      </c>
      <c r="AP75" t="s">
        <v>2176</v>
      </c>
      <c r="AQ75">
        <v>14.74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4.3</v>
      </c>
      <c r="AY75">
        <v>4.2</v>
      </c>
      <c r="AZ75">
        <v>3</v>
      </c>
      <c r="BA75">
        <v>2</v>
      </c>
      <c r="BB75">
        <v>32</v>
      </c>
      <c r="BC75">
        <v>26</v>
      </c>
      <c r="BD75">
        <v>28.46</v>
      </c>
      <c r="BE75">
        <v>138</v>
      </c>
      <c r="BF75">
        <v>88.9</v>
      </c>
      <c r="BG75">
        <v>25</v>
      </c>
      <c r="BH75">
        <v>26</v>
      </c>
      <c r="BI75">
        <v>21.81</v>
      </c>
      <c r="BJ75">
        <v>104</v>
      </c>
      <c r="BK75">
        <v>87.2</v>
      </c>
      <c r="BL75">
        <v>138</v>
      </c>
      <c r="BM75">
        <v>7.6509</v>
      </c>
    </row>
    <row r="76" spans="1:65" x14ac:dyDescent="0.25">
      <c r="A76" t="s">
        <v>139</v>
      </c>
      <c r="B76" t="s">
        <v>1254</v>
      </c>
      <c r="C76" t="s">
        <v>2160</v>
      </c>
      <c r="D76" s="1">
        <v>45362</v>
      </c>
      <c r="E76" s="1">
        <v>45403</v>
      </c>
      <c r="F76" s="1">
        <v>45463</v>
      </c>
      <c r="G76" t="s">
        <v>2164</v>
      </c>
      <c r="H76" t="s">
        <v>2170</v>
      </c>
      <c r="I76" t="s">
        <v>2173</v>
      </c>
      <c r="J76">
        <v>10416</v>
      </c>
      <c r="K76">
        <v>313</v>
      </c>
      <c r="L76">
        <v>8.6999999999999993</v>
      </c>
      <c r="M76">
        <v>12.2</v>
      </c>
      <c r="N76">
        <v>3</v>
      </c>
      <c r="O76">
        <v>7676</v>
      </c>
      <c r="P76" t="s">
        <v>2176</v>
      </c>
      <c r="Q76">
        <v>10</v>
      </c>
      <c r="R76">
        <v>14</v>
      </c>
      <c r="S76">
        <v>16</v>
      </c>
      <c r="T76">
        <v>653</v>
      </c>
      <c r="U76" t="s">
        <v>2164</v>
      </c>
      <c r="V76" t="s">
        <v>2170</v>
      </c>
      <c r="W76" t="s">
        <v>2208</v>
      </c>
      <c r="X76" t="s">
        <v>2210</v>
      </c>
      <c r="Y76" t="s">
        <v>2212</v>
      </c>
      <c r="Z76" s="1">
        <v>45460</v>
      </c>
      <c r="AA76" s="1">
        <v>45466</v>
      </c>
      <c r="AB76" t="s">
        <v>2214</v>
      </c>
      <c r="AC76" t="s">
        <v>2209</v>
      </c>
      <c r="AD76" t="s">
        <v>2216</v>
      </c>
      <c r="AE76" t="s">
        <v>2164</v>
      </c>
      <c r="AG76" t="s">
        <v>2220</v>
      </c>
      <c r="AH76">
        <v>40</v>
      </c>
      <c r="AI76">
        <v>57</v>
      </c>
      <c r="AJ76">
        <v>17</v>
      </c>
      <c r="AK76">
        <v>4</v>
      </c>
      <c r="AL76" t="s">
        <v>2225</v>
      </c>
      <c r="AM76">
        <v>0</v>
      </c>
      <c r="AN76" t="s">
        <v>2177</v>
      </c>
      <c r="AO76" t="s">
        <v>2176</v>
      </c>
      <c r="AP76" t="s">
        <v>2177</v>
      </c>
      <c r="AQ76">
        <v>106.14</v>
      </c>
      <c r="AR76">
        <v>1</v>
      </c>
      <c r="AS76">
        <v>2</v>
      </c>
      <c r="AT76">
        <v>1</v>
      </c>
      <c r="AU76">
        <v>2</v>
      </c>
      <c r="AV76">
        <v>1.666666666666667</v>
      </c>
      <c r="AW76">
        <v>4.5</v>
      </c>
      <c r="AY76">
        <v>4.5</v>
      </c>
      <c r="AZ76">
        <v>0</v>
      </c>
      <c r="BA76">
        <v>3</v>
      </c>
      <c r="BB76">
        <v>30</v>
      </c>
      <c r="BC76">
        <v>26</v>
      </c>
      <c r="BD76">
        <v>26.42</v>
      </c>
      <c r="BE76">
        <v>126</v>
      </c>
      <c r="BF76">
        <v>88.1</v>
      </c>
      <c r="BG76">
        <v>30</v>
      </c>
      <c r="BH76">
        <v>26</v>
      </c>
      <c r="BI76">
        <v>26.42</v>
      </c>
      <c r="BJ76">
        <v>126</v>
      </c>
      <c r="BK76">
        <v>88.1</v>
      </c>
      <c r="BL76">
        <v>126</v>
      </c>
      <c r="BM76">
        <v>3.1785000000000001</v>
      </c>
    </row>
    <row r="77" spans="1:65" x14ac:dyDescent="0.25">
      <c r="A77" t="s">
        <v>140</v>
      </c>
      <c r="B77" t="s">
        <v>1255</v>
      </c>
      <c r="C77" t="s">
        <v>2159</v>
      </c>
      <c r="D77" s="1">
        <v>45334</v>
      </c>
      <c r="E77" s="1">
        <v>45369</v>
      </c>
      <c r="F77" s="1">
        <v>45430</v>
      </c>
      <c r="G77" t="s">
        <v>2166</v>
      </c>
      <c r="H77" t="s">
        <v>2172</v>
      </c>
      <c r="I77" t="s">
        <v>2175</v>
      </c>
      <c r="J77">
        <v>19603</v>
      </c>
      <c r="K77">
        <v>589</v>
      </c>
      <c r="L77">
        <v>15.9</v>
      </c>
      <c r="M77">
        <v>15.7</v>
      </c>
      <c r="N77">
        <v>9</v>
      </c>
      <c r="O77">
        <v>16548</v>
      </c>
      <c r="P77" t="s">
        <v>2178</v>
      </c>
      <c r="Q77">
        <v>10</v>
      </c>
      <c r="R77">
        <v>14</v>
      </c>
      <c r="S77">
        <v>22</v>
      </c>
      <c r="T77">
        <v>903</v>
      </c>
      <c r="U77" t="s">
        <v>2166</v>
      </c>
      <c r="V77" t="s">
        <v>2172</v>
      </c>
      <c r="W77" t="s">
        <v>2208</v>
      </c>
      <c r="X77" t="s">
        <v>2210</v>
      </c>
      <c r="Y77" t="s">
        <v>2212</v>
      </c>
      <c r="Z77" s="1">
        <v>45433</v>
      </c>
      <c r="AA77" s="1">
        <v>45437</v>
      </c>
      <c r="AB77" t="s">
        <v>2215</v>
      </c>
      <c r="AC77" t="s">
        <v>2208</v>
      </c>
      <c r="AD77" t="s">
        <v>2217</v>
      </c>
      <c r="AE77" t="s">
        <v>2166</v>
      </c>
      <c r="AG77" t="s">
        <v>2220</v>
      </c>
      <c r="AH77">
        <v>46</v>
      </c>
      <c r="AI77">
        <v>64</v>
      </c>
      <c r="AJ77">
        <v>18</v>
      </c>
      <c r="AK77">
        <v>3</v>
      </c>
      <c r="AL77" t="s">
        <v>2227</v>
      </c>
      <c r="AM77">
        <v>0</v>
      </c>
      <c r="AN77" t="s">
        <v>2175</v>
      </c>
      <c r="AO77" t="s">
        <v>2175</v>
      </c>
      <c r="AP77" t="s">
        <v>2175</v>
      </c>
      <c r="AQ77">
        <v>249.63</v>
      </c>
      <c r="AR77">
        <v>3</v>
      </c>
      <c r="AS77">
        <v>3</v>
      </c>
      <c r="AT77">
        <v>3</v>
      </c>
      <c r="AU77">
        <v>3</v>
      </c>
      <c r="AV77">
        <v>3</v>
      </c>
      <c r="AW77">
        <v>4.8</v>
      </c>
      <c r="AY77">
        <v>4.8</v>
      </c>
      <c r="AZ77">
        <v>3</v>
      </c>
      <c r="BA77">
        <v>0</v>
      </c>
      <c r="BB77">
        <v>49</v>
      </c>
      <c r="BC77">
        <v>26</v>
      </c>
      <c r="BD77">
        <v>43.12</v>
      </c>
      <c r="BE77">
        <v>216</v>
      </c>
      <c r="BF77">
        <v>88</v>
      </c>
      <c r="BG77">
        <v>49</v>
      </c>
      <c r="BH77">
        <v>26</v>
      </c>
      <c r="BI77">
        <v>43.12</v>
      </c>
      <c r="BJ77">
        <v>216</v>
      </c>
      <c r="BK77">
        <v>88</v>
      </c>
      <c r="BL77">
        <v>216</v>
      </c>
      <c r="BM77">
        <v>3.4899</v>
      </c>
    </row>
    <row r="78" spans="1:65" x14ac:dyDescent="0.25">
      <c r="A78" t="s">
        <v>141</v>
      </c>
      <c r="B78" t="s">
        <v>1256</v>
      </c>
      <c r="C78" t="s">
        <v>2160</v>
      </c>
      <c r="D78" s="1">
        <v>45320</v>
      </c>
      <c r="E78" s="1">
        <v>45354</v>
      </c>
      <c r="F78" s="1">
        <v>45451</v>
      </c>
      <c r="G78" t="s">
        <v>2162</v>
      </c>
      <c r="H78" t="s">
        <v>2168</v>
      </c>
      <c r="I78" t="s">
        <v>2174</v>
      </c>
      <c r="J78">
        <v>17536</v>
      </c>
      <c r="K78">
        <v>527</v>
      </c>
      <c r="L78">
        <v>5.8</v>
      </c>
      <c r="M78">
        <v>5.9</v>
      </c>
      <c r="N78">
        <v>1</v>
      </c>
      <c r="O78">
        <v>4359</v>
      </c>
      <c r="P78" t="s">
        <v>2176</v>
      </c>
      <c r="Q78">
        <v>10</v>
      </c>
      <c r="R78">
        <v>14</v>
      </c>
      <c r="S78">
        <v>35</v>
      </c>
      <c r="T78">
        <v>505</v>
      </c>
      <c r="U78" t="s">
        <v>2164</v>
      </c>
      <c r="V78" t="s">
        <v>2170</v>
      </c>
      <c r="W78" t="s">
        <v>2209</v>
      </c>
      <c r="X78" t="s">
        <v>2211</v>
      </c>
      <c r="Y78" t="s">
        <v>2212</v>
      </c>
      <c r="Z78" s="1">
        <v>45433</v>
      </c>
      <c r="AA78" s="1">
        <v>45437</v>
      </c>
      <c r="AB78" t="s">
        <v>2214</v>
      </c>
      <c r="AC78" t="s">
        <v>2209</v>
      </c>
      <c r="AD78" t="s">
        <v>2218</v>
      </c>
      <c r="AE78" t="s">
        <v>2164</v>
      </c>
      <c r="AG78" t="s">
        <v>2221</v>
      </c>
      <c r="AH78">
        <v>59</v>
      </c>
      <c r="AI78">
        <v>79</v>
      </c>
      <c r="AJ78">
        <v>20</v>
      </c>
      <c r="AK78">
        <v>3</v>
      </c>
      <c r="AL78" t="s">
        <v>2227</v>
      </c>
      <c r="AM78">
        <v>0</v>
      </c>
      <c r="AN78" t="s">
        <v>2177</v>
      </c>
      <c r="AO78" t="s">
        <v>2176</v>
      </c>
      <c r="AP78" t="s">
        <v>2176</v>
      </c>
      <c r="AQ78">
        <v>34.22</v>
      </c>
      <c r="AR78">
        <v>1</v>
      </c>
      <c r="AS78">
        <v>2</v>
      </c>
      <c r="AT78">
        <v>1</v>
      </c>
      <c r="AU78">
        <v>1</v>
      </c>
      <c r="AV78">
        <v>1.333333333333333</v>
      </c>
      <c r="AW78">
        <v>4.5</v>
      </c>
      <c r="AY78">
        <v>4.2</v>
      </c>
      <c r="AZ78">
        <v>0</v>
      </c>
      <c r="BA78">
        <v>2</v>
      </c>
      <c r="BB78">
        <v>30</v>
      </c>
      <c r="BC78">
        <v>26</v>
      </c>
      <c r="BD78">
        <v>26.31</v>
      </c>
      <c r="BE78">
        <v>128</v>
      </c>
      <c r="BF78">
        <v>87.7</v>
      </c>
      <c r="BG78">
        <v>31</v>
      </c>
      <c r="BH78">
        <v>26</v>
      </c>
      <c r="BI78">
        <v>27.27</v>
      </c>
      <c r="BJ78">
        <v>130</v>
      </c>
      <c r="BK78">
        <v>88</v>
      </c>
      <c r="BL78">
        <v>128</v>
      </c>
      <c r="BM78">
        <v>5.2675999999999998</v>
      </c>
    </row>
    <row r="79" spans="1:65" x14ac:dyDescent="0.25">
      <c r="A79" t="s">
        <v>142</v>
      </c>
      <c r="B79" t="s">
        <v>1257</v>
      </c>
      <c r="C79" t="s">
        <v>2157</v>
      </c>
      <c r="D79" s="1">
        <v>45418</v>
      </c>
      <c r="E79" s="1">
        <v>45460</v>
      </c>
      <c r="F79" s="1">
        <v>45647</v>
      </c>
      <c r="G79" t="s">
        <v>2162</v>
      </c>
      <c r="H79" t="s">
        <v>2168</v>
      </c>
      <c r="I79" t="s">
        <v>2174</v>
      </c>
      <c r="J79">
        <v>51689</v>
      </c>
      <c r="K79">
        <v>1551</v>
      </c>
      <c r="L79">
        <v>5.9</v>
      </c>
      <c r="M79">
        <v>1.3</v>
      </c>
      <c r="N79">
        <v>1</v>
      </c>
      <c r="O79">
        <v>4080</v>
      </c>
      <c r="P79" t="s">
        <v>2176</v>
      </c>
      <c r="Q79">
        <v>18</v>
      </c>
      <c r="R79">
        <v>30</v>
      </c>
      <c r="S79">
        <v>94</v>
      </c>
      <c r="T79">
        <v>550</v>
      </c>
      <c r="U79" t="s">
        <v>2164</v>
      </c>
      <c r="V79" t="s">
        <v>2170</v>
      </c>
      <c r="W79" t="s">
        <v>2209</v>
      </c>
      <c r="X79" t="s">
        <v>2211</v>
      </c>
      <c r="Y79" t="s">
        <v>2212</v>
      </c>
      <c r="Z79" s="1">
        <v>45636</v>
      </c>
      <c r="AA79" s="1">
        <v>45641</v>
      </c>
      <c r="AB79" t="s">
        <v>2214</v>
      </c>
      <c r="AC79" t="s">
        <v>2209</v>
      </c>
      <c r="AD79" t="s">
        <v>2218</v>
      </c>
      <c r="AE79" t="s">
        <v>2164</v>
      </c>
      <c r="AG79" t="s">
        <v>2221</v>
      </c>
      <c r="AH79">
        <v>142</v>
      </c>
      <c r="AI79">
        <v>176</v>
      </c>
      <c r="AJ79">
        <v>34</v>
      </c>
      <c r="AK79">
        <v>6</v>
      </c>
      <c r="AL79" t="s">
        <v>2223</v>
      </c>
      <c r="AM79">
        <v>0</v>
      </c>
      <c r="AN79" t="s">
        <v>2176</v>
      </c>
      <c r="AO79" t="s">
        <v>2176</v>
      </c>
      <c r="AP79" t="s">
        <v>2176</v>
      </c>
      <c r="AQ79">
        <v>7.6700000000000008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4.5</v>
      </c>
      <c r="AY79">
        <v>4.2</v>
      </c>
      <c r="AZ79">
        <v>1</v>
      </c>
      <c r="BA79">
        <v>2</v>
      </c>
      <c r="BB79">
        <v>33</v>
      </c>
      <c r="BC79">
        <v>25</v>
      </c>
      <c r="BD79">
        <v>28.64</v>
      </c>
      <c r="BE79">
        <v>133</v>
      </c>
      <c r="BF79">
        <v>86.8</v>
      </c>
      <c r="BG79">
        <v>29</v>
      </c>
      <c r="BH79">
        <v>25</v>
      </c>
      <c r="BI79">
        <v>25.56</v>
      </c>
      <c r="BJ79">
        <v>117</v>
      </c>
      <c r="BK79">
        <v>88.1</v>
      </c>
      <c r="BL79">
        <v>133</v>
      </c>
      <c r="BM79">
        <v>15.540900000000001</v>
      </c>
    </row>
    <row r="80" spans="1:65" x14ac:dyDescent="0.25">
      <c r="A80" t="s">
        <v>143</v>
      </c>
      <c r="B80" t="s">
        <v>1258</v>
      </c>
      <c r="C80" t="s">
        <v>2160</v>
      </c>
      <c r="D80" s="1">
        <v>45418</v>
      </c>
      <c r="E80" s="1">
        <v>45452</v>
      </c>
      <c r="F80" s="1">
        <v>45492</v>
      </c>
      <c r="G80" t="s">
        <v>2166</v>
      </c>
      <c r="H80" t="s">
        <v>2172</v>
      </c>
      <c r="I80" t="s">
        <v>2176</v>
      </c>
      <c r="J80">
        <v>3453</v>
      </c>
      <c r="K80">
        <v>104</v>
      </c>
      <c r="L80">
        <v>3.9</v>
      </c>
      <c r="M80">
        <v>7</v>
      </c>
      <c r="N80">
        <v>2</v>
      </c>
      <c r="O80">
        <v>8032</v>
      </c>
      <c r="P80" t="s">
        <v>2176</v>
      </c>
      <c r="Q80">
        <v>5</v>
      </c>
      <c r="R80">
        <v>8</v>
      </c>
      <c r="S80">
        <v>5</v>
      </c>
      <c r="T80">
        <v>780</v>
      </c>
      <c r="U80" t="s">
        <v>2166</v>
      </c>
      <c r="V80" t="s">
        <v>2172</v>
      </c>
      <c r="W80" t="s">
        <v>2208</v>
      </c>
      <c r="X80" t="s">
        <v>2210</v>
      </c>
      <c r="Y80" t="s">
        <v>2212</v>
      </c>
      <c r="Z80" s="1">
        <v>45483</v>
      </c>
      <c r="AA80" s="1">
        <v>45487</v>
      </c>
      <c r="AB80" t="s">
        <v>2214</v>
      </c>
      <c r="AC80" t="s">
        <v>2209</v>
      </c>
      <c r="AD80" t="s">
        <v>2216</v>
      </c>
      <c r="AE80" t="s">
        <v>2166</v>
      </c>
      <c r="AG80" t="s">
        <v>2220</v>
      </c>
      <c r="AH80">
        <v>18</v>
      </c>
      <c r="AI80">
        <v>31</v>
      </c>
      <c r="AJ80">
        <v>13</v>
      </c>
      <c r="AK80">
        <v>6</v>
      </c>
      <c r="AL80" t="s">
        <v>2223</v>
      </c>
      <c r="AM80">
        <v>0</v>
      </c>
      <c r="AN80" t="s">
        <v>2176</v>
      </c>
      <c r="AO80" t="s">
        <v>2176</v>
      </c>
      <c r="AP80" t="s">
        <v>2177</v>
      </c>
      <c r="AQ80">
        <v>27.3</v>
      </c>
      <c r="AR80">
        <v>1</v>
      </c>
      <c r="AS80">
        <v>1</v>
      </c>
      <c r="AT80">
        <v>1</v>
      </c>
      <c r="AU80">
        <v>2</v>
      </c>
      <c r="AV80">
        <v>1.333333333333333</v>
      </c>
      <c r="AW80">
        <v>4.8</v>
      </c>
      <c r="AY80">
        <v>4.8</v>
      </c>
      <c r="AZ80">
        <v>0</v>
      </c>
      <c r="BA80">
        <v>1</v>
      </c>
      <c r="BB80">
        <v>45</v>
      </c>
      <c r="BC80">
        <v>25</v>
      </c>
      <c r="BD80">
        <v>39.200000000000003</v>
      </c>
      <c r="BE80">
        <v>186</v>
      </c>
      <c r="BF80">
        <v>87.1</v>
      </c>
      <c r="BG80">
        <v>45</v>
      </c>
      <c r="BH80">
        <v>25</v>
      </c>
      <c r="BI80">
        <v>39.200000000000003</v>
      </c>
      <c r="BJ80">
        <v>186</v>
      </c>
      <c r="BK80">
        <v>87.1</v>
      </c>
      <c r="BL80">
        <v>186</v>
      </c>
      <c r="BM80">
        <v>0.74239999999999995</v>
      </c>
    </row>
    <row r="81" spans="1:65" x14ac:dyDescent="0.25">
      <c r="A81" t="s">
        <v>144</v>
      </c>
      <c r="B81" t="s">
        <v>1259</v>
      </c>
      <c r="C81" t="s">
        <v>2159</v>
      </c>
      <c r="D81" s="1">
        <v>45418</v>
      </c>
      <c r="E81" s="1">
        <v>45449</v>
      </c>
      <c r="F81" s="1">
        <v>45518</v>
      </c>
      <c r="G81" t="s">
        <v>2164</v>
      </c>
      <c r="H81" t="s">
        <v>2170</v>
      </c>
      <c r="I81" t="s">
        <v>2176</v>
      </c>
      <c r="J81">
        <v>12058</v>
      </c>
      <c r="K81">
        <v>362</v>
      </c>
      <c r="L81">
        <v>6.8</v>
      </c>
      <c r="M81">
        <v>6.9</v>
      </c>
      <c r="N81">
        <v>3</v>
      </c>
      <c r="O81">
        <v>8656</v>
      </c>
      <c r="P81" t="s">
        <v>2176</v>
      </c>
      <c r="Q81">
        <v>10</v>
      </c>
      <c r="R81">
        <v>14</v>
      </c>
      <c r="S81">
        <v>18</v>
      </c>
      <c r="T81">
        <v>685</v>
      </c>
      <c r="U81" t="s">
        <v>2164</v>
      </c>
      <c r="V81" t="s">
        <v>2170</v>
      </c>
      <c r="W81" t="s">
        <v>2208</v>
      </c>
      <c r="X81" t="s">
        <v>2210</v>
      </c>
      <c r="Y81" t="s">
        <v>2212</v>
      </c>
      <c r="Z81" s="1">
        <v>45509</v>
      </c>
      <c r="AA81" s="1">
        <v>45515</v>
      </c>
      <c r="AB81" t="s">
        <v>2214</v>
      </c>
      <c r="AC81" t="s">
        <v>2209</v>
      </c>
      <c r="AD81" t="s">
        <v>2216</v>
      </c>
      <c r="AE81" t="s">
        <v>2164</v>
      </c>
      <c r="AG81" t="s">
        <v>2220</v>
      </c>
      <c r="AH81">
        <v>42</v>
      </c>
      <c r="AI81">
        <v>60</v>
      </c>
      <c r="AJ81">
        <v>18</v>
      </c>
      <c r="AK81">
        <v>6</v>
      </c>
      <c r="AL81" t="s">
        <v>2223</v>
      </c>
      <c r="AM81">
        <v>0</v>
      </c>
      <c r="AN81" t="s">
        <v>2177</v>
      </c>
      <c r="AO81" t="s">
        <v>2176</v>
      </c>
      <c r="AP81" t="s">
        <v>2177</v>
      </c>
      <c r="AQ81">
        <v>46.92</v>
      </c>
      <c r="AR81">
        <v>1</v>
      </c>
      <c r="AS81">
        <v>2</v>
      </c>
      <c r="AT81">
        <v>1</v>
      </c>
      <c r="AU81">
        <v>2</v>
      </c>
      <c r="AV81">
        <v>1.666666666666667</v>
      </c>
      <c r="AW81">
        <v>4.5</v>
      </c>
      <c r="AY81">
        <v>4.5</v>
      </c>
      <c r="AZ81">
        <v>3</v>
      </c>
      <c r="BA81">
        <v>1</v>
      </c>
      <c r="BB81">
        <v>33</v>
      </c>
      <c r="BC81">
        <v>25</v>
      </c>
      <c r="BD81">
        <v>28.64</v>
      </c>
      <c r="BE81">
        <v>133</v>
      </c>
      <c r="BF81">
        <v>86.8</v>
      </c>
      <c r="BG81">
        <v>33</v>
      </c>
      <c r="BH81">
        <v>25</v>
      </c>
      <c r="BI81">
        <v>28.64</v>
      </c>
      <c r="BJ81">
        <v>133</v>
      </c>
      <c r="BK81">
        <v>86.8</v>
      </c>
      <c r="BL81">
        <v>133</v>
      </c>
      <c r="BM81">
        <v>3.6254</v>
      </c>
    </row>
    <row r="82" spans="1:65" x14ac:dyDescent="0.25">
      <c r="A82" t="s">
        <v>145</v>
      </c>
      <c r="B82" t="s">
        <v>1260</v>
      </c>
      <c r="C82" t="s">
        <v>2160</v>
      </c>
      <c r="D82" s="1">
        <v>45404</v>
      </c>
      <c r="E82" s="1">
        <v>45439</v>
      </c>
      <c r="F82" s="1">
        <v>45495</v>
      </c>
      <c r="G82" t="s">
        <v>2165</v>
      </c>
      <c r="H82" t="s">
        <v>2171</v>
      </c>
      <c r="I82" t="s">
        <v>2173</v>
      </c>
      <c r="J82">
        <v>12869</v>
      </c>
      <c r="K82">
        <v>387</v>
      </c>
      <c r="L82">
        <v>14.2</v>
      </c>
      <c r="M82">
        <v>6.5</v>
      </c>
      <c r="N82">
        <v>7</v>
      </c>
      <c r="O82">
        <v>12574</v>
      </c>
      <c r="P82" t="s">
        <v>2177</v>
      </c>
      <c r="Q82">
        <v>10</v>
      </c>
      <c r="R82">
        <v>14</v>
      </c>
      <c r="S82">
        <v>15</v>
      </c>
      <c r="T82">
        <v>878</v>
      </c>
      <c r="U82" t="s">
        <v>2165</v>
      </c>
      <c r="V82" t="s">
        <v>2171</v>
      </c>
      <c r="W82" t="s">
        <v>2208</v>
      </c>
      <c r="X82" t="s">
        <v>2210</v>
      </c>
      <c r="Y82" t="s">
        <v>2212</v>
      </c>
      <c r="Z82" s="1">
        <v>45495</v>
      </c>
      <c r="AA82" s="1">
        <v>45501</v>
      </c>
      <c r="AB82" t="s">
        <v>2214</v>
      </c>
      <c r="AC82" t="s">
        <v>2209</v>
      </c>
      <c r="AD82" t="s">
        <v>2216</v>
      </c>
      <c r="AE82" t="s">
        <v>2165</v>
      </c>
      <c r="AG82" t="s">
        <v>2220</v>
      </c>
      <c r="AH82">
        <v>39</v>
      </c>
      <c r="AI82">
        <v>56</v>
      </c>
      <c r="AJ82">
        <v>17</v>
      </c>
      <c r="AK82">
        <v>5</v>
      </c>
      <c r="AL82" t="s">
        <v>2224</v>
      </c>
      <c r="AM82">
        <v>0</v>
      </c>
      <c r="AN82" t="s">
        <v>2177</v>
      </c>
      <c r="AO82" t="s">
        <v>2175</v>
      </c>
      <c r="AP82" t="s">
        <v>2177</v>
      </c>
      <c r="AQ82">
        <v>92.3</v>
      </c>
      <c r="AR82">
        <v>2</v>
      </c>
      <c r="AS82">
        <v>2</v>
      </c>
      <c r="AT82">
        <v>3</v>
      </c>
      <c r="AU82">
        <v>2</v>
      </c>
      <c r="AV82">
        <v>2.333333333333333</v>
      </c>
      <c r="AW82">
        <v>4.5999999999999996</v>
      </c>
      <c r="AY82">
        <v>4.5999999999999996</v>
      </c>
      <c r="AZ82">
        <v>0</v>
      </c>
      <c r="BA82">
        <v>3</v>
      </c>
      <c r="BB82">
        <v>36</v>
      </c>
      <c r="BC82">
        <v>27</v>
      </c>
      <c r="BD82">
        <v>31.37</v>
      </c>
      <c r="BE82">
        <v>158</v>
      </c>
      <c r="BF82">
        <v>87.1</v>
      </c>
      <c r="BG82">
        <v>36</v>
      </c>
      <c r="BH82">
        <v>27</v>
      </c>
      <c r="BI82">
        <v>31.37</v>
      </c>
      <c r="BJ82">
        <v>158</v>
      </c>
      <c r="BK82">
        <v>87.1</v>
      </c>
      <c r="BL82">
        <v>158</v>
      </c>
      <c r="BM82">
        <v>3.0158999999999998</v>
      </c>
    </row>
    <row r="83" spans="1:65" x14ac:dyDescent="0.25">
      <c r="A83" t="s">
        <v>146</v>
      </c>
      <c r="B83" t="s">
        <v>1261</v>
      </c>
      <c r="C83" t="s">
        <v>2158</v>
      </c>
      <c r="D83" s="1">
        <v>45348</v>
      </c>
      <c r="E83" s="1">
        <v>45387</v>
      </c>
      <c r="F83" s="1">
        <v>45427</v>
      </c>
      <c r="G83" t="s">
        <v>2165</v>
      </c>
      <c r="H83" t="s">
        <v>2171</v>
      </c>
      <c r="I83" t="s">
        <v>2175</v>
      </c>
      <c r="J83">
        <v>6328</v>
      </c>
      <c r="K83">
        <v>190</v>
      </c>
      <c r="L83">
        <v>13.1</v>
      </c>
      <c r="M83">
        <v>10.4</v>
      </c>
      <c r="N83">
        <v>7</v>
      </c>
      <c r="O83">
        <v>16226</v>
      </c>
      <c r="P83" t="s">
        <v>2178</v>
      </c>
      <c r="Q83">
        <v>7</v>
      </c>
      <c r="R83">
        <v>10</v>
      </c>
      <c r="S83">
        <v>8</v>
      </c>
      <c r="T83">
        <v>849</v>
      </c>
      <c r="U83" t="s">
        <v>2165</v>
      </c>
      <c r="V83" t="s">
        <v>2171</v>
      </c>
      <c r="W83" t="s">
        <v>2208</v>
      </c>
      <c r="X83" t="s">
        <v>2210</v>
      </c>
      <c r="Y83" t="s">
        <v>2212</v>
      </c>
      <c r="Z83" s="1">
        <v>45427</v>
      </c>
      <c r="AA83" s="1">
        <v>45430</v>
      </c>
      <c r="AB83" t="s">
        <v>2214</v>
      </c>
      <c r="AC83" t="s">
        <v>2209</v>
      </c>
      <c r="AD83" t="s">
        <v>2216</v>
      </c>
      <c r="AE83" t="s">
        <v>2165</v>
      </c>
      <c r="AG83" t="s">
        <v>2220</v>
      </c>
      <c r="AH83">
        <v>25</v>
      </c>
      <c r="AI83">
        <v>40</v>
      </c>
      <c r="AJ83">
        <v>15</v>
      </c>
      <c r="AK83">
        <v>4</v>
      </c>
      <c r="AL83" t="s">
        <v>2225</v>
      </c>
      <c r="AM83">
        <v>0</v>
      </c>
      <c r="AN83" t="s">
        <v>2175</v>
      </c>
      <c r="AO83" t="s">
        <v>2175</v>
      </c>
      <c r="AP83" t="s">
        <v>2175</v>
      </c>
      <c r="AQ83">
        <v>136.24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4.5999999999999996</v>
      </c>
      <c r="AY83">
        <v>4.5999999999999996</v>
      </c>
      <c r="AZ83">
        <v>2</v>
      </c>
      <c r="BA83">
        <v>0</v>
      </c>
      <c r="BB83">
        <v>46</v>
      </c>
      <c r="BC83">
        <v>26</v>
      </c>
      <c r="BD83">
        <v>40.729999999999997</v>
      </c>
      <c r="BE83">
        <v>203</v>
      </c>
      <c r="BF83">
        <v>88.5</v>
      </c>
      <c r="BG83">
        <v>46</v>
      </c>
      <c r="BH83">
        <v>26</v>
      </c>
      <c r="BI83">
        <v>40.729999999999997</v>
      </c>
      <c r="BJ83">
        <v>203</v>
      </c>
      <c r="BK83">
        <v>88.5</v>
      </c>
      <c r="BL83">
        <v>203</v>
      </c>
      <c r="BM83">
        <v>1.1987000000000001</v>
      </c>
    </row>
    <row r="84" spans="1:65" x14ac:dyDescent="0.25">
      <c r="A84" t="s">
        <v>147</v>
      </c>
      <c r="B84" t="s">
        <v>1262</v>
      </c>
      <c r="C84" t="s">
        <v>2159</v>
      </c>
      <c r="D84" s="1">
        <v>45404</v>
      </c>
      <c r="E84" s="1">
        <v>45445</v>
      </c>
      <c r="F84" s="1">
        <v>45557</v>
      </c>
      <c r="G84" t="s">
        <v>2161</v>
      </c>
      <c r="H84" t="s">
        <v>2167</v>
      </c>
      <c r="I84" t="s">
        <v>2174</v>
      </c>
      <c r="J84">
        <v>29367</v>
      </c>
      <c r="K84">
        <v>882</v>
      </c>
      <c r="L84">
        <v>2.2000000000000002</v>
      </c>
      <c r="M84">
        <v>1.8</v>
      </c>
      <c r="N84">
        <v>3</v>
      </c>
      <c r="O84">
        <v>1121</v>
      </c>
      <c r="P84" t="s">
        <v>2176</v>
      </c>
      <c r="Q84">
        <v>14</v>
      </c>
      <c r="R84">
        <v>20</v>
      </c>
      <c r="S84">
        <v>46</v>
      </c>
      <c r="T84">
        <v>647</v>
      </c>
      <c r="U84" t="s">
        <v>2161</v>
      </c>
      <c r="V84" t="s">
        <v>2167</v>
      </c>
      <c r="W84" t="s">
        <v>2208</v>
      </c>
      <c r="X84" t="s">
        <v>2210</v>
      </c>
      <c r="Y84" t="s">
        <v>2212</v>
      </c>
      <c r="Z84" s="1">
        <v>45548</v>
      </c>
      <c r="AA84" s="1">
        <v>45550</v>
      </c>
      <c r="AB84" t="s">
        <v>2214</v>
      </c>
      <c r="AC84" t="s">
        <v>2209</v>
      </c>
      <c r="AD84" t="s">
        <v>2216</v>
      </c>
      <c r="AE84" t="s">
        <v>2161</v>
      </c>
      <c r="AG84" t="s">
        <v>2220</v>
      </c>
      <c r="AH84">
        <v>80</v>
      </c>
      <c r="AI84">
        <v>103</v>
      </c>
      <c r="AJ84">
        <v>23</v>
      </c>
      <c r="AK84">
        <v>6</v>
      </c>
      <c r="AL84" t="s">
        <v>2223</v>
      </c>
      <c r="AM84">
        <v>0</v>
      </c>
      <c r="AN84" t="s">
        <v>2176</v>
      </c>
      <c r="AO84" t="s">
        <v>2176</v>
      </c>
      <c r="AP84" t="s">
        <v>2176</v>
      </c>
      <c r="AQ84">
        <v>3.96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4.3</v>
      </c>
      <c r="AY84">
        <v>4.3</v>
      </c>
      <c r="AZ84">
        <v>3</v>
      </c>
      <c r="BA84">
        <v>2</v>
      </c>
      <c r="BB84">
        <v>36</v>
      </c>
      <c r="BC84">
        <v>25</v>
      </c>
      <c r="BD84">
        <v>31.92</v>
      </c>
      <c r="BE84">
        <v>149</v>
      </c>
      <c r="BF84">
        <v>88.7</v>
      </c>
      <c r="BG84">
        <v>36</v>
      </c>
      <c r="BH84">
        <v>25</v>
      </c>
      <c r="BI84">
        <v>31.92</v>
      </c>
      <c r="BJ84">
        <v>149</v>
      </c>
      <c r="BK84">
        <v>88.7</v>
      </c>
      <c r="BL84">
        <v>149</v>
      </c>
      <c r="BM84">
        <v>7.8815999999999997</v>
      </c>
    </row>
    <row r="85" spans="1:65" x14ac:dyDescent="0.25">
      <c r="A85" t="s">
        <v>148</v>
      </c>
      <c r="B85" t="s">
        <v>1263</v>
      </c>
      <c r="C85" t="s">
        <v>2158</v>
      </c>
      <c r="D85" s="1">
        <v>45369</v>
      </c>
      <c r="E85" s="1">
        <v>45404</v>
      </c>
      <c r="F85" s="1">
        <v>45463</v>
      </c>
      <c r="G85" t="s">
        <v>2164</v>
      </c>
      <c r="H85" t="s">
        <v>2170</v>
      </c>
      <c r="I85" t="s">
        <v>2174</v>
      </c>
      <c r="J85">
        <v>6211</v>
      </c>
      <c r="K85">
        <v>187</v>
      </c>
      <c r="L85">
        <v>3.3</v>
      </c>
      <c r="M85">
        <v>6.6</v>
      </c>
      <c r="N85">
        <v>2</v>
      </c>
      <c r="O85">
        <v>6487</v>
      </c>
      <c r="P85" t="s">
        <v>2176</v>
      </c>
      <c r="Q85">
        <v>7</v>
      </c>
      <c r="R85">
        <v>10</v>
      </c>
      <c r="S85">
        <v>12</v>
      </c>
      <c r="T85">
        <v>538</v>
      </c>
      <c r="U85" t="s">
        <v>2164</v>
      </c>
      <c r="V85" t="s">
        <v>2170</v>
      </c>
      <c r="W85" t="s">
        <v>2208</v>
      </c>
      <c r="X85" t="s">
        <v>2210</v>
      </c>
      <c r="Y85" t="s">
        <v>2212</v>
      </c>
      <c r="Z85" s="1">
        <v>45448</v>
      </c>
      <c r="AA85" s="1">
        <v>45452</v>
      </c>
      <c r="AB85" t="s">
        <v>2214</v>
      </c>
      <c r="AC85" t="s">
        <v>2209</v>
      </c>
      <c r="AD85" t="s">
        <v>2216</v>
      </c>
      <c r="AE85" t="s">
        <v>2164</v>
      </c>
      <c r="AG85" t="s">
        <v>2220</v>
      </c>
      <c r="AH85">
        <v>29</v>
      </c>
      <c r="AI85">
        <v>44</v>
      </c>
      <c r="AJ85">
        <v>15</v>
      </c>
      <c r="AK85">
        <v>4</v>
      </c>
      <c r="AL85" t="s">
        <v>2225</v>
      </c>
      <c r="AM85">
        <v>0</v>
      </c>
      <c r="AN85" t="s">
        <v>2176</v>
      </c>
      <c r="AO85" t="s">
        <v>2176</v>
      </c>
      <c r="AP85" t="s">
        <v>2176</v>
      </c>
      <c r="AQ85">
        <v>21.78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4.5</v>
      </c>
      <c r="AY85">
        <v>4.5</v>
      </c>
      <c r="AZ85">
        <v>2</v>
      </c>
      <c r="BA85">
        <v>2</v>
      </c>
      <c r="BB85">
        <v>30</v>
      </c>
      <c r="BC85">
        <v>26</v>
      </c>
      <c r="BD85">
        <v>26.42</v>
      </c>
      <c r="BE85">
        <v>126</v>
      </c>
      <c r="BF85">
        <v>88.1</v>
      </c>
      <c r="BG85">
        <v>30</v>
      </c>
      <c r="BH85">
        <v>26</v>
      </c>
      <c r="BI85">
        <v>26.42</v>
      </c>
      <c r="BJ85">
        <v>126</v>
      </c>
      <c r="BK85">
        <v>88.1</v>
      </c>
      <c r="BL85">
        <v>126</v>
      </c>
      <c r="BM85">
        <v>1.8953</v>
      </c>
    </row>
    <row r="86" spans="1:65" x14ac:dyDescent="0.25">
      <c r="A86" t="s">
        <v>149</v>
      </c>
      <c r="B86" t="s">
        <v>1264</v>
      </c>
      <c r="C86" t="s">
        <v>2160</v>
      </c>
      <c r="D86" s="1">
        <v>45453</v>
      </c>
      <c r="E86" s="1">
        <v>45483</v>
      </c>
      <c r="F86" s="1">
        <v>45527</v>
      </c>
      <c r="G86" t="s">
        <v>2163</v>
      </c>
      <c r="H86" t="s">
        <v>2169</v>
      </c>
      <c r="I86" t="s">
        <v>2175</v>
      </c>
      <c r="J86">
        <v>8595</v>
      </c>
      <c r="K86">
        <v>258</v>
      </c>
      <c r="L86">
        <v>15.1</v>
      </c>
      <c r="M86">
        <v>14.8</v>
      </c>
      <c r="N86">
        <v>8</v>
      </c>
      <c r="O86">
        <v>12674</v>
      </c>
      <c r="P86" t="s">
        <v>2178</v>
      </c>
      <c r="Q86">
        <v>7</v>
      </c>
      <c r="R86">
        <v>10</v>
      </c>
      <c r="S86">
        <v>10</v>
      </c>
      <c r="T86">
        <v>941</v>
      </c>
      <c r="U86" t="s">
        <v>2163</v>
      </c>
      <c r="V86" t="s">
        <v>2169</v>
      </c>
      <c r="W86" t="s">
        <v>2208</v>
      </c>
      <c r="X86" t="s">
        <v>2210</v>
      </c>
      <c r="Y86" t="s">
        <v>2212</v>
      </c>
      <c r="Z86" s="1">
        <v>45525</v>
      </c>
      <c r="AA86" s="1">
        <v>45529</v>
      </c>
      <c r="AB86" t="s">
        <v>2214</v>
      </c>
      <c r="AC86" t="s">
        <v>2209</v>
      </c>
      <c r="AD86" t="s">
        <v>2216</v>
      </c>
      <c r="AE86" t="s">
        <v>2163</v>
      </c>
      <c r="AG86" t="s">
        <v>2220</v>
      </c>
      <c r="AH86">
        <v>27</v>
      </c>
      <c r="AI86">
        <v>42</v>
      </c>
      <c r="AJ86">
        <v>15</v>
      </c>
      <c r="AK86">
        <v>7</v>
      </c>
      <c r="AL86" t="s">
        <v>2226</v>
      </c>
      <c r="AM86">
        <v>0</v>
      </c>
      <c r="AN86" t="s">
        <v>2175</v>
      </c>
      <c r="AO86" t="s">
        <v>2175</v>
      </c>
      <c r="AP86" t="s">
        <v>2177</v>
      </c>
      <c r="AQ86">
        <v>223.48</v>
      </c>
      <c r="AR86">
        <v>3</v>
      </c>
      <c r="AS86">
        <v>3</v>
      </c>
      <c r="AT86">
        <v>3</v>
      </c>
      <c r="AU86">
        <v>2</v>
      </c>
      <c r="AV86">
        <v>2.666666666666667</v>
      </c>
      <c r="AW86">
        <v>4.4000000000000004</v>
      </c>
      <c r="AY86">
        <v>4.4000000000000004</v>
      </c>
      <c r="AZ86">
        <v>0</v>
      </c>
      <c r="BA86">
        <v>0</v>
      </c>
      <c r="BB86">
        <v>33</v>
      </c>
      <c r="BC86">
        <v>27</v>
      </c>
      <c r="BD86">
        <v>28.89</v>
      </c>
      <c r="BE86">
        <v>145</v>
      </c>
      <c r="BF86">
        <v>87.5</v>
      </c>
      <c r="BG86">
        <v>33</v>
      </c>
      <c r="BH86">
        <v>27</v>
      </c>
      <c r="BI86">
        <v>28.89</v>
      </c>
      <c r="BJ86">
        <v>145</v>
      </c>
      <c r="BK86">
        <v>87.5</v>
      </c>
      <c r="BL86">
        <v>145</v>
      </c>
      <c r="BM86">
        <v>2.1947999999999999</v>
      </c>
    </row>
    <row r="87" spans="1:65" x14ac:dyDescent="0.25">
      <c r="A87" t="s">
        <v>150</v>
      </c>
      <c r="B87" t="s">
        <v>1265</v>
      </c>
      <c r="C87" t="s">
        <v>2160</v>
      </c>
      <c r="D87" s="1">
        <v>45432</v>
      </c>
      <c r="E87" s="1">
        <v>45465</v>
      </c>
      <c r="F87" s="1">
        <v>45513</v>
      </c>
      <c r="G87" t="s">
        <v>2163</v>
      </c>
      <c r="H87" t="s">
        <v>2169</v>
      </c>
      <c r="I87" t="s">
        <v>2173</v>
      </c>
      <c r="J87">
        <v>7761</v>
      </c>
      <c r="K87">
        <v>233</v>
      </c>
      <c r="L87">
        <v>8.1</v>
      </c>
      <c r="M87">
        <v>8.4</v>
      </c>
      <c r="N87">
        <v>7</v>
      </c>
      <c r="O87">
        <v>8322</v>
      </c>
      <c r="P87" t="s">
        <v>2177</v>
      </c>
      <c r="Q87">
        <v>7</v>
      </c>
      <c r="R87">
        <v>10</v>
      </c>
      <c r="S87">
        <v>10</v>
      </c>
      <c r="T87">
        <v>818</v>
      </c>
      <c r="U87" t="s">
        <v>2163</v>
      </c>
      <c r="V87" t="s">
        <v>2169</v>
      </c>
      <c r="W87" t="s">
        <v>2208</v>
      </c>
      <c r="X87" t="s">
        <v>2210</v>
      </c>
      <c r="Y87" t="s">
        <v>2212</v>
      </c>
      <c r="Z87" s="1">
        <v>45508</v>
      </c>
      <c r="AA87" s="1">
        <v>45508</v>
      </c>
      <c r="AB87" t="s">
        <v>2214</v>
      </c>
      <c r="AC87" t="s">
        <v>2209</v>
      </c>
      <c r="AD87" t="s">
        <v>2216</v>
      </c>
      <c r="AE87" t="s">
        <v>2163</v>
      </c>
      <c r="AG87" t="s">
        <v>2220</v>
      </c>
      <c r="AH87">
        <v>27</v>
      </c>
      <c r="AI87">
        <v>43</v>
      </c>
      <c r="AJ87">
        <v>16</v>
      </c>
      <c r="AK87">
        <v>6</v>
      </c>
      <c r="AL87" t="s">
        <v>2223</v>
      </c>
      <c r="AM87">
        <v>0</v>
      </c>
      <c r="AN87" t="s">
        <v>2177</v>
      </c>
      <c r="AO87" t="s">
        <v>2175</v>
      </c>
      <c r="AP87" t="s">
        <v>2177</v>
      </c>
      <c r="AQ87">
        <v>68.040000000000006</v>
      </c>
      <c r="AR87">
        <v>2</v>
      </c>
      <c r="AS87">
        <v>2</v>
      </c>
      <c r="AT87">
        <v>3</v>
      </c>
      <c r="AU87">
        <v>2</v>
      </c>
      <c r="AV87">
        <v>2.333333333333333</v>
      </c>
      <c r="AW87">
        <v>4.4000000000000004</v>
      </c>
      <c r="AY87">
        <v>4.4000000000000004</v>
      </c>
      <c r="AZ87">
        <v>0</v>
      </c>
      <c r="BA87">
        <v>3</v>
      </c>
      <c r="BB87">
        <v>30</v>
      </c>
      <c r="BC87">
        <v>25</v>
      </c>
      <c r="BD87">
        <v>26.48</v>
      </c>
      <c r="BE87">
        <v>121</v>
      </c>
      <c r="BF87">
        <v>88.3</v>
      </c>
      <c r="BG87">
        <v>30</v>
      </c>
      <c r="BH87">
        <v>25</v>
      </c>
      <c r="BI87">
        <v>26.48</v>
      </c>
      <c r="BJ87">
        <v>121</v>
      </c>
      <c r="BK87">
        <v>88.3</v>
      </c>
      <c r="BL87">
        <v>121</v>
      </c>
      <c r="BM87">
        <v>2.5648</v>
      </c>
    </row>
    <row r="88" spans="1:65" x14ac:dyDescent="0.25">
      <c r="A88" t="s">
        <v>151</v>
      </c>
      <c r="B88" t="s">
        <v>1266</v>
      </c>
      <c r="C88" t="s">
        <v>2158</v>
      </c>
      <c r="D88" s="1">
        <v>45369</v>
      </c>
      <c r="E88" s="1">
        <v>45409</v>
      </c>
      <c r="F88" s="1">
        <v>45462</v>
      </c>
      <c r="G88" t="s">
        <v>2166</v>
      </c>
      <c r="H88" t="s">
        <v>2172</v>
      </c>
      <c r="I88" t="s">
        <v>2176</v>
      </c>
      <c r="J88">
        <v>7095</v>
      </c>
      <c r="K88">
        <v>213</v>
      </c>
      <c r="L88">
        <v>7.9</v>
      </c>
      <c r="M88">
        <v>8.6</v>
      </c>
      <c r="N88">
        <v>3</v>
      </c>
      <c r="O88">
        <v>8322</v>
      </c>
      <c r="P88" t="s">
        <v>2176</v>
      </c>
      <c r="Q88">
        <v>7</v>
      </c>
      <c r="R88">
        <v>10</v>
      </c>
      <c r="S88">
        <v>10</v>
      </c>
      <c r="T88">
        <v>757</v>
      </c>
      <c r="U88" t="s">
        <v>2166</v>
      </c>
      <c r="V88" t="s">
        <v>2172</v>
      </c>
      <c r="W88" t="s">
        <v>2208</v>
      </c>
      <c r="X88" t="s">
        <v>2210</v>
      </c>
      <c r="Y88" t="s">
        <v>2212</v>
      </c>
      <c r="Z88" s="1">
        <v>45452</v>
      </c>
      <c r="AA88" s="1">
        <v>45452</v>
      </c>
      <c r="AB88" t="s">
        <v>2214</v>
      </c>
      <c r="AC88" t="s">
        <v>2209</v>
      </c>
      <c r="AD88" t="s">
        <v>2216</v>
      </c>
      <c r="AE88" t="s">
        <v>2166</v>
      </c>
      <c r="AG88" t="s">
        <v>2220</v>
      </c>
      <c r="AH88">
        <v>27</v>
      </c>
      <c r="AI88">
        <v>43</v>
      </c>
      <c r="AJ88">
        <v>16</v>
      </c>
      <c r="AK88">
        <v>4</v>
      </c>
      <c r="AL88" t="s">
        <v>2225</v>
      </c>
      <c r="AM88">
        <v>0</v>
      </c>
      <c r="AN88" t="s">
        <v>2177</v>
      </c>
      <c r="AO88" t="s">
        <v>2176</v>
      </c>
      <c r="AP88" t="s">
        <v>2177</v>
      </c>
      <c r="AQ88">
        <v>67.94</v>
      </c>
      <c r="AR88">
        <v>1</v>
      </c>
      <c r="AS88">
        <v>2</v>
      </c>
      <c r="AT88">
        <v>1</v>
      </c>
      <c r="AU88">
        <v>2</v>
      </c>
      <c r="AV88">
        <v>1.666666666666667</v>
      </c>
      <c r="AW88">
        <v>4.8</v>
      </c>
      <c r="AY88">
        <v>4.8</v>
      </c>
      <c r="AZ88">
        <v>2</v>
      </c>
      <c r="BA88">
        <v>1</v>
      </c>
      <c r="BB88">
        <v>45</v>
      </c>
      <c r="BC88">
        <v>26</v>
      </c>
      <c r="BD88">
        <v>40.270000000000003</v>
      </c>
      <c r="BE88">
        <v>199</v>
      </c>
      <c r="BF88">
        <v>89.5</v>
      </c>
      <c r="BG88">
        <v>45</v>
      </c>
      <c r="BH88">
        <v>26</v>
      </c>
      <c r="BI88">
        <v>40.270000000000003</v>
      </c>
      <c r="BJ88">
        <v>199</v>
      </c>
      <c r="BK88">
        <v>89.5</v>
      </c>
      <c r="BL88">
        <v>199</v>
      </c>
      <c r="BM88">
        <v>1.371</v>
      </c>
    </row>
    <row r="89" spans="1:65" x14ac:dyDescent="0.25">
      <c r="A89" t="s">
        <v>152</v>
      </c>
      <c r="B89" t="s">
        <v>1256</v>
      </c>
      <c r="C89" t="s">
        <v>2160</v>
      </c>
      <c r="D89" s="1">
        <v>45320</v>
      </c>
      <c r="E89" s="1">
        <v>45350</v>
      </c>
      <c r="F89" s="1">
        <v>45400</v>
      </c>
      <c r="G89" t="s">
        <v>2162</v>
      </c>
      <c r="H89" t="s">
        <v>2168</v>
      </c>
      <c r="I89" t="s">
        <v>2174</v>
      </c>
      <c r="J89">
        <v>4690</v>
      </c>
      <c r="K89">
        <v>141</v>
      </c>
      <c r="L89">
        <v>6</v>
      </c>
      <c r="M89">
        <v>4.5999999999999996</v>
      </c>
      <c r="N89">
        <v>3</v>
      </c>
      <c r="O89">
        <v>6510</v>
      </c>
      <c r="P89" t="s">
        <v>2176</v>
      </c>
      <c r="Q89">
        <v>5</v>
      </c>
      <c r="R89">
        <v>8</v>
      </c>
      <c r="S89">
        <v>8</v>
      </c>
      <c r="T89">
        <v>634</v>
      </c>
      <c r="U89" t="s">
        <v>2162</v>
      </c>
      <c r="V89" t="s">
        <v>2168</v>
      </c>
      <c r="W89" t="s">
        <v>2208</v>
      </c>
      <c r="X89" t="s">
        <v>2210</v>
      </c>
      <c r="Y89" t="s">
        <v>2212</v>
      </c>
      <c r="Z89" s="1">
        <v>45385</v>
      </c>
      <c r="AA89" s="1">
        <v>45388</v>
      </c>
      <c r="AB89" t="s">
        <v>2214</v>
      </c>
      <c r="AC89" t="s">
        <v>2209</v>
      </c>
      <c r="AD89" t="s">
        <v>2216</v>
      </c>
      <c r="AE89" t="s">
        <v>2162</v>
      </c>
      <c r="AG89" t="s">
        <v>2220</v>
      </c>
      <c r="AH89">
        <v>21</v>
      </c>
      <c r="AI89">
        <v>35</v>
      </c>
      <c r="AJ89">
        <v>14</v>
      </c>
      <c r="AK89">
        <v>2</v>
      </c>
      <c r="AL89" t="s">
        <v>2228</v>
      </c>
      <c r="AM89">
        <v>0</v>
      </c>
      <c r="AN89" t="s">
        <v>2176</v>
      </c>
      <c r="AO89" t="s">
        <v>2176</v>
      </c>
      <c r="AP89" t="s">
        <v>2176</v>
      </c>
      <c r="AQ89">
        <v>27.6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4.2</v>
      </c>
      <c r="AY89">
        <v>4.2</v>
      </c>
      <c r="AZ89">
        <v>0</v>
      </c>
      <c r="BA89">
        <v>2</v>
      </c>
      <c r="BB89">
        <v>34</v>
      </c>
      <c r="BC89">
        <v>24</v>
      </c>
      <c r="BD89">
        <v>30.5</v>
      </c>
      <c r="BE89">
        <v>136</v>
      </c>
      <c r="BF89">
        <v>89.7</v>
      </c>
      <c r="BG89">
        <v>34</v>
      </c>
      <c r="BH89">
        <v>24</v>
      </c>
      <c r="BI89">
        <v>30.5</v>
      </c>
      <c r="BJ89">
        <v>136</v>
      </c>
      <c r="BK89">
        <v>89.7</v>
      </c>
      <c r="BL89">
        <v>136</v>
      </c>
      <c r="BM89">
        <v>1.4363999999999999</v>
      </c>
    </row>
    <row r="90" spans="1:65" x14ac:dyDescent="0.25">
      <c r="A90" t="s">
        <v>153</v>
      </c>
      <c r="B90" t="s">
        <v>1267</v>
      </c>
      <c r="C90" t="s">
        <v>2159</v>
      </c>
      <c r="D90" s="1">
        <v>45320</v>
      </c>
      <c r="E90" s="1">
        <v>45358</v>
      </c>
      <c r="F90" s="1">
        <v>45456</v>
      </c>
      <c r="G90" t="s">
        <v>2165</v>
      </c>
      <c r="H90" t="s">
        <v>2171</v>
      </c>
      <c r="I90" t="s">
        <v>2176</v>
      </c>
      <c r="J90">
        <v>22518</v>
      </c>
      <c r="K90">
        <v>676</v>
      </c>
      <c r="L90">
        <v>5.5</v>
      </c>
      <c r="M90">
        <v>6.1</v>
      </c>
      <c r="N90">
        <v>3</v>
      </c>
      <c r="O90">
        <v>5980</v>
      </c>
      <c r="P90" t="s">
        <v>2176</v>
      </c>
      <c r="Q90">
        <v>14</v>
      </c>
      <c r="R90">
        <v>20</v>
      </c>
      <c r="S90">
        <v>34</v>
      </c>
      <c r="T90">
        <v>682</v>
      </c>
      <c r="U90" t="s">
        <v>2165</v>
      </c>
      <c r="V90" t="s">
        <v>2171</v>
      </c>
      <c r="W90" t="s">
        <v>2208</v>
      </c>
      <c r="X90" t="s">
        <v>2210</v>
      </c>
      <c r="Y90" t="s">
        <v>2212</v>
      </c>
      <c r="Z90" s="1">
        <v>45448</v>
      </c>
      <c r="AA90" s="1">
        <v>45451</v>
      </c>
      <c r="AB90" t="s">
        <v>2214</v>
      </c>
      <c r="AC90" t="s">
        <v>2209</v>
      </c>
      <c r="AD90" t="s">
        <v>2216</v>
      </c>
      <c r="AE90" t="s">
        <v>2165</v>
      </c>
      <c r="AG90" t="s">
        <v>2220</v>
      </c>
      <c r="AH90">
        <v>68</v>
      </c>
      <c r="AI90">
        <v>90</v>
      </c>
      <c r="AJ90">
        <v>22</v>
      </c>
      <c r="AK90">
        <v>3</v>
      </c>
      <c r="AL90" t="s">
        <v>2227</v>
      </c>
      <c r="AM90">
        <v>0</v>
      </c>
      <c r="AN90" t="s">
        <v>2177</v>
      </c>
      <c r="AO90" t="s">
        <v>2176</v>
      </c>
      <c r="AP90" t="s">
        <v>2176</v>
      </c>
      <c r="AQ90">
        <v>33.549999999999997</v>
      </c>
      <c r="AR90">
        <v>1</v>
      </c>
      <c r="AS90">
        <v>2</v>
      </c>
      <c r="AT90">
        <v>1</v>
      </c>
      <c r="AU90">
        <v>1</v>
      </c>
      <c r="AV90">
        <v>1.333333333333333</v>
      </c>
      <c r="AW90">
        <v>4.5999999999999996</v>
      </c>
      <c r="AY90">
        <v>4.5999999999999996</v>
      </c>
      <c r="AZ90">
        <v>3</v>
      </c>
      <c r="BA90">
        <v>1</v>
      </c>
      <c r="BB90">
        <v>48</v>
      </c>
      <c r="BC90">
        <v>26</v>
      </c>
      <c r="BD90">
        <v>42.38</v>
      </c>
      <c r="BE90">
        <v>212</v>
      </c>
      <c r="BF90">
        <v>88.3</v>
      </c>
      <c r="BG90">
        <v>48</v>
      </c>
      <c r="BH90">
        <v>26</v>
      </c>
      <c r="BI90">
        <v>42.38</v>
      </c>
      <c r="BJ90">
        <v>212</v>
      </c>
      <c r="BK90">
        <v>88.3</v>
      </c>
      <c r="BL90">
        <v>212</v>
      </c>
      <c r="BM90">
        <v>4.0845000000000002</v>
      </c>
    </row>
    <row r="91" spans="1:65" x14ac:dyDescent="0.25">
      <c r="A91" t="s">
        <v>154</v>
      </c>
      <c r="B91" t="s">
        <v>1268</v>
      </c>
      <c r="C91" t="s">
        <v>2159</v>
      </c>
      <c r="D91" s="1">
        <v>45369</v>
      </c>
      <c r="E91" s="1">
        <v>45401</v>
      </c>
      <c r="F91" s="1">
        <v>45452</v>
      </c>
      <c r="G91" t="s">
        <v>2165</v>
      </c>
      <c r="H91" t="s">
        <v>2171</v>
      </c>
      <c r="I91" t="s">
        <v>2175</v>
      </c>
      <c r="J91">
        <v>12232</v>
      </c>
      <c r="K91">
        <v>367</v>
      </c>
      <c r="L91">
        <v>17.399999999999999</v>
      </c>
      <c r="M91">
        <v>16</v>
      </c>
      <c r="N91">
        <v>7</v>
      </c>
      <c r="O91">
        <v>19307</v>
      </c>
      <c r="P91" t="s">
        <v>2178</v>
      </c>
      <c r="Q91">
        <v>10</v>
      </c>
      <c r="R91">
        <v>14</v>
      </c>
      <c r="S91">
        <v>13</v>
      </c>
      <c r="T91">
        <v>944</v>
      </c>
      <c r="U91" t="s">
        <v>2165</v>
      </c>
      <c r="V91" t="s">
        <v>2171</v>
      </c>
      <c r="W91" t="s">
        <v>2208</v>
      </c>
      <c r="X91" t="s">
        <v>2210</v>
      </c>
      <c r="Y91" t="s">
        <v>2212</v>
      </c>
      <c r="Z91" s="1">
        <v>45455</v>
      </c>
      <c r="AA91" s="1">
        <v>45459</v>
      </c>
      <c r="AB91" t="s">
        <v>2215</v>
      </c>
      <c r="AC91" t="s">
        <v>2208</v>
      </c>
      <c r="AD91" t="s">
        <v>2217</v>
      </c>
      <c r="AE91" t="s">
        <v>2165</v>
      </c>
      <c r="AG91" t="s">
        <v>2220</v>
      </c>
      <c r="AH91">
        <v>37</v>
      </c>
      <c r="AI91">
        <v>54</v>
      </c>
      <c r="AJ91">
        <v>17</v>
      </c>
      <c r="AK91">
        <v>4</v>
      </c>
      <c r="AL91" t="s">
        <v>2225</v>
      </c>
      <c r="AM91">
        <v>0</v>
      </c>
      <c r="AN91" t="s">
        <v>2175</v>
      </c>
      <c r="AO91" t="s">
        <v>2175</v>
      </c>
      <c r="AP91" t="s">
        <v>2175</v>
      </c>
      <c r="AQ91">
        <v>278.39999999999998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4.5999999999999996</v>
      </c>
      <c r="AY91">
        <v>4.5999999999999996</v>
      </c>
      <c r="AZ91">
        <v>3</v>
      </c>
      <c r="BA91">
        <v>0</v>
      </c>
      <c r="BB91">
        <v>46</v>
      </c>
      <c r="BC91">
        <v>26</v>
      </c>
      <c r="BD91">
        <v>40.729999999999997</v>
      </c>
      <c r="BE91">
        <v>203</v>
      </c>
      <c r="BF91">
        <v>88.5</v>
      </c>
      <c r="BG91">
        <v>46</v>
      </c>
      <c r="BH91">
        <v>26</v>
      </c>
      <c r="BI91">
        <v>40.729999999999997</v>
      </c>
      <c r="BJ91">
        <v>203</v>
      </c>
      <c r="BK91">
        <v>88.5</v>
      </c>
      <c r="BL91">
        <v>203</v>
      </c>
      <c r="BM91">
        <v>2.3170999999999999</v>
      </c>
    </row>
    <row r="92" spans="1:65" x14ac:dyDescent="0.25">
      <c r="A92" t="s">
        <v>155</v>
      </c>
      <c r="B92" t="s">
        <v>1261</v>
      </c>
      <c r="C92" t="s">
        <v>2158</v>
      </c>
      <c r="D92" s="1">
        <v>45348</v>
      </c>
      <c r="E92" s="1">
        <v>45383</v>
      </c>
      <c r="F92" s="1">
        <v>45443</v>
      </c>
      <c r="G92" t="s">
        <v>2165</v>
      </c>
      <c r="H92" t="s">
        <v>2171</v>
      </c>
      <c r="I92" t="s">
        <v>2175</v>
      </c>
      <c r="J92">
        <v>19179</v>
      </c>
      <c r="K92">
        <v>576</v>
      </c>
      <c r="L92">
        <v>16.3</v>
      </c>
      <c r="M92">
        <v>12.1</v>
      </c>
      <c r="N92">
        <v>7</v>
      </c>
      <c r="O92">
        <v>13956</v>
      </c>
      <c r="P92" t="s">
        <v>2178</v>
      </c>
      <c r="Q92">
        <v>10</v>
      </c>
      <c r="R92">
        <v>14</v>
      </c>
      <c r="S92">
        <v>21</v>
      </c>
      <c r="T92">
        <v>956</v>
      </c>
      <c r="U92" t="s">
        <v>2165</v>
      </c>
      <c r="V92" t="s">
        <v>2171</v>
      </c>
      <c r="W92" t="s">
        <v>2208</v>
      </c>
      <c r="X92" t="s">
        <v>2210</v>
      </c>
      <c r="Y92" t="s">
        <v>2212</v>
      </c>
      <c r="Z92" s="1">
        <v>45446</v>
      </c>
      <c r="AA92" s="1">
        <v>45451</v>
      </c>
      <c r="AB92" t="s">
        <v>2215</v>
      </c>
      <c r="AC92" t="s">
        <v>2208</v>
      </c>
      <c r="AD92" t="s">
        <v>2217</v>
      </c>
      <c r="AE92" t="s">
        <v>2165</v>
      </c>
      <c r="AG92" t="s">
        <v>2220</v>
      </c>
      <c r="AH92">
        <v>45</v>
      </c>
      <c r="AI92">
        <v>63</v>
      </c>
      <c r="AJ92">
        <v>18</v>
      </c>
      <c r="AK92">
        <v>4</v>
      </c>
      <c r="AL92" t="s">
        <v>2225</v>
      </c>
      <c r="AM92">
        <v>0</v>
      </c>
      <c r="AN92" t="s">
        <v>2175</v>
      </c>
      <c r="AO92" t="s">
        <v>2175</v>
      </c>
      <c r="AP92" t="s">
        <v>2177</v>
      </c>
      <c r="AQ92">
        <v>197.23</v>
      </c>
      <c r="AR92">
        <v>3</v>
      </c>
      <c r="AS92">
        <v>3</v>
      </c>
      <c r="AT92">
        <v>3</v>
      </c>
      <c r="AU92">
        <v>2</v>
      </c>
      <c r="AV92">
        <v>2.666666666666667</v>
      </c>
      <c r="AW92">
        <v>4.5999999999999996</v>
      </c>
      <c r="AY92">
        <v>4.5999999999999996</v>
      </c>
      <c r="AZ92">
        <v>2</v>
      </c>
      <c r="BA92">
        <v>0</v>
      </c>
      <c r="BB92">
        <v>46</v>
      </c>
      <c r="BC92">
        <v>26</v>
      </c>
      <c r="BD92">
        <v>40.729999999999997</v>
      </c>
      <c r="BE92">
        <v>203</v>
      </c>
      <c r="BF92">
        <v>88.5</v>
      </c>
      <c r="BG92">
        <v>46</v>
      </c>
      <c r="BH92">
        <v>26</v>
      </c>
      <c r="BI92">
        <v>40.729999999999997</v>
      </c>
      <c r="BJ92">
        <v>203</v>
      </c>
      <c r="BK92">
        <v>88.5</v>
      </c>
      <c r="BL92">
        <v>203</v>
      </c>
      <c r="BM92">
        <v>3.6331000000000002</v>
      </c>
    </row>
    <row r="93" spans="1:65" x14ac:dyDescent="0.25">
      <c r="A93" t="s">
        <v>156</v>
      </c>
      <c r="B93" t="s">
        <v>1269</v>
      </c>
      <c r="C93" t="s">
        <v>2160</v>
      </c>
      <c r="D93" s="1">
        <v>45369</v>
      </c>
      <c r="E93" s="1">
        <v>45406</v>
      </c>
      <c r="F93" s="1">
        <v>45455</v>
      </c>
      <c r="G93" t="s">
        <v>2163</v>
      </c>
      <c r="H93" t="s">
        <v>2169</v>
      </c>
      <c r="I93" t="s">
        <v>2173</v>
      </c>
      <c r="J93">
        <v>9453</v>
      </c>
      <c r="K93">
        <v>284</v>
      </c>
      <c r="L93">
        <v>15</v>
      </c>
      <c r="M93">
        <v>9.5</v>
      </c>
      <c r="N93">
        <v>6</v>
      </c>
      <c r="O93">
        <v>11967</v>
      </c>
      <c r="P93" t="s">
        <v>2177</v>
      </c>
      <c r="Q93">
        <v>7</v>
      </c>
      <c r="R93">
        <v>10</v>
      </c>
      <c r="S93">
        <v>15</v>
      </c>
      <c r="T93">
        <v>665</v>
      </c>
      <c r="U93" t="s">
        <v>2163</v>
      </c>
      <c r="V93" t="s">
        <v>2169</v>
      </c>
      <c r="W93" t="s">
        <v>2208</v>
      </c>
      <c r="X93" t="s">
        <v>2210</v>
      </c>
      <c r="Y93" t="s">
        <v>2212</v>
      </c>
      <c r="Z93" s="1">
        <v>45454</v>
      </c>
      <c r="AA93" s="1">
        <v>45459</v>
      </c>
      <c r="AB93" t="s">
        <v>2214</v>
      </c>
      <c r="AC93" t="s">
        <v>2209</v>
      </c>
      <c r="AD93" t="s">
        <v>2216</v>
      </c>
      <c r="AE93" t="s">
        <v>2163</v>
      </c>
      <c r="AG93" t="s">
        <v>2220</v>
      </c>
      <c r="AH93">
        <v>32</v>
      </c>
      <c r="AI93">
        <v>48</v>
      </c>
      <c r="AJ93">
        <v>16</v>
      </c>
      <c r="AK93">
        <v>4</v>
      </c>
      <c r="AL93" t="s">
        <v>2225</v>
      </c>
      <c r="AM93">
        <v>0</v>
      </c>
      <c r="AN93" t="s">
        <v>2177</v>
      </c>
      <c r="AO93" t="s">
        <v>2177</v>
      </c>
      <c r="AP93" t="s">
        <v>2177</v>
      </c>
      <c r="AQ93">
        <v>142.5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4.4000000000000004</v>
      </c>
      <c r="AY93">
        <v>4.4000000000000004</v>
      </c>
      <c r="AZ93">
        <v>0</v>
      </c>
      <c r="BA93">
        <v>3</v>
      </c>
      <c r="BB93">
        <v>31</v>
      </c>
      <c r="BC93">
        <v>26</v>
      </c>
      <c r="BD93">
        <v>27.23</v>
      </c>
      <c r="BE93">
        <v>132</v>
      </c>
      <c r="BF93">
        <v>87.8</v>
      </c>
      <c r="BG93">
        <v>31</v>
      </c>
      <c r="BH93">
        <v>26</v>
      </c>
      <c r="BI93">
        <v>27.23</v>
      </c>
      <c r="BJ93">
        <v>132</v>
      </c>
      <c r="BK93">
        <v>87.8</v>
      </c>
      <c r="BL93">
        <v>132</v>
      </c>
      <c r="BM93">
        <v>2.7536</v>
      </c>
    </row>
    <row r="94" spans="1:65" x14ac:dyDescent="0.25">
      <c r="A94" t="s">
        <v>157</v>
      </c>
      <c r="B94" t="s">
        <v>1270</v>
      </c>
      <c r="C94" t="s">
        <v>2157</v>
      </c>
      <c r="D94" s="1">
        <v>45369</v>
      </c>
      <c r="E94" s="1">
        <v>45399</v>
      </c>
      <c r="F94" s="1">
        <v>45558</v>
      </c>
      <c r="G94" t="s">
        <v>2166</v>
      </c>
      <c r="H94" t="s">
        <v>2172</v>
      </c>
      <c r="I94" t="s">
        <v>2176</v>
      </c>
      <c r="J94">
        <v>40529</v>
      </c>
      <c r="K94">
        <v>1216</v>
      </c>
      <c r="L94">
        <v>7.8</v>
      </c>
      <c r="M94">
        <v>10.8</v>
      </c>
      <c r="N94">
        <v>2</v>
      </c>
      <c r="O94">
        <v>8094</v>
      </c>
      <c r="P94" t="s">
        <v>2176</v>
      </c>
      <c r="Q94">
        <v>18</v>
      </c>
      <c r="R94">
        <v>30</v>
      </c>
      <c r="S94">
        <v>72</v>
      </c>
      <c r="T94">
        <v>566</v>
      </c>
      <c r="U94" t="s">
        <v>2161</v>
      </c>
      <c r="V94" t="s">
        <v>2167</v>
      </c>
      <c r="W94" t="s">
        <v>2209</v>
      </c>
      <c r="X94" t="s">
        <v>2211</v>
      </c>
      <c r="Y94" t="s">
        <v>2212</v>
      </c>
      <c r="Z94" s="1">
        <v>45550</v>
      </c>
      <c r="AA94" s="1">
        <v>45550</v>
      </c>
      <c r="AB94" t="s">
        <v>2214</v>
      </c>
      <c r="AC94" t="s">
        <v>2209</v>
      </c>
      <c r="AD94" t="s">
        <v>2218</v>
      </c>
      <c r="AE94" t="s">
        <v>2161</v>
      </c>
      <c r="AG94" t="s">
        <v>2221</v>
      </c>
      <c r="AH94">
        <v>120</v>
      </c>
      <c r="AI94">
        <v>151</v>
      </c>
      <c r="AJ94">
        <v>31</v>
      </c>
      <c r="AK94">
        <v>4</v>
      </c>
      <c r="AL94" t="s">
        <v>2225</v>
      </c>
      <c r="AM94">
        <v>0</v>
      </c>
      <c r="AN94" t="s">
        <v>2177</v>
      </c>
      <c r="AO94" t="s">
        <v>2176</v>
      </c>
      <c r="AP94" t="s">
        <v>2177</v>
      </c>
      <c r="AQ94">
        <v>84.240000000000009</v>
      </c>
      <c r="AR94">
        <v>1</v>
      </c>
      <c r="AS94">
        <v>2</v>
      </c>
      <c r="AT94">
        <v>1</v>
      </c>
      <c r="AU94">
        <v>2</v>
      </c>
      <c r="AV94">
        <v>1.666666666666667</v>
      </c>
      <c r="AW94">
        <v>4.3</v>
      </c>
      <c r="AY94">
        <v>4.8</v>
      </c>
      <c r="AZ94">
        <v>1</v>
      </c>
      <c r="BA94">
        <v>1</v>
      </c>
      <c r="BB94">
        <v>32</v>
      </c>
      <c r="BC94">
        <v>26</v>
      </c>
      <c r="BD94">
        <v>28.46</v>
      </c>
      <c r="BE94">
        <v>138</v>
      </c>
      <c r="BF94">
        <v>88.9</v>
      </c>
      <c r="BG94">
        <v>45</v>
      </c>
      <c r="BH94">
        <v>26</v>
      </c>
      <c r="BI94">
        <v>40.270000000000003</v>
      </c>
      <c r="BJ94">
        <v>199</v>
      </c>
      <c r="BK94">
        <v>89.5</v>
      </c>
      <c r="BL94">
        <v>138</v>
      </c>
      <c r="BM94">
        <v>11.2926</v>
      </c>
    </row>
    <row r="95" spans="1:65" x14ac:dyDescent="0.25">
      <c r="A95" t="s">
        <v>158</v>
      </c>
      <c r="B95" t="s">
        <v>1271</v>
      </c>
      <c r="C95" t="s">
        <v>2160</v>
      </c>
      <c r="D95" s="1">
        <v>45383</v>
      </c>
      <c r="E95" s="1">
        <v>45416</v>
      </c>
      <c r="F95" s="1">
        <v>45464</v>
      </c>
      <c r="G95" t="s">
        <v>2164</v>
      </c>
      <c r="H95" t="s">
        <v>2170</v>
      </c>
      <c r="I95" t="s">
        <v>2174</v>
      </c>
      <c r="J95">
        <v>4947</v>
      </c>
      <c r="K95">
        <v>149</v>
      </c>
      <c r="L95">
        <v>5</v>
      </c>
      <c r="M95">
        <v>6.5</v>
      </c>
      <c r="N95">
        <v>4</v>
      </c>
      <c r="O95">
        <v>4221</v>
      </c>
      <c r="P95" t="s">
        <v>2176</v>
      </c>
      <c r="Q95">
        <v>5</v>
      </c>
      <c r="R95">
        <v>8</v>
      </c>
      <c r="S95">
        <v>10</v>
      </c>
      <c r="T95">
        <v>524</v>
      </c>
      <c r="U95" t="s">
        <v>2164</v>
      </c>
      <c r="V95" t="s">
        <v>2170</v>
      </c>
      <c r="W95" t="s">
        <v>2208</v>
      </c>
      <c r="X95" t="s">
        <v>2210</v>
      </c>
      <c r="Y95" t="s">
        <v>2212</v>
      </c>
      <c r="Z95" s="1">
        <v>45454</v>
      </c>
      <c r="AA95" s="1">
        <v>45459</v>
      </c>
      <c r="AB95" t="s">
        <v>2214</v>
      </c>
      <c r="AC95" t="s">
        <v>2209</v>
      </c>
      <c r="AD95" t="s">
        <v>2216</v>
      </c>
      <c r="AE95" t="s">
        <v>2164</v>
      </c>
      <c r="AG95" t="s">
        <v>2220</v>
      </c>
      <c r="AH95">
        <v>23</v>
      </c>
      <c r="AI95">
        <v>38</v>
      </c>
      <c r="AJ95">
        <v>15</v>
      </c>
      <c r="AK95">
        <v>5</v>
      </c>
      <c r="AL95" t="s">
        <v>2224</v>
      </c>
      <c r="AM95">
        <v>0</v>
      </c>
      <c r="AN95" t="s">
        <v>2176</v>
      </c>
      <c r="AO95" t="s">
        <v>2177</v>
      </c>
      <c r="AP95" t="s">
        <v>2176</v>
      </c>
      <c r="AQ95">
        <v>32.5</v>
      </c>
      <c r="AR95">
        <v>1</v>
      </c>
      <c r="AS95">
        <v>1</v>
      </c>
      <c r="AT95">
        <v>2</v>
      </c>
      <c r="AU95">
        <v>1</v>
      </c>
      <c r="AV95">
        <v>1.333333333333333</v>
      </c>
      <c r="AW95">
        <v>4.5</v>
      </c>
      <c r="AY95">
        <v>4.5</v>
      </c>
      <c r="AZ95">
        <v>0</v>
      </c>
      <c r="BA95">
        <v>2</v>
      </c>
      <c r="BB95">
        <v>35</v>
      </c>
      <c r="BC95">
        <v>27</v>
      </c>
      <c r="BD95">
        <v>30.96</v>
      </c>
      <c r="BE95">
        <v>158</v>
      </c>
      <c r="BF95">
        <v>88.5</v>
      </c>
      <c r="BG95">
        <v>35</v>
      </c>
      <c r="BH95">
        <v>27</v>
      </c>
      <c r="BI95">
        <v>30.96</v>
      </c>
      <c r="BJ95">
        <v>158</v>
      </c>
      <c r="BK95">
        <v>88.5</v>
      </c>
      <c r="BL95">
        <v>158</v>
      </c>
      <c r="BM95">
        <v>1.1594</v>
      </c>
    </row>
    <row r="96" spans="1:65" x14ac:dyDescent="0.25">
      <c r="A96" t="s">
        <v>159</v>
      </c>
      <c r="B96" t="s">
        <v>1272</v>
      </c>
      <c r="C96" t="s">
        <v>2159</v>
      </c>
      <c r="D96" s="1">
        <v>45334</v>
      </c>
      <c r="E96" s="1">
        <v>45374</v>
      </c>
      <c r="F96" s="1">
        <v>45482</v>
      </c>
      <c r="G96" t="s">
        <v>2162</v>
      </c>
      <c r="H96" t="s">
        <v>2168</v>
      </c>
      <c r="I96" t="s">
        <v>2174</v>
      </c>
      <c r="J96">
        <v>25543</v>
      </c>
      <c r="K96">
        <v>767</v>
      </c>
      <c r="L96">
        <v>6.5</v>
      </c>
      <c r="M96">
        <v>6.9</v>
      </c>
      <c r="N96">
        <v>3</v>
      </c>
      <c r="O96">
        <v>3285</v>
      </c>
      <c r="P96" t="s">
        <v>2176</v>
      </c>
      <c r="Q96">
        <v>14</v>
      </c>
      <c r="R96">
        <v>20</v>
      </c>
      <c r="S96">
        <v>41</v>
      </c>
      <c r="T96">
        <v>631</v>
      </c>
      <c r="U96" t="s">
        <v>2164</v>
      </c>
      <c r="V96" t="s">
        <v>2170</v>
      </c>
      <c r="W96" t="s">
        <v>2209</v>
      </c>
      <c r="X96" t="s">
        <v>2211</v>
      </c>
      <c r="Y96" t="s">
        <v>2212</v>
      </c>
      <c r="Z96" s="1">
        <v>45472</v>
      </c>
      <c r="AA96" s="1">
        <v>45472</v>
      </c>
      <c r="AB96" t="s">
        <v>2214</v>
      </c>
      <c r="AC96" t="s">
        <v>2209</v>
      </c>
      <c r="AD96" t="s">
        <v>2218</v>
      </c>
      <c r="AE96" t="s">
        <v>2164</v>
      </c>
      <c r="AG96" t="s">
        <v>2221</v>
      </c>
      <c r="AH96">
        <v>75</v>
      </c>
      <c r="AI96">
        <v>98</v>
      </c>
      <c r="AJ96">
        <v>23</v>
      </c>
      <c r="AK96">
        <v>3</v>
      </c>
      <c r="AL96" t="s">
        <v>2227</v>
      </c>
      <c r="AM96">
        <v>0</v>
      </c>
      <c r="AN96" t="s">
        <v>2177</v>
      </c>
      <c r="AO96" t="s">
        <v>2176</v>
      </c>
      <c r="AP96" t="s">
        <v>2176</v>
      </c>
      <c r="AQ96">
        <v>44.85</v>
      </c>
      <c r="AR96">
        <v>1</v>
      </c>
      <c r="AS96">
        <v>2</v>
      </c>
      <c r="AT96">
        <v>1</v>
      </c>
      <c r="AU96">
        <v>1</v>
      </c>
      <c r="AV96">
        <v>1.333333333333333</v>
      </c>
      <c r="AW96">
        <v>4.5</v>
      </c>
      <c r="AY96">
        <v>4.2</v>
      </c>
      <c r="AZ96">
        <v>3</v>
      </c>
      <c r="BA96">
        <v>2</v>
      </c>
      <c r="BB96">
        <v>30</v>
      </c>
      <c r="BC96">
        <v>26</v>
      </c>
      <c r="BD96">
        <v>26.31</v>
      </c>
      <c r="BE96">
        <v>128</v>
      </c>
      <c r="BF96">
        <v>87.7</v>
      </c>
      <c r="BG96">
        <v>31</v>
      </c>
      <c r="BH96">
        <v>26</v>
      </c>
      <c r="BI96">
        <v>27.27</v>
      </c>
      <c r="BJ96">
        <v>130</v>
      </c>
      <c r="BK96">
        <v>88</v>
      </c>
      <c r="BL96">
        <v>128</v>
      </c>
      <c r="BM96">
        <v>7.6729000000000003</v>
      </c>
    </row>
    <row r="97" spans="1:65" x14ac:dyDescent="0.25">
      <c r="A97" t="s">
        <v>160</v>
      </c>
      <c r="B97" t="s">
        <v>1264</v>
      </c>
      <c r="C97" t="s">
        <v>2160</v>
      </c>
      <c r="D97" s="1">
        <v>45453</v>
      </c>
      <c r="E97" s="1">
        <v>45486</v>
      </c>
      <c r="F97" s="1">
        <v>45527</v>
      </c>
      <c r="G97" t="s">
        <v>2163</v>
      </c>
      <c r="H97" t="s">
        <v>2169</v>
      </c>
      <c r="I97" t="s">
        <v>2175</v>
      </c>
      <c r="J97">
        <v>9475</v>
      </c>
      <c r="K97">
        <v>285</v>
      </c>
      <c r="L97">
        <v>19</v>
      </c>
      <c r="M97">
        <v>18.5</v>
      </c>
      <c r="N97">
        <v>9</v>
      </c>
      <c r="O97">
        <v>17353</v>
      </c>
      <c r="P97" t="s">
        <v>2178</v>
      </c>
      <c r="Q97">
        <v>7</v>
      </c>
      <c r="R97">
        <v>10</v>
      </c>
      <c r="S97">
        <v>10</v>
      </c>
      <c r="T97">
        <v>977</v>
      </c>
      <c r="U97" t="s">
        <v>2163</v>
      </c>
      <c r="V97" t="s">
        <v>2169</v>
      </c>
      <c r="W97" t="s">
        <v>2208</v>
      </c>
      <c r="X97" t="s">
        <v>2210</v>
      </c>
      <c r="Y97" t="s">
        <v>2212</v>
      </c>
      <c r="Z97" s="1">
        <v>45529</v>
      </c>
      <c r="AA97" s="1">
        <v>45529</v>
      </c>
      <c r="AB97" t="s">
        <v>2215</v>
      </c>
      <c r="AC97" t="s">
        <v>2208</v>
      </c>
      <c r="AD97" t="s">
        <v>2217</v>
      </c>
      <c r="AE97" t="s">
        <v>2163</v>
      </c>
      <c r="AG97" t="s">
        <v>2220</v>
      </c>
      <c r="AH97">
        <v>27</v>
      </c>
      <c r="AI97">
        <v>43</v>
      </c>
      <c r="AJ97">
        <v>16</v>
      </c>
      <c r="AK97">
        <v>7</v>
      </c>
      <c r="AL97" t="s">
        <v>2226</v>
      </c>
      <c r="AM97">
        <v>0</v>
      </c>
      <c r="AN97" t="s">
        <v>2175</v>
      </c>
      <c r="AO97" t="s">
        <v>2175</v>
      </c>
      <c r="AP97" t="s">
        <v>2175</v>
      </c>
      <c r="AQ97">
        <v>351.5</v>
      </c>
      <c r="AR97">
        <v>3</v>
      </c>
      <c r="AS97">
        <v>3</v>
      </c>
      <c r="AT97">
        <v>3</v>
      </c>
      <c r="AU97">
        <v>3</v>
      </c>
      <c r="AV97">
        <v>3</v>
      </c>
      <c r="AW97">
        <v>4.4000000000000004</v>
      </c>
      <c r="AY97">
        <v>4.4000000000000004</v>
      </c>
      <c r="AZ97">
        <v>0</v>
      </c>
      <c r="BA97">
        <v>0</v>
      </c>
      <c r="BB97">
        <v>33</v>
      </c>
      <c r="BC97">
        <v>27</v>
      </c>
      <c r="BD97">
        <v>28.89</v>
      </c>
      <c r="BE97">
        <v>145</v>
      </c>
      <c r="BF97">
        <v>87.5</v>
      </c>
      <c r="BG97">
        <v>33</v>
      </c>
      <c r="BH97">
        <v>27</v>
      </c>
      <c r="BI97">
        <v>28.89</v>
      </c>
      <c r="BJ97">
        <v>145</v>
      </c>
      <c r="BK97">
        <v>87.5</v>
      </c>
      <c r="BL97">
        <v>145</v>
      </c>
      <c r="BM97">
        <v>2.4196</v>
      </c>
    </row>
    <row r="98" spans="1:65" x14ac:dyDescent="0.25">
      <c r="A98" t="s">
        <v>161</v>
      </c>
      <c r="B98" t="s">
        <v>1273</v>
      </c>
      <c r="C98" t="s">
        <v>2158</v>
      </c>
      <c r="D98" s="1">
        <v>45348</v>
      </c>
      <c r="E98" s="1">
        <v>45380</v>
      </c>
      <c r="F98" s="1">
        <v>45451</v>
      </c>
      <c r="G98" t="s">
        <v>2163</v>
      </c>
      <c r="H98" t="s">
        <v>2169</v>
      </c>
      <c r="I98" t="s">
        <v>2176</v>
      </c>
      <c r="J98">
        <v>13469</v>
      </c>
      <c r="K98">
        <v>405</v>
      </c>
      <c r="L98">
        <v>10.5</v>
      </c>
      <c r="M98">
        <v>5.3</v>
      </c>
      <c r="N98">
        <v>2</v>
      </c>
      <c r="O98">
        <v>9665</v>
      </c>
      <c r="P98" t="s">
        <v>2176</v>
      </c>
      <c r="Q98">
        <v>10</v>
      </c>
      <c r="R98">
        <v>14</v>
      </c>
      <c r="S98">
        <v>21</v>
      </c>
      <c r="T98">
        <v>650</v>
      </c>
      <c r="U98" t="s">
        <v>2161</v>
      </c>
      <c r="V98" t="s">
        <v>2167</v>
      </c>
      <c r="W98" t="s">
        <v>2209</v>
      </c>
      <c r="X98" t="s">
        <v>2211</v>
      </c>
      <c r="Y98" t="s">
        <v>2212</v>
      </c>
      <c r="Z98" s="1">
        <v>45444</v>
      </c>
      <c r="AA98" s="1">
        <v>45444</v>
      </c>
      <c r="AB98" t="s">
        <v>2214</v>
      </c>
      <c r="AC98" t="s">
        <v>2209</v>
      </c>
      <c r="AD98" t="s">
        <v>2218</v>
      </c>
      <c r="AE98" t="s">
        <v>2161</v>
      </c>
      <c r="AG98" t="s">
        <v>2221</v>
      </c>
      <c r="AH98">
        <v>45</v>
      </c>
      <c r="AI98">
        <v>64</v>
      </c>
      <c r="AJ98">
        <v>19</v>
      </c>
      <c r="AK98">
        <v>3</v>
      </c>
      <c r="AL98" t="s">
        <v>2227</v>
      </c>
      <c r="AM98">
        <v>0</v>
      </c>
      <c r="AN98" t="s">
        <v>2177</v>
      </c>
      <c r="AO98" t="s">
        <v>2176</v>
      </c>
      <c r="AP98" t="s">
        <v>2177</v>
      </c>
      <c r="AQ98">
        <v>55.65</v>
      </c>
      <c r="AR98">
        <v>1</v>
      </c>
      <c r="AS98">
        <v>2</v>
      </c>
      <c r="AT98">
        <v>1</v>
      </c>
      <c r="AU98">
        <v>2</v>
      </c>
      <c r="AV98">
        <v>1.666666666666667</v>
      </c>
      <c r="AW98">
        <v>4.3</v>
      </c>
      <c r="AY98">
        <v>4.4000000000000004</v>
      </c>
      <c r="AZ98">
        <v>2</v>
      </c>
      <c r="BA98">
        <v>1</v>
      </c>
      <c r="BB98">
        <v>38</v>
      </c>
      <c r="BC98">
        <v>26</v>
      </c>
      <c r="BD98">
        <v>33.729999999999997</v>
      </c>
      <c r="BE98">
        <v>164</v>
      </c>
      <c r="BF98">
        <v>88.8</v>
      </c>
      <c r="BG98">
        <v>35</v>
      </c>
      <c r="BH98">
        <v>26</v>
      </c>
      <c r="BI98">
        <v>31.08</v>
      </c>
      <c r="BJ98">
        <v>149</v>
      </c>
      <c r="BK98">
        <v>88.8</v>
      </c>
      <c r="BL98">
        <v>164</v>
      </c>
      <c r="BM98">
        <v>3.1579999999999999</v>
      </c>
    </row>
    <row r="99" spans="1:65" x14ac:dyDescent="0.25">
      <c r="A99" t="s">
        <v>162</v>
      </c>
      <c r="B99" t="s">
        <v>1274</v>
      </c>
      <c r="C99" t="s">
        <v>2157</v>
      </c>
      <c r="D99" s="1">
        <v>45453</v>
      </c>
      <c r="E99" s="1">
        <v>45484</v>
      </c>
      <c r="F99" s="1">
        <v>45654</v>
      </c>
      <c r="G99" t="s">
        <v>2162</v>
      </c>
      <c r="H99" t="s">
        <v>2168</v>
      </c>
      <c r="I99" t="s">
        <v>2176</v>
      </c>
      <c r="J99">
        <v>50013</v>
      </c>
      <c r="K99">
        <v>1501</v>
      </c>
      <c r="L99">
        <v>5.2</v>
      </c>
      <c r="M99">
        <v>5.4</v>
      </c>
      <c r="N99">
        <v>2</v>
      </c>
      <c r="O99">
        <v>6279</v>
      </c>
      <c r="P99" t="s">
        <v>2176</v>
      </c>
      <c r="Q99">
        <v>18</v>
      </c>
      <c r="R99">
        <v>30</v>
      </c>
      <c r="S99">
        <v>82</v>
      </c>
      <c r="T99">
        <v>615</v>
      </c>
      <c r="U99" t="s">
        <v>2162</v>
      </c>
      <c r="V99" t="s">
        <v>2168</v>
      </c>
      <c r="W99" t="s">
        <v>2208</v>
      </c>
      <c r="X99" t="s">
        <v>2210</v>
      </c>
      <c r="Y99" t="s">
        <v>2212</v>
      </c>
      <c r="Z99" s="1">
        <v>45646</v>
      </c>
      <c r="AA99" s="1">
        <v>45648</v>
      </c>
      <c r="AB99" t="s">
        <v>2214</v>
      </c>
      <c r="AC99" t="s">
        <v>2209</v>
      </c>
      <c r="AD99" t="s">
        <v>2216</v>
      </c>
      <c r="AE99" t="s">
        <v>2162</v>
      </c>
      <c r="AG99" t="s">
        <v>2220</v>
      </c>
      <c r="AH99">
        <v>130</v>
      </c>
      <c r="AI99">
        <v>162</v>
      </c>
      <c r="AJ99">
        <v>32</v>
      </c>
      <c r="AK99">
        <v>7</v>
      </c>
      <c r="AL99" t="s">
        <v>2226</v>
      </c>
      <c r="AM99">
        <v>0</v>
      </c>
      <c r="AN99" t="s">
        <v>2177</v>
      </c>
      <c r="AO99" t="s">
        <v>2176</v>
      </c>
      <c r="AP99" t="s">
        <v>2176</v>
      </c>
      <c r="AQ99">
        <v>28.08</v>
      </c>
      <c r="AR99">
        <v>1</v>
      </c>
      <c r="AS99">
        <v>2</v>
      </c>
      <c r="AT99">
        <v>1</v>
      </c>
      <c r="AU99">
        <v>1</v>
      </c>
      <c r="AV99">
        <v>1.333333333333333</v>
      </c>
      <c r="AW99">
        <v>4.2</v>
      </c>
      <c r="AY99">
        <v>4.2</v>
      </c>
      <c r="AZ99">
        <v>1</v>
      </c>
      <c r="BA99">
        <v>1</v>
      </c>
      <c r="BB99">
        <v>30</v>
      </c>
      <c r="BC99">
        <v>27</v>
      </c>
      <c r="BD99">
        <v>26.15</v>
      </c>
      <c r="BE99">
        <v>133</v>
      </c>
      <c r="BF99">
        <v>87.2</v>
      </c>
      <c r="BG99">
        <v>30</v>
      </c>
      <c r="BH99">
        <v>27</v>
      </c>
      <c r="BI99">
        <v>26.15</v>
      </c>
      <c r="BJ99">
        <v>133</v>
      </c>
      <c r="BK99">
        <v>87.2</v>
      </c>
      <c r="BL99">
        <v>133</v>
      </c>
      <c r="BM99">
        <v>13.923400000000001</v>
      </c>
    </row>
    <row r="100" spans="1:65" x14ac:dyDescent="0.25">
      <c r="A100" t="s">
        <v>163</v>
      </c>
      <c r="B100" t="s">
        <v>1275</v>
      </c>
      <c r="C100" t="s">
        <v>2160</v>
      </c>
      <c r="D100" s="1">
        <v>45453</v>
      </c>
      <c r="E100" s="1">
        <v>45484</v>
      </c>
      <c r="F100" s="1">
        <v>45544</v>
      </c>
      <c r="G100" t="s">
        <v>2162</v>
      </c>
      <c r="H100" t="s">
        <v>2168</v>
      </c>
      <c r="I100" t="s">
        <v>2174</v>
      </c>
      <c r="J100">
        <v>6063</v>
      </c>
      <c r="K100">
        <v>182</v>
      </c>
      <c r="L100">
        <v>3.6</v>
      </c>
      <c r="M100">
        <v>2.2000000000000002</v>
      </c>
      <c r="N100">
        <v>3</v>
      </c>
      <c r="O100">
        <v>1460</v>
      </c>
      <c r="P100" t="s">
        <v>2176</v>
      </c>
      <c r="Q100">
        <v>7</v>
      </c>
      <c r="R100">
        <v>10</v>
      </c>
      <c r="S100">
        <v>12</v>
      </c>
      <c r="T100">
        <v>538</v>
      </c>
      <c r="U100" t="s">
        <v>2164</v>
      </c>
      <c r="V100" t="s">
        <v>2170</v>
      </c>
      <c r="W100" t="s">
        <v>2209</v>
      </c>
      <c r="X100" t="s">
        <v>2211</v>
      </c>
      <c r="Y100" t="s">
        <v>2212</v>
      </c>
      <c r="Z100" s="1">
        <v>45529</v>
      </c>
      <c r="AA100" s="1">
        <v>45529</v>
      </c>
      <c r="AB100" t="s">
        <v>2214</v>
      </c>
      <c r="AC100" t="s">
        <v>2209</v>
      </c>
      <c r="AD100" t="s">
        <v>2218</v>
      </c>
      <c r="AE100" t="s">
        <v>2164</v>
      </c>
      <c r="AG100" t="s">
        <v>2221</v>
      </c>
      <c r="AH100">
        <v>29</v>
      </c>
      <c r="AI100">
        <v>45</v>
      </c>
      <c r="AJ100">
        <v>16</v>
      </c>
      <c r="AK100">
        <v>7</v>
      </c>
      <c r="AL100" t="s">
        <v>2226</v>
      </c>
      <c r="AM100">
        <v>0</v>
      </c>
      <c r="AN100" t="s">
        <v>2176</v>
      </c>
      <c r="AO100" t="s">
        <v>2176</v>
      </c>
      <c r="AP100" t="s">
        <v>2176</v>
      </c>
      <c r="AQ100">
        <v>7.9200000000000008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4.5</v>
      </c>
      <c r="AY100">
        <v>4.2</v>
      </c>
      <c r="AZ100">
        <v>0</v>
      </c>
      <c r="BA100">
        <v>2</v>
      </c>
      <c r="BB100">
        <v>29</v>
      </c>
      <c r="BC100">
        <v>27</v>
      </c>
      <c r="BD100">
        <v>25.96</v>
      </c>
      <c r="BE100">
        <v>130</v>
      </c>
      <c r="BF100">
        <v>89.5</v>
      </c>
      <c r="BG100">
        <v>30</v>
      </c>
      <c r="BH100">
        <v>27</v>
      </c>
      <c r="BI100">
        <v>26.15</v>
      </c>
      <c r="BJ100">
        <v>133</v>
      </c>
      <c r="BK100">
        <v>87.2</v>
      </c>
      <c r="BL100">
        <v>130</v>
      </c>
      <c r="BM100">
        <v>1.7269000000000001</v>
      </c>
    </row>
    <row r="101" spans="1:65" x14ac:dyDescent="0.25">
      <c r="A101" t="s">
        <v>164</v>
      </c>
      <c r="B101" t="s">
        <v>1276</v>
      </c>
      <c r="C101" t="s">
        <v>2160</v>
      </c>
      <c r="D101" s="1">
        <v>45355</v>
      </c>
      <c r="E101" s="1">
        <v>45397</v>
      </c>
      <c r="F101" s="1">
        <v>45438</v>
      </c>
      <c r="G101" t="s">
        <v>2164</v>
      </c>
      <c r="H101" t="s">
        <v>2170</v>
      </c>
      <c r="I101" t="s">
        <v>2173</v>
      </c>
      <c r="J101">
        <v>6396</v>
      </c>
      <c r="K101">
        <v>192</v>
      </c>
      <c r="L101">
        <v>7.6</v>
      </c>
      <c r="M101">
        <v>10.6</v>
      </c>
      <c r="N101">
        <v>3</v>
      </c>
      <c r="O101">
        <v>8101</v>
      </c>
      <c r="P101" t="s">
        <v>2176</v>
      </c>
      <c r="Q101">
        <v>7</v>
      </c>
      <c r="R101">
        <v>10</v>
      </c>
      <c r="S101">
        <v>8</v>
      </c>
      <c r="T101">
        <v>834</v>
      </c>
      <c r="U101" t="s">
        <v>2164</v>
      </c>
      <c r="V101" t="s">
        <v>2170</v>
      </c>
      <c r="W101" t="s">
        <v>2208</v>
      </c>
      <c r="X101" t="s">
        <v>2210</v>
      </c>
      <c r="Y101" t="s">
        <v>2212</v>
      </c>
      <c r="Z101" s="1">
        <v>45436</v>
      </c>
      <c r="AA101" s="1">
        <v>45438</v>
      </c>
      <c r="AB101" t="s">
        <v>2214</v>
      </c>
      <c r="AC101" t="s">
        <v>2209</v>
      </c>
      <c r="AD101" t="s">
        <v>2216</v>
      </c>
      <c r="AE101" t="s">
        <v>2164</v>
      </c>
      <c r="AG101" t="s">
        <v>2220</v>
      </c>
      <c r="AH101">
        <v>25</v>
      </c>
      <c r="AI101">
        <v>39</v>
      </c>
      <c r="AJ101">
        <v>14</v>
      </c>
      <c r="AK101">
        <v>4</v>
      </c>
      <c r="AL101" t="s">
        <v>2225</v>
      </c>
      <c r="AM101">
        <v>0</v>
      </c>
      <c r="AN101" t="s">
        <v>2177</v>
      </c>
      <c r="AO101" t="s">
        <v>2176</v>
      </c>
      <c r="AP101" t="s">
        <v>2177</v>
      </c>
      <c r="AQ101">
        <v>80.559999999999988</v>
      </c>
      <c r="AR101">
        <v>1</v>
      </c>
      <c r="AS101">
        <v>2</v>
      </c>
      <c r="AT101">
        <v>1</v>
      </c>
      <c r="AU101">
        <v>2</v>
      </c>
      <c r="AV101">
        <v>1.666666666666667</v>
      </c>
      <c r="AW101">
        <v>4.5</v>
      </c>
      <c r="AY101">
        <v>4.5</v>
      </c>
      <c r="AZ101">
        <v>0</v>
      </c>
      <c r="BA101">
        <v>3</v>
      </c>
      <c r="BB101">
        <v>30</v>
      </c>
      <c r="BC101">
        <v>26</v>
      </c>
      <c r="BD101">
        <v>26.42</v>
      </c>
      <c r="BE101">
        <v>126</v>
      </c>
      <c r="BF101">
        <v>88.1</v>
      </c>
      <c r="BG101">
        <v>30</v>
      </c>
      <c r="BH101">
        <v>26</v>
      </c>
      <c r="BI101">
        <v>26.42</v>
      </c>
      <c r="BJ101">
        <v>126</v>
      </c>
      <c r="BK101">
        <v>88.1</v>
      </c>
      <c r="BL101">
        <v>126</v>
      </c>
      <c r="BM101">
        <v>1.9518</v>
      </c>
    </row>
    <row r="102" spans="1:65" x14ac:dyDescent="0.25">
      <c r="A102" t="s">
        <v>165</v>
      </c>
      <c r="B102" t="s">
        <v>1277</v>
      </c>
      <c r="C102" t="s">
        <v>2159</v>
      </c>
      <c r="D102" s="1">
        <v>45425</v>
      </c>
      <c r="E102" s="1">
        <v>45470</v>
      </c>
      <c r="F102" s="1">
        <v>45560</v>
      </c>
      <c r="G102" t="s">
        <v>2165</v>
      </c>
      <c r="H102" t="s">
        <v>2171</v>
      </c>
      <c r="I102" t="s">
        <v>2173</v>
      </c>
      <c r="J102">
        <v>22186</v>
      </c>
      <c r="K102">
        <v>666</v>
      </c>
      <c r="L102">
        <v>14.3</v>
      </c>
      <c r="M102">
        <v>6.9</v>
      </c>
      <c r="N102">
        <v>4</v>
      </c>
      <c r="O102">
        <v>12845</v>
      </c>
      <c r="P102" t="s">
        <v>2177</v>
      </c>
      <c r="Q102">
        <v>14</v>
      </c>
      <c r="R102">
        <v>20</v>
      </c>
      <c r="S102">
        <v>31</v>
      </c>
      <c r="T102">
        <v>737</v>
      </c>
      <c r="U102" t="s">
        <v>2165</v>
      </c>
      <c r="V102" t="s">
        <v>2171</v>
      </c>
      <c r="W102" t="s">
        <v>2208</v>
      </c>
      <c r="X102" t="s">
        <v>2210</v>
      </c>
      <c r="Y102" t="s">
        <v>2212</v>
      </c>
      <c r="Z102" s="1">
        <v>45557</v>
      </c>
      <c r="AA102" s="1">
        <v>45557</v>
      </c>
      <c r="AB102" t="s">
        <v>2214</v>
      </c>
      <c r="AC102" t="s">
        <v>2209</v>
      </c>
      <c r="AD102" t="s">
        <v>2216</v>
      </c>
      <c r="AE102" t="s">
        <v>2165</v>
      </c>
      <c r="AG102" t="s">
        <v>2220</v>
      </c>
      <c r="AH102">
        <v>65</v>
      </c>
      <c r="AI102">
        <v>87</v>
      </c>
      <c r="AJ102">
        <v>22</v>
      </c>
      <c r="AK102">
        <v>6</v>
      </c>
      <c r="AL102" t="s">
        <v>2223</v>
      </c>
      <c r="AM102">
        <v>0</v>
      </c>
      <c r="AN102" t="s">
        <v>2177</v>
      </c>
      <c r="AO102" t="s">
        <v>2177</v>
      </c>
      <c r="AP102" t="s">
        <v>2177</v>
      </c>
      <c r="AQ102">
        <v>98.670000000000016</v>
      </c>
      <c r="AR102">
        <v>2</v>
      </c>
      <c r="AS102">
        <v>2</v>
      </c>
      <c r="AT102">
        <v>2</v>
      </c>
      <c r="AU102">
        <v>2</v>
      </c>
      <c r="AV102">
        <v>2</v>
      </c>
      <c r="AW102">
        <v>4.5999999999999996</v>
      </c>
      <c r="AY102">
        <v>4.5999999999999996</v>
      </c>
      <c r="AZ102">
        <v>3</v>
      </c>
      <c r="BA102">
        <v>3</v>
      </c>
      <c r="BB102">
        <v>40</v>
      </c>
      <c r="BC102">
        <v>25</v>
      </c>
      <c r="BD102">
        <v>34.72</v>
      </c>
      <c r="BE102">
        <v>161</v>
      </c>
      <c r="BF102">
        <v>86.8</v>
      </c>
      <c r="BG102">
        <v>40</v>
      </c>
      <c r="BH102">
        <v>25</v>
      </c>
      <c r="BI102">
        <v>34.72</v>
      </c>
      <c r="BJ102">
        <v>161</v>
      </c>
      <c r="BK102">
        <v>86.8</v>
      </c>
      <c r="BL102">
        <v>161</v>
      </c>
      <c r="BM102">
        <v>5.5106999999999999</v>
      </c>
    </row>
    <row r="103" spans="1:65" x14ac:dyDescent="0.25">
      <c r="A103" t="s">
        <v>166</v>
      </c>
      <c r="B103" t="s">
        <v>1278</v>
      </c>
      <c r="C103" t="s">
        <v>2160</v>
      </c>
      <c r="D103" s="1">
        <v>45425</v>
      </c>
      <c r="E103" s="1">
        <v>45462</v>
      </c>
      <c r="F103" s="1">
        <v>45545</v>
      </c>
      <c r="G103" t="s">
        <v>2165</v>
      </c>
      <c r="H103" t="s">
        <v>2171</v>
      </c>
      <c r="I103" t="s">
        <v>2174</v>
      </c>
      <c r="J103">
        <v>19184</v>
      </c>
      <c r="K103">
        <v>576</v>
      </c>
      <c r="L103">
        <v>2.8</v>
      </c>
      <c r="M103">
        <v>6.1</v>
      </c>
      <c r="N103">
        <v>2</v>
      </c>
      <c r="O103">
        <v>6460</v>
      </c>
      <c r="P103" t="s">
        <v>2176</v>
      </c>
      <c r="Q103">
        <v>10</v>
      </c>
      <c r="R103">
        <v>14</v>
      </c>
      <c r="S103">
        <v>31</v>
      </c>
      <c r="T103">
        <v>627</v>
      </c>
      <c r="U103" t="s">
        <v>2165</v>
      </c>
      <c r="V103" t="s">
        <v>2171</v>
      </c>
      <c r="W103" t="s">
        <v>2208</v>
      </c>
      <c r="X103" t="s">
        <v>2210</v>
      </c>
      <c r="Y103" t="s">
        <v>2212</v>
      </c>
      <c r="Z103" s="1">
        <v>45537</v>
      </c>
      <c r="AA103" s="1">
        <v>45543</v>
      </c>
      <c r="AB103" t="s">
        <v>2214</v>
      </c>
      <c r="AC103" t="s">
        <v>2209</v>
      </c>
      <c r="AD103" t="s">
        <v>2216</v>
      </c>
      <c r="AE103" t="s">
        <v>2165</v>
      </c>
      <c r="AG103" t="s">
        <v>2220</v>
      </c>
      <c r="AH103">
        <v>55</v>
      </c>
      <c r="AI103">
        <v>75</v>
      </c>
      <c r="AJ103">
        <v>20</v>
      </c>
      <c r="AK103">
        <v>6</v>
      </c>
      <c r="AL103" t="s">
        <v>2223</v>
      </c>
      <c r="AM103">
        <v>0</v>
      </c>
      <c r="AN103" t="s">
        <v>2176</v>
      </c>
      <c r="AO103" t="s">
        <v>2176</v>
      </c>
      <c r="AP103" t="s">
        <v>2176</v>
      </c>
      <c r="AQ103">
        <v>17.079999999999998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4.5999999999999996</v>
      </c>
      <c r="AY103">
        <v>4.5999999999999996</v>
      </c>
      <c r="AZ103">
        <v>0</v>
      </c>
      <c r="BA103">
        <v>2</v>
      </c>
      <c r="BB103">
        <v>40</v>
      </c>
      <c r="BC103">
        <v>25</v>
      </c>
      <c r="BD103">
        <v>34.72</v>
      </c>
      <c r="BE103">
        <v>161</v>
      </c>
      <c r="BF103">
        <v>86.8</v>
      </c>
      <c r="BG103">
        <v>40</v>
      </c>
      <c r="BH103">
        <v>25</v>
      </c>
      <c r="BI103">
        <v>34.72</v>
      </c>
      <c r="BJ103">
        <v>161</v>
      </c>
      <c r="BK103">
        <v>86.8</v>
      </c>
      <c r="BL103">
        <v>161</v>
      </c>
      <c r="BM103">
        <v>4.7649999999999997</v>
      </c>
    </row>
    <row r="104" spans="1:65" x14ac:dyDescent="0.25">
      <c r="A104" t="s">
        <v>167</v>
      </c>
      <c r="B104" t="s">
        <v>1279</v>
      </c>
      <c r="C104" t="s">
        <v>2159</v>
      </c>
      <c r="D104" s="1">
        <v>45404</v>
      </c>
      <c r="E104" s="1">
        <v>45447</v>
      </c>
      <c r="F104" s="1">
        <v>45566</v>
      </c>
      <c r="G104" t="s">
        <v>2162</v>
      </c>
      <c r="H104" t="s">
        <v>2168</v>
      </c>
      <c r="I104" t="s">
        <v>2174</v>
      </c>
      <c r="J104">
        <v>22444</v>
      </c>
      <c r="K104">
        <v>674</v>
      </c>
      <c r="L104">
        <v>7.8</v>
      </c>
      <c r="M104">
        <v>5.9</v>
      </c>
      <c r="N104">
        <v>4</v>
      </c>
      <c r="O104">
        <v>4259</v>
      </c>
      <c r="P104" t="s">
        <v>2176</v>
      </c>
      <c r="Q104">
        <v>14</v>
      </c>
      <c r="R104">
        <v>20</v>
      </c>
      <c r="S104">
        <v>44</v>
      </c>
      <c r="T104">
        <v>521</v>
      </c>
      <c r="U104" t="s">
        <v>2163</v>
      </c>
      <c r="V104" t="s">
        <v>2169</v>
      </c>
      <c r="W104" t="s">
        <v>2209</v>
      </c>
      <c r="X104" t="s">
        <v>2211</v>
      </c>
      <c r="Y104" t="s">
        <v>2212</v>
      </c>
      <c r="Z104" s="1">
        <v>45548</v>
      </c>
      <c r="AA104" s="1">
        <v>45550</v>
      </c>
      <c r="AB104" t="s">
        <v>2214</v>
      </c>
      <c r="AC104" t="s">
        <v>2209</v>
      </c>
      <c r="AD104" t="s">
        <v>2218</v>
      </c>
      <c r="AE104" t="s">
        <v>2163</v>
      </c>
      <c r="AG104" t="s">
        <v>2221</v>
      </c>
      <c r="AH104">
        <v>78</v>
      </c>
      <c r="AI104">
        <v>101</v>
      </c>
      <c r="AJ104">
        <v>23</v>
      </c>
      <c r="AK104">
        <v>6</v>
      </c>
      <c r="AL104" t="s">
        <v>2223</v>
      </c>
      <c r="AM104">
        <v>0</v>
      </c>
      <c r="AN104" t="s">
        <v>2177</v>
      </c>
      <c r="AO104" t="s">
        <v>2177</v>
      </c>
      <c r="AP104" t="s">
        <v>2176</v>
      </c>
      <c r="AQ104">
        <v>46.02</v>
      </c>
      <c r="AR104">
        <v>1</v>
      </c>
      <c r="AS104">
        <v>2</v>
      </c>
      <c r="AT104">
        <v>2</v>
      </c>
      <c r="AU104">
        <v>1</v>
      </c>
      <c r="AV104">
        <v>1.666666666666667</v>
      </c>
      <c r="AW104">
        <v>4.4000000000000004</v>
      </c>
      <c r="AY104">
        <v>4.2</v>
      </c>
      <c r="AZ104">
        <v>3</v>
      </c>
      <c r="BA104">
        <v>2</v>
      </c>
      <c r="BB104">
        <v>30</v>
      </c>
      <c r="BC104">
        <v>25</v>
      </c>
      <c r="BD104">
        <v>26.48</v>
      </c>
      <c r="BE104">
        <v>121</v>
      </c>
      <c r="BF104">
        <v>88.3</v>
      </c>
      <c r="BG104">
        <v>29</v>
      </c>
      <c r="BH104">
        <v>25</v>
      </c>
      <c r="BI104">
        <v>25.56</v>
      </c>
      <c r="BJ104">
        <v>117</v>
      </c>
      <c r="BK104">
        <v>88.1</v>
      </c>
      <c r="BL104">
        <v>121</v>
      </c>
      <c r="BM104">
        <v>7.4170999999999996</v>
      </c>
    </row>
    <row r="105" spans="1:65" x14ac:dyDescent="0.25">
      <c r="A105" t="s">
        <v>168</v>
      </c>
      <c r="B105" t="s">
        <v>1207</v>
      </c>
      <c r="C105" t="s">
        <v>2160</v>
      </c>
      <c r="D105" s="1">
        <v>45397</v>
      </c>
      <c r="E105" s="1">
        <v>45433</v>
      </c>
      <c r="F105" s="1">
        <v>45515</v>
      </c>
      <c r="G105" t="s">
        <v>2166</v>
      </c>
      <c r="H105" t="s">
        <v>2172</v>
      </c>
      <c r="I105" t="s">
        <v>2174</v>
      </c>
      <c r="J105">
        <v>18980</v>
      </c>
      <c r="K105">
        <v>570</v>
      </c>
      <c r="L105">
        <v>6.1</v>
      </c>
      <c r="M105">
        <v>1.8</v>
      </c>
      <c r="N105">
        <v>1</v>
      </c>
      <c r="O105">
        <v>2200</v>
      </c>
      <c r="P105" t="s">
        <v>2176</v>
      </c>
      <c r="Q105">
        <v>10</v>
      </c>
      <c r="R105">
        <v>14</v>
      </c>
      <c r="S105">
        <v>29</v>
      </c>
      <c r="T105">
        <v>672</v>
      </c>
      <c r="U105" t="s">
        <v>2161</v>
      </c>
      <c r="V105" t="s">
        <v>2167</v>
      </c>
      <c r="W105" t="s">
        <v>2209</v>
      </c>
      <c r="X105" t="s">
        <v>2211</v>
      </c>
      <c r="Y105" t="s">
        <v>2212</v>
      </c>
      <c r="Z105" s="1">
        <v>45505</v>
      </c>
      <c r="AA105" s="1">
        <v>45508</v>
      </c>
      <c r="AB105" t="s">
        <v>2214</v>
      </c>
      <c r="AC105" t="s">
        <v>2209</v>
      </c>
      <c r="AD105" t="s">
        <v>2218</v>
      </c>
      <c r="AE105" t="s">
        <v>2161</v>
      </c>
      <c r="AG105" t="s">
        <v>2221</v>
      </c>
      <c r="AH105">
        <v>53</v>
      </c>
      <c r="AI105">
        <v>72</v>
      </c>
      <c r="AJ105">
        <v>19</v>
      </c>
      <c r="AK105">
        <v>5</v>
      </c>
      <c r="AL105" t="s">
        <v>2224</v>
      </c>
      <c r="AM105">
        <v>0</v>
      </c>
      <c r="AN105" t="s">
        <v>2176</v>
      </c>
      <c r="AO105" t="s">
        <v>2176</v>
      </c>
      <c r="AP105" t="s">
        <v>2176</v>
      </c>
      <c r="AQ105">
        <v>10.98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4.3</v>
      </c>
      <c r="AY105">
        <v>4.8</v>
      </c>
      <c r="AZ105">
        <v>0</v>
      </c>
      <c r="BA105">
        <v>2</v>
      </c>
      <c r="BB105">
        <v>33</v>
      </c>
      <c r="BC105">
        <v>27</v>
      </c>
      <c r="BD105">
        <v>28.96</v>
      </c>
      <c r="BE105">
        <v>147</v>
      </c>
      <c r="BF105">
        <v>87.8</v>
      </c>
      <c r="BG105">
        <v>43</v>
      </c>
      <c r="BH105">
        <v>27</v>
      </c>
      <c r="BI105">
        <v>37.299999999999997</v>
      </c>
      <c r="BJ105">
        <v>193</v>
      </c>
      <c r="BK105">
        <v>86.7</v>
      </c>
      <c r="BL105">
        <v>147</v>
      </c>
      <c r="BM105">
        <v>4.7808999999999999</v>
      </c>
    </row>
    <row r="106" spans="1:65" x14ac:dyDescent="0.25">
      <c r="A106" t="s">
        <v>169</v>
      </c>
      <c r="B106" t="s">
        <v>1280</v>
      </c>
      <c r="C106" t="s">
        <v>2157</v>
      </c>
      <c r="D106" s="1">
        <v>45299</v>
      </c>
      <c r="E106" s="1">
        <v>45331</v>
      </c>
      <c r="F106" s="1">
        <v>45526</v>
      </c>
      <c r="G106" t="s">
        <v>2162</v>
      </c>
      <c r="H106" t="s">
        <v>2168</v>
      </c>
      <c r="I106" t="s">
        <v>2174</v>
      </c>
      <c r="J106">
        <v>54726</v>
      </c>
      <c r="K106">
        <v>1642</v>
      </c>
      <c r="L106">
        <v>4.5999999999999996</v>
      </c>
      <c r="M106">
        <v>1.2</v>
      </c>
      <c r="N106">
        <v>4</v>
      </c>
      <c r="O106">
        <v>4736</v>
      </c>
      <c r="P106" t="s">
        <v>2176</v>
      </c>
      <c r="Q106">
        <v>18</v>
      </c>
      <c r="R106">
        <v>30</v>
      </c>
      <c r="S106">
        <v>96</v>
      </c>
      <c r="T106">
        <v>575</v>
      </c>
      <c r="U106" t="s">
        <v>2166</v>
      </c>
      <c r="V106" t="s">
        <v>2172</v>
      </c>
      <c r="W106" t="s">
        <v>2209</v>
      </c>
      <c r="X106" t="s">
        <v>2211</v>
      </c>
      <c r="Y106" t="s">
        <v>2212</v>
      </c>
      <c r="Z106" s="1">
        <v>45510</v>
      </c>
      <c r="AA106" s="1">
        <v>45514</v>
      </c>
      <c r="AB106" t="s">
        <v>2214</v>
      </c>
      <c r="AC106" t="s">
        <v>2209</v>
      </c>
      <c r="AD106" t="s">
        <v>2218</v>
      </c>
      <c r="AE106" t="s">
        <v>2166</v>
      </c>
      <c r="AG106" t="s">
        <v>2221</v>
      </c>
      <c r="AH106">
        <v>144</v>
      </c>
      <c r="AI106">
        <v>179</v>
      </c>
      <c r="AJ106">
        <v>35</v>
      </c>
      <c r="AK106">
        <v>2</v>
      </c>
      <c r="AL106" t="s">
        <v>2228</v>
      </c>
      <c r="AM106">
        <v>0</v>
      </c>
      <c r="AN106" t="s">
        <v>2176</v>
      </c>
      <c r="AO106" t="s">
        <v>2177</v>
      </c>
      <c r="AP106" t="s">
        <v>2176</v>
      </c>
      <c r="AQ106">
        <v>5.52</v>
      </c>
      <c r="AR106">
        <v>1</v>
      </c>
      <c r="AS106">
        <v>1</v>
      </c>
      <c r="AT106">
        <v>2</v>
      </c>
      <c r="AU106">
        <v>1</v>
      </c>
      <c r="AV106">
        <v>1.333333333333333</v>
      </c>
      <c r="AW106">
        <v>4.8</v>
      </c>
      <c r="AY106">
        <v>4.2</v>
      </c>
      <c r="AZ106">
        <v>1</v>
      </c>
      <c r="BA106">
        <v>2</v>
      </c>
      <c r="BB106">
        <v>40</v>
      </c>
      <c r="BC106">
        <v>24</v>
      </c>
      <c r="BD106">
        <v>35.54</v>
      </c>
      <c r="BE106">
        <v>160</v>
      </c>
      <c r="BF106">
        <v>88.8</v>
      </c>
      <c r="BG106">
        <v>34</v>
      </c>
      <c r="BH106">
        <v>24</v>
      </c>
      <c r="BI106">
        <v>30.5</v>
      </c>
      <c r="BJ106">
        <v>136</v>
      </c>
      <c r="BK106">
        <v>89.7</v>
      </c>
      <c r="BL106">
        <v>160</v>
      </c>
      <c r="BM106">
        <v>14.2479</v>
      </c>
    </row>
    <row r="107" spans="1:65" x14ac:dyDescent="0.25">
      <c r="A107" t="s">
        <v>170</v>
      </c>
      <c r="B107" t="s">
        <v>1281</v>
      </c>
      <c r="C107" t="s">
        <v>2157</v>
      </c>
      <c r="D107" s="1">
        <v>45446</v>
      </c>
      <c r="E107" s="1">
        <v>45478</v>
      </c>
      <c r="F107" s="1">
        <v>45613</v>
      </c>
      <c r="G107" t="s">
        <v>2162</v>
      </c>
      <c r="H107" t="s">
        <v>2168</v>
      </c>
      <c r="I107" t="s">
        <v>2176</v>
      </c>
      <c r="J107">
        <v>41380</v>
      </c>
      <c r="K107">
        <v>1242</v>
      </c>
      <c r="L107">
        <v>6</v>
      </c>
      <c r="M107">
        <v>9.6</v>
      </c>
      <c r="N107">
        <v>2</v>
      </c>
      <c r="O107">
        <v>4150</v>
      </c>
      <c r="P107" t="s">
        <v>2176</v>
      </c>
      <c r="Q107">
        <v>18</v>
      </c>
      <c r="R107">
        <v>30</v>
      </c>
      <c r="S107">
        <v>53</v>
      </c>
      <c r="T107">
        <v>788</v>
      </c>
      <c r="U107" t="s">
        <v>2162</v>
      </c>
      <c r="V107" t="s">
        <v>2168</v>
      </c>
      <c r="W107" t="s">
        <v>2208</v>
      </c>
      <c r="X107" t="s">
        <v>2210</v>
      </c>
      <c r="Y107" t="s">
        <v>2212</v>
      </c>
      <c r="Z107" s="1">
        <v>45607</v>
      </c>
      <c r="AA107" s="1">
        <v>45613</v>
      </c>
      <c r="AB107" t="s">
        <v>2214</v>
      </c>
      <c r="AC107" t="s">
        <v>2209</v>
      </c>
      <c r="AD107" t="s">
        <v>2216</v>
      </c>
      <c r="AE107" t="s">
        <v>2162</v>
      </c>
      <c r="AG107" t="s">
        <v>2220</v>
      </c>
      <c r="AH107">
        <v>101</v>
      </c>
      <c r="AI107">
        <v>129</v>
      </c>
      <c r="AJ107">
        <v>28</v>
      </c>
      <c r="AK107">
        <v>7</v>
      </c>
      <c r="AL107" t="s">
        <v>2226</v>
      </c>
      <c r="AM107">
        <v>0</v>
      </c>
      <c r="AN107" t="s">
        <v>2177</v>
      </c>
      <c r="AO107" t="s">
        <v>2176</v>
      </c>
      <c r="AP107" t="s">
        <v>2176</v>
      </c>
      <c r="AQ107">
        <v>57.599999999999987</v>
      </c>
      <c r="AR107">
        <v>1</v>
      </c>
      <c r="AS107">
        <v>2</v>
      </c>
      <c r="AT107">
        <v>1</v>
      </c>
      <c r="AU107">
        <v>1</v>
      </c>
      <c r="AV107">
        <v>1.333333333333333</v>
      </c>
      <c r="AW107">
        <v>4.2</v>
      </c>
      <c r="AY107">
        <v>4.2</v>
      </c>
      <c r="AZ107">
        <v>1</v>
      </c>
      <c r="BA107">
        <v>1</v>
      </c>
      <c r="BB107">
        <v>30</v>
      </c>
      <c r="BC107">
        <v>27</v>
      </c>
      <c r="BD107">
        <v>26.15</v>
      </c>
      <c r="BE107">
        <v>133</v>
      </c>
      <c r="BF107">
        <v>87.2</v>
      </c>
      <c r="BG107">
        <v>30</v>
      </c>
      <c r="BH107">
        <v>27</v>
      </c>
      <c r="BI107">
        <v>26.15</v>
      </c>
      <c r="BJ107">
        <v>133</v>
      </c>
      <c r="BK107">
        <v>87.2</v>
      </c>
      <c r="BL107">
        <v>133</v>
      </c>
      <c r="BM107">
        <v>11.52</v>
      </c>
    </row>
    <row r="108" spans="1:65" x14ac:dyDescent="0.25">
      <c r="A108" t="s">
        <v>171</v>
      </c>
      <c r="B108" t="s">
        <v>1282</v>
      </c>
      <c r="C108" t="s">
        <v>2157</v>
      </c>
      <c r="D108" s="1">
        <v>45453</v>
      </c>
      <c r="E108" s="1">
        <v>45485</v>
      </c>
      <c r="F108" s="1">
        <v>45650</v>
      </c>
      <c r="G108" t="s">
        <v>2164</v>
      </c>
      <c r="H108" t="s">
        <v>2170</v>
      </c>
      <c r="I108" t="s">
        <v>2174</v>
      </c>
      <c r="J108">
        <v>46644</v>
      </c>
      <c r="K108">
        <v>1400</v>
      </c>
      <c r="L108">
        <v>4.5999999999999996</v>
      </c>
      <c r="M108">
        <v>3.2</v>
      </c>
      <c r="N108">
        <v>2</v>
      </c>
      <c r="O108">
        <v>4648</v>
      </c>
      <c r="P108" t="s">
        <v>2176</v>
      </c>
      <c r="Q108">
        <v>18</v>
      </c>
      <c r="R108">
        <v>30</v>
      </c>
      <c r="S108">
        <v>77</v>
      </c>
      <c r="T108">
        <v>610</v>
      </c>
      <c r="U108" t="s">
        <v>2164</v>
      </c>
      <c r="V108" t="s">
        <v>2170</v>
      </c>
      <c r="W108" t="s">
        <v>2208</v>
      </c>
      <c r="X108" t="s">
        <v>2210</v>
      </c>
      <c r="Y108" t="s">
        <v>2212</v>
      </c>
      <c r="Z108" s="1">
        <v>45642</v>
      </c>
      <c r="AA108" s="1">
        <v>45648</v>
      </c>
      <c r="AB108" t="s">
        <v>2214</v>
      </c>
      <c r="AC108" t="s">
        <v>2209</v>
      </c>
      <c r="AD108" t="s">
        <v>2216</v>
      </c>
      <c r="AE108" t="s">
        <v>2164</v>
      </c>
      <c r="AG108" t="s">
        <v>2220</v>
      </c>
      <c r="AH108">
        <v>125</v>
      </c>
      <c r="AI108">
        <v>157</v>
      </c>
      <c r="AJ108">
        <v>32</v>
      </c>
      <c r="AK108">
        <v>7</v>
      </c>
      <c r="AL108" t="s">
        <v>2226</v>
      </c>
      <c r="AM108">
        <v>0</v>
      </c>
      <c r="AN108" t="s">
        <v>2176</v>
      </c>
      <c r="AO108" t="s">
        <v>2176</v>
      </c>
      <c r="AP108" t="s">
        <v>2176</v>
      </c>
      <c r="AQ108">
        <v>14.72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4.5</v>
      </c>
      <c r="AY108">
        <v>4.5</v>
      </c>
      <c r="AZ108">
        <v>1</v>
      </c>
      <c r="BA108">
        <v>2</v>
      </c>
      <c r="BB108">
        <v>29</v>
      </c>
      <c r="BC108">
        <v>27</v>
      </c>
      <c r="BD108">
        <v>25.96</v>
      </c>
      <c r="BE108">
        <v>130</v>
      </c>
      <c r="BF108">
        <v>89.5</v>
      </c>
      <c r="BG108">
        <v>29</v>
      </c>
      <c r="BH108">
        <v>27</v>
      </c>
      <c r="BI108">
        <v>25.96</v>
      </c>
      <c r="BJ108">
        <v>130</v>
      </c>
      <c r="BK108">
        <v>89.5</v>
      </c>
      <c r="BL108">
        <v>130</v>
      </c>
      <c r="BM108">
        <v>13.2851</v>
      </c>
    </row>
    <row r="109" spans="1:65" x14ac:dyDescent="0.25">
      <c r="A109" t="s">
        <v>172</v>
      </c>
      <c r="B109" t="s">
        <v>1283</v>
      </c>
      <c r="C109" t="s">
        <v>2159</v>
      </c>
      <c r="D109" s="1">
        <v>45348</v>
      </c>
      <c r="E109" s="1">
        <v>45391</v>
      </c>
      <c r="F109" s="1">
        <v>45452</v>
      </c>
      <c r="G109" t="s">
        <v>2161</v>
      </c>
      <c r="H109" t="s">
        <v>2167</v>
      </c>
      <c r="I109" t="s">
        <v>2173</v>
      </c>
      <c r="J109">
        <v>12700</v>
      </c>
      <c r="K109">
        <v>381</v>
      </c>
      <c r="L109">
        <v>12.9</v>
      </c>
      <c r="M109">
        <v>12</v>
      </c>
      <c r="N109">
        <v>7</v>
      </c>
      <c r="O109">
        <v>14933</v>
      </c>
      <c r="P109" t="s">
        <v>2177</v>
      </c>
      <c r="Q109">
        <v>10</v>
      </c>
      <c r="R109">
        <v>14</v>
      </c>
      <c r="S109">
        <v>15</v>
      </c>
      <c r="T109">
        <v>888</v>
      </c>
      <c r="U109" t="s">
        <v>2166</v>
      </c>
      <c r="V109" t="s">
        <v>2172</v>
      </c>
      <c r="W109" t="s">
        <v>2209</v>
      </c>
      <c r="X109" t="s">
        <v>2211</v>
      </c>
      <c r="Y109" t="s">
        <v>2212</v>
      </c>
      <c r="Z109" s="1">
        <v>45447</v>
      </c>
      <c r="AA109" s="1">
        <v>45451</v>
      </c>
      <c r="AB109" t="s">
        <v>2214</v>
      </c>
      <c r="AC109" t="s">
        <v>2209</v>
      </c>
      <c r="AD109" t="s">
        <v>2218</v>
      </c>
      <c r="AE109" t="s">
        <v>2166</v>
      </c>
      <c r="AG109" t="s">
        <v>2221</v>
      </c>
      <c r="AH109">
        <v>39</v>
      </c>
      <c r="AI109">
        <v>56</v>
      </c>
      <c r="AJ109">
        <v>17</v>
      </c>
      <c r="AK109">
        <v>4</v>
      </c>
      <c r="AL109" t="s">
        <v>2225</v>
      </c>
      <c r="AM109">
        <v>0</v>
      </c>
      <c r="AN109" t="s">
        <v>2175</v>
      </c>
      <c r="AO109" t="s">
        <v>2175</v>
      </c>
      <c r="AP109" t="s">
        <v>2177</v>
      </c>
      <c r="AQ109">
        <v>154.80000000000001</v>
      </c>
      <c r="AR109">
        <v>2</v>
      </c>
      <c r="AS109">
        <v>3</v>
      </c>
      <c r="AT109">
        <v>3</v>
      </c>
      <c r="AU109">
        <v>2</v>
      </c>
      <c r="AV109">
        <v>2.666666666666667</v>
      </c>
      <c r="AW109">
        <v>4.8</v>
      </c>
      <c r="AY109">
        <v>4.3</v>
      </c>
      <c r="AZ109">
        <v>3</v>
      </c>
      <c r="BA109">
        <v>3</v>
      </c>
      <c r="BB109">
        <v>45</v>
      </c>
      <c r="BC109">
        <v>26</v>
      </c>
      <c r="BD109">
        <v>40.270000000000003</v>
      </c>
      <c r="BE109">
        <v>199</v>
      </c>
      <c r="BF109">
        <v>89.5</v>
      </c>
      <c r="BG109">
        <v>32</v>
      </c>
      <c r="BH109">
        <v>26</v>
      </c>
      <c r="BI109">
        <v>28.46</v>
      </c>
      <c r="BJ109">
        <v>138</v>
      </c>
      <c r="BK109">
        <v>88.9</v>
      </c>
      <c r="BL109">
        <v>199</v>
      </c>
      <c r="BM109">
        <v>2.4540999999999999</v>
      </c>
    </row>
    <row r="110" spans="1:65" x14ac:dyDescent="0.25">
      <c r="A110" t="s">
        <v>173</v>
      </c>
      <c r="B110" t="s">
        <v>1284</v>
      </c>
      <c r="C110" t="s">
        <v>2159</v>
      </c>
      <c r="D110" s="1">
        <v>45355</v>
      </c>
      <c r="E110" s="1">
        <v>45395</v>
      </c>
      <c r="F110" s="1">
        <v>45504</v>
      </c>
      <c r="G110" t="s">
        <v>2165</v>
      </c>
      <c r="H110" t="s">
        <v>2171</v>
      </c>
      <c r="I110" t="s">
        <v>2176</v>
      </c>
      <c r="J110">
        <v>29851</v>
      </c>
      <c r="K110">
        <v>896</v>
      </c>
      <c r="L110">
        <v>3.3</v>
      </c>
      <c r="M110">
        <v>10.8</v>
      </c>
      <c r="N110">
        <v>3</v>
      </c>
      <c r="O110">
        <v>3184</v>
      </c>
      <c r="P110" t="s">
        <v>2176</v>
      </c>
      <c r="Q110">
        <v>14</v>
      </c>
      <c r="R110">
        <v>20</v>
      </c>
      <c r="S110">
        <v>44</v>
      </c>
      <c r="T110">
        <v>693</v>
      </c>
      <c r="U110" t="s">
        <v>2163</v>
      </c>
      <c r="V110" t="s">
        <v>2169</v>
      </c>
      <c r="W110" t="s">
        <v>2209</v>
      </c>
      <c r="X110" t="s">
        <v>2211</v>
      </c>
      <c r="Y110" t="s">
        <v>2212</v>
      </c>
      <c r="Z110" s="1">
        <v>45497</v>
      </c>
      <c r="AA110" s="1">
        <v>45501</v>
      </c>
      <c r="AB110" t="s">
        <v>2214</v>
      </c>
      <c r="AC110" t="s">
        <v>2209</v>
      </c>
      <c r="AD110" t="s">
        <v>2218</v>
      </c>
      <c r="AE110" t="s">
        <v>2163</v>
      </c>
      <c r="AG110" t="s">
        <v>2221</v>
      </c>
      <c r="AH110">
        <v>78</v>
      </c>
      <c r="AI110">
        <v>102</v>
      </c>
      <c r="AJ110">
        <v>24</v>
      </c>
      <c r="AK110">
        <v>4</v>
      </c>
      <c r="AL110" t="s">
        <v>2225</v>
      </c>
      <c r="AM110">
        <v>0</v>
      </c>
      <c r="AN110" t="s">
        <v>2177</v>
      </c>
      <c r="AO110" t="s">
        <v>2176</v>
      </c>
      <c r="AP110" t="s">
        <v>2176</v>
      </c>
      <c r="AQ110">
        <v>35.64</v>
      </c>
      <c r="AR110">
        <v>1</v>
      </c>
      <c r="AS110">
        <v>2</v>
      </c>
      <c r="AT110">
        <v>1</v>
      </c>
      <c r="AU110">
        <v>1</v>
      </c>
      <c r="AV110">
        <v>1.333333333333333</v>
      </c>
      <c r="AW110">
        <v>4.4000000000000004</v>
      </c>
      <c r="AY110">
        <v>4.5999999999999996</v>
      </c>
      <c r="AZ110">
        <v>3</v>
      </c>
      <c r="BA110">
        <v>1</v>
      </c>
      <c r="BB110">
        <v>31</v>
      </c>
      <c r="BC110">
        <v>26</v>
      </c>
      <c r="BD110">
        <v>27.23</v>
      </c>
      <c r="BE110">
        <v>132</v>
      </c>
      <c r="BF110">
        <v>87.8</v>
      </c>
      <c r="BG110">
        <v>46</v>
      </c>
      <c r="BH110">
        <v>26</v>
      </c>
      <c r="BI110">
        <v>40.729999999999997</v>
      </c>
      <c r="BJ110">
        <v>203</v>
      </c>
      <c r="BK110">
        <v>88.5</v>
      </c>
      <c r="BL110">
        <v>132</v>
      </c>
      <c r="BM110">
        <v>8.6952999999999996</v>
      </c>
    </row>
    <row r="111" spans="1:65" x14ac:dyDescent="0.25">
      <c r="A111" t="s">
        <v>174</v>
      </c>
      <c r="B111" t="s">
        <v>1213</v>
      </c>
      <c r="C111" t="s">
        <v>2158</v>
      </c>
      <c r="D111" s="1">
        <v>45439</v>
      </c>
      <c r="E111" s="1">
        <v>45471</v>
      </c>
      <c r="F111" s="1">
        <v>45525</v>
      </c>
      <c r="G111" t="s">
        <v>2165</v>
      </c>
      <c r="H111" t="s">
        <v>2171</v>
      </c>
      <c r="I111" t="s">
        <v>2176</v>
      </c>
      <c r="J111">
        <v>8319</v>
      </c>
      <c r="K111">
        <v>250</v>
      </c>
      <c r="L111">
        <v>11.5</v>
      </c>
      <c r="M111">
        <v>9.9</v>
      </c>
      <c r="N111">
        <v>3</v>
      </c>
      <c r="O111">
        <v>8907</v>
      </c>
      <c r="P111" t="s">
        <v>2176</v>
      </c>
      <c r="Q111">
        <v>7</v>
      </c>
      <c r="R111">
        <v>10</v>
      </c>
      <c r="S111">
        <v>15</v>
      </c>
      <c r="T111">
        <v>563</v>
      </c>
      <c r="U111" t="s">
        <v>2163</v>
      </c>
      <c r="V111" t="s">
        <v>2169</v>
      </c>
      <c r="W111" t="s">
        <v>2209</v>
      </c>
      <c r="X111" t="s">
        <v>2211</v>
      </c>
      <c r="Y111" t="s">
        <v>2212</v>
      </c>
      <c r="Z111" s="1">
        <v>45519</v>
      </c>
      <c r="AA111" s="1">
        <v>45522</v>
      </c>
      <c r="AB111" t="s">
        <v>2214</v>
      </c>
      <c r="AC111" t="s">
        <v>2209</v>
      </c>
      <c r="AD111" t="s">
        <v>2218</v>
      </c>
      <c r="AE111" t="s">
        <v>2163</v>
      </c>
      <c r="AG111" t="s">
        <v>2221</v>
      </c>
      <c r="AH111">
        <v>32</v>
      </c>
      <c r="AI111">
        <v>48</v>
      </c>
      <c r="AJ111">
        <v>16</v>
      </c>
      <c r="AK111">
        <v>6</v>
      </c>
      <c r="AL111" t="s">
        <v>2223</v>
      </c>
      <c r="AM111">
        <v>0</v>
      </c>
      <c r="AN111" t="s">
        <v>2177</v>
      </c>
      <c r="AO111" t="s">
        <v>2176</v>
      </c>
      <c r="AP111" t="s">
        <v>2177</v>
      </c>
      <c r="AQ111">
        <v>113.85</v>
      </c>
      <c r="AR111">
        <v>1</v>
      </c>
      <c r="AS111">
        <v>2</v>
      </c>
      <c r="AT111">
        <v>1</v>
      </c>
      <c r="AU111">
        <v>2</v>
      </c>
      <c r="AV111">
        <v>1.666666666666667</v>
      </c>
      <c r="AW111">
        <v>4.4000000000000004</v>
      </c>
      <c r="AY111">
        <v>4.5999999999999996</v>
      </c>
      <c r="AZ111">
        <v>2</v>
      </c>
      <c r="BA111">
        <v>1</v>
      </c>
      <c r="BB111">
        <v>30</v>
      </c>
      <c r="BC111">
        <v>25</v>
      </c>
      <c r="BD111">
        <v>26.48</v>
      </c>
      <c r="BE111">
        <v>121</v>
      </c>
      <c r="BF111">
        <v>88.3</v>
      </c>
      <c r="BG111">
        <v>40</v>
      </c>
      <c r="BH111">
        <v>25</v>
      </c>
      <c r="BI111">
        <v>34.72</v>
      </c>
      <c r="BJ111">
        <v>161</v>
      </c>
      <c r="BK111">
        <v>86.8</v>
      </c>
      <c r="BL111">
        <v>121</v>
      </c>
      <c r="BM111">
        <v>2.7492000000000001</v>
      </c>
    </row>
    <row r="112" spans="1:65" x14ac:dyDescent="0.25">
      <c r="A112" t="s">
        <v>175</v>
      </c>
      <c r="B112" t="s">
        <v>1263</v>
      </c>
      <c r="C112" t="s">
        <v>2158</v>
      </c>
      <c r="D112" s="1">
        <v>45369</v>
      </c>
      <c r="E112" s="1">
        <v>45404</v>
      </c>
      <c r="F112" s="1">
        <v>45481</v>
      </c>
      <c r="G112" t="s">
        <v>2164</v>
      </c>
      <c r="H112" t="s">
        <v>2170</v>
      </c>
      <c r="I112" t="s">
        <v>2174</v>
      </c>
      <c r="J112">
        <v>12912</v>
      </c>
      <c r="K112">
        <v>388</v>
      </c>
      <c r="L112">
        <v>5.4</v>
      </c>
      <c r="M112">
        <v>5.2</v>
      </c>
      <c r="N112">
        <v>3</v>
      </c>
      <c r="O112">
        <v>1035</v>
      </c>
      <c r="P112" t="s">
        <v>2176</v>
      </c>
      <c r="Q112">
        <v>10</v>
      </c>
      <c r="R112">
        <v>14</v>
      </c>
      <c r="S112">
        <v>23</v>
      </c>
      <c r="T112">
        <v>585</v>
      </c>
      <c r="U112" t="s">
        <v>2165</v>
      </c>
      <c r="V112" t="s">
        <v>2171</v>
      </c>
      <c r="W112" t="s">
        <v>2209</v>
      </c>
      <c r="X112" t="s">
        <v>2211</v>
      </c>
      <c r="Y112" t="s">
        <v>2212</v>
      </c>
      <c r="Z112" s="1">
        <v>45469</v>
      </c>
      <c r="AA112" s="1">
        <v>45473</v>
      </c>
      <c r="AB112" t="s">
        <v>2214</v>
      </c>
      <c r="AC112" t="s">
        <v>2209</v>
      </c>
      <c r="AD112" t="s">
        <v>2218</v>
      </c>
      <c r="AE112" t="s">
        <v>2165</v>
      </c>
      <c r="AG112" t="s">
        <v>2221</v>
      </c>
      <c r="AH112">
        <v>47</v>
      </c>
      <c r="AI112">
        <v>65</v>
      </c>
      <c r="AJ112">
        <v>18</v>
      </c>
      <c r="AK112">
        <v>4</v>
      </c>
      <c r="AL112" t="s">
        <v>2225</v>
      </c>
      <c r="AM112">
        <v>0</v>
      </c>
      <c r="AN112" t="s">
        <v>2177</v>
      </c>
      <c r="AO112" t="s">
        <v>2176</v>
      </c>
      <c r="AP112" t="s">
        <v>2176</v>
      </c>
      <c r="AQ112">
        <v>28.08</v>
      </c>
      <c r="AR112">
        <v>1</v>
      </c>
      <c r="AS112">
        <v>2</v>
      </c>
      <c r="AT112">
        <v>1</v>
      </c>
      <c r="AU112">
        <v>1</v>
      </c>
      <c r="AV112">
        <v>1.333333333333333</v>
      </c>
      <c r="AW112">
        <v>4.5999999999999996</v>
      </c>
      <c r="AY112">
        <v>4.5</v>
      </c>
      <c r="AZ112">
        <v>2</v>
      </c>
      <c r="BA112">
        <v>2</v>
      </c>
      <c r="BB112">
        <v>46</v>
      </c>
      <c r="BC112">
        <v>26</v>
      </c>
      <c r="BD112">
        <v>40.729999999999997</v>
      </c>
      <c r="BE112">
        <v>203</v>
      </c>
      <c r="BF112">
        <v>88.5</v>
      </c>
      <c r="BG112">
        <v>30</v>
      </c>
      <c r="BH112">
        <v>26</v>
      </c>
      <c r="BI112">
        <v>26.42</v>
      </c>
      <c r="BJ112">
        <v>126</v>
      </c>
      <c r="BK112">
        <v>88.1</v>
      </c>
      <c r="BL112">
        <v>203</v>
      </c>
      <c r="BM112">
        <v>2.4459</v>
      </c>
    </row>
    <row r="113" spans="1:65" x14ac:dyDescent="0.25">
      <c r="A113" t="s">
        <v>176</v>
      </c>
      <c r="B113" t="s">
        <v>1223</v>
      </c>
      <c r="C113" t="s">
        <v>2159</v>
      </c>
      <c r="D113" s="1">
        <v>45411</v>
      </c>
      <c r="E113" s="1">
        <v>45444</v>
      </c>
      <c r="F113" s="1">
        <v>45537</v>
      </c>
      <c r="G113" t="s">
        <v>2162</v>
      </c>
      <c r="H113" t="s">
        <v>2168</v>
      </c>
      <c r="I113" t="s">
        <v>2173</v>
      </c>
      <c r="J113">
        <v>24612</v>
      </c>
      <c r="K113">
        <v>739</v>
      </c>
      <c r="L113">
        <v>11.3</v>
      </c>
      <c r="M113">
        <v>8.9</v>
      </c>
      <c r="N113">
        <v>4</v>
      </c>
      <c r="O113">
        <v>8799</v>
      </c>
      <c r="P113" t="s">
        <v>2177</v>
      </c>
      <c r="Q113">
        <v>14</v>
      </c>
      <c r="R113">
        <v>20</v>
      </c>
      <c r="S113">
        <v>35</v>
      </c>
      <c r="T113">
        <v>709</v>
      </c>
      <c r="U113" t="s">
        <v>2161</v>
      </c>
      <c r="V113" t="s">
        <v>2167</v>
      </c>
      <c r="W113" t="s">
        <v>2209</v>
      </c>
      <c r="X113" t="s">
        <v>2211</v>
      </c>
      <c r="Y113" t="s">
        <v>2212</v>
      </c>
      <c r="Z113" s="1">
        <v>45536</v>
      </c>
      <c r="AA113" s="1">
        <v>45536</v>
      </c>
      <c r="AB113" t="s">
        <v>2214</v>
      </c>
      <c r="AC113" t="s">
        <v>2209</v>
      </c>
      <c r="AD113" t="s">
        <v>2218</v>
      </c>
      <c r="AE113" t="s">
        <v>2161</v>
      </c>
      <c r="AG113" t="s">
        <v>2221</v>
      </c>
      <c r="AH113">
        <v>69</v>
      </c>
      <c r="AI113">
        <v>92</v>
      </c>
      <c r="AJ113">
        <v>23</v>
      </c>
      <c r="AK113">
        <v>6</v>
      </c>
      <c r="AL113" t="s">
        <v>2223</v>
      </c>
      <c r="AM113">
        <v>0</v>
      </c>
      <c r="AN113" t="s">
        <v>2177</v>
      </c>
      <c r="AO113" t="s">
        <v>2177</v>
      </c>
      <c r="AP113" t="s">
        <v>2177</v>
      </c>
      <c r="AQ113">
        <v>100.57</v>
      </c>
      <c r="AR113">
        <v>2</v>
      </c>
      <c r="AS113">
        <v>2</v>
      </c>
      <c r="AT113">
        <v>2</v>
      </c>
      <c r="AU113">
        <v>2</v>
      </c>
      <c r="AV113">
        <v>2</v>
      </c>
      <c r="AW113">
        <v>4.3</v>
      </c>
      <c r="AY113">
        <v>4.2</v>
      </c>
      <c r="AZ113">
        <v>3</v>
      </c>
      <c r="BA113">
        <v>3</v>
      </c>
      <c r="BB113">
        <v>36</v>
      </c>
      <c r="BC113">
        <v>25</v>
      </c>
      <c r="BD113">
        <v>31.92</v>
      </c>
      <c r="BE113">
        <v>149</v>
      </c>
      <c r="BF113">
        <v>88.7</v>
      </c>
      <c r="BG113">
        <v>29</v>
      </c>
      <c r="BH113">
        <v>25</v>
      </c>
      <c r="BI113">
        <v>25.56</v>
      </c>
      <c r="BJ113">
        <v>117</v>
      </c>
      <c r="BK113">
        <v>88.1</v>
      </c>
      <c r="BL113">
        <v>149</v>
      </c>
      <c r="BM113">
        <v>6.6055000000000001</v>
      </c>
    </row>
    <row r="114" spans="1:65" x14ac:dyDescent="0.25">
      <c r="A114" t="s">
        <v>177</v>
      </c>
      <c r="B114" t="s">
        <v>1285</v>
      </c>
      <c r="C114" t="s">
        <v>2158</v>
      </c>
      <c r="D114" s="1">
        <v>45348</v>
      </c>
      <c r="E114" s="1">
        <v>45387</v>
      </c>
      <c r="F114" s="1">
        <v>45481</v>
      </c>
      <c r="G114" t="s">
        <v>2164</v>
      </c>
      <c r="H114" t="s">
        <v>2170</v>
      </c>
      <c r="I114" t="s">
        <v>2174</v>
      </c>
      <c r="J114">
        <v>17366</v>
      </c>
      <c r="K114">
        <v>521</v>
      </c>
      <c r="L114">
        <v>5.4</v>
      </c>
      <c r="M114">
        <v>7.3</v>
      </c>
      <c r="N114">
        <v>3</v>
      </c>
      <c r="O114">
        <v>5666</v>
      </c>
      <c r="P114" t="s">
        <v>2176</v>
      </c>
      <c r="Q114">
        <v>10</v>
      </c>
      <c r="R114">
        <v>14</v>
      </c>
      <c r="S114">
        <v>33</v>
      </c>
      <c r="T114">
        <v>532</v>
      </c>
      <c r="U114" t="s">
        <v>2162</v>
      </c>
      <c r="V114" t="s">
        <v>2168</v>
      </c>
      <c r="W114" t="s">
        <v>2209</v>
      </c>
      <c r="X114" t="s">
        <v>2211</v>
      </c>
      <c r="Y114" t="s">
        <v>2212</v>
      </c>
      <c r="Z114" s="1">
        <v>45465</v>
      </c>
      <c r="AA114" s="1">
        <v>45465</v>
      </c>
      <c r="AB114" t="s">
        <v>2214</v>
      </c>
      <c r="AC114" t="s">
        <v>2209</v>
      </c>
      <c r="AD114" t="s">
        <v>2218</v>
      </c>
      <c r="AE114" t="s">
        <v>2162</v>
      </c>
      <c r="AG114" t="s">
        <v>2221</v>
      </c>
      <c r="AH114">
        <v>57</v>
      </c>
      <c r="AI114">
        <v>78</v>
      </c>
      <c r="AJ114">
        <v>21</v>
      </c>
      <c r="AK114">
        <v>4</v>
      </c>
      <c r="AL114" t="s">
        <v>2225</v>
      </c>
      <c r="AM114">
        <v>0</v>
      </c>
      <c r="AN114" t="s">
        <v>2177</v>
      </c>
      <c r="AO114" t="s">
        <v>2176</v>
      </c>
      <c r="AP114" t="s">
        <v>2176</v>
      </c>
      <c r="AQ114">
        <v>39.42</v>
      </c>
      <c r="AR114">
        <v>1</v>
      </c>
      <c r="AS114">
        <v>2</v>
      </c>
      <c r="AT114">
        <v>1</v>
      </c>
      <c r="AU114">
        <v>1</v>
      </c>
      <c r="AV114">
        <v>1.333333333333333</v>
      </c>
      <c r="AW114">
        <v>4.2</v>
      </c>
      <c r="AY114">
        <v>4.5</v>
      </c>
      <c r="AZ114">
        <v>2</v>
      </c>
      <c r="BA114">
        <v>2</v>
      </c>
      <c r="BB114">
        <v>25</v>
      </c>
      <c r="BC114">
        <v>26</v>
      </c>
      <c r="BD114">
        <v>21.81</v>
      </c>
      <c r="BE114">
        <v>104</v>
      </c>
      <c r="BF114">
        <v>87.2</v>
      </c>
      <c r="BG114">
        <v>30</v>
      </c>
      <c r="BH114">
        <v>26</v>
      </c>
      <c r="BI114">
        <v>26.42</v>
      </c>
      <c r="BJ114">
        <v>126</v>
      </c>
      <c r="BK114">
        <v>88.1</v>
      </c>
      <c r="BL114">
        <v>104</v>
      </c>
      <c r="BM114">
        <v>6.42</v>
      </c>
    </row>
    <row r="115" spans="1:65" x14ac:dyDescent="0.25">
      <c r="A115" t="s">
        <v>178</v>
      </c>
      <c r="B115" t="s">
        <v>1286</v>
      </c>
      <c r="C115" t="s">
        <v>2160</v>
      </c>
      <c r="D115" s="1">
        <v>45411</v>
      </c>
      <c r="E115" s="1">
        <v>45442</v>
      </c>
      <c r="F115" s="1">
        <v>45496</v>
      </c>
      <c r="G115" t="s">
        <v>2162</v>
      </c>
      <c r="H115" t="s">
        <v>2168</v>
      </c>
      <c r="I115" t="s">
        <v>2175</v>
      </c>
      <c r="J115">
        <v>15253</v>
      </c>
      <c r="K115">
        <v>458</v>
      </c>
      <c r="L115">
        <v>11</v>
      </c>
      <c r="M115">
        <v>14.2</v>
      </c>
      <c r="N115">
        <v>9</v>
      </c>
      <c r="O115">
        <v>18473</v>
      </c>
      <c r="P115" t="s">
        <v>2178</v>
      </c>
      <c r="Q115">
        <v>10</v>
      </c>
      <c r="R115">
        <v>14</v>
      </c>
      <c r="S115">
        <v>16</v>
      </c>
      <c r="T115">
        <v>980</v>
      </c>
      <c r="U115" t="s">
        <v>2165</v>
      </c>
      <c r="V115" t="s">
        <v>2171</v>
      </c>
      <c r="W115" t="s">
        <v>2209</v>
      </c>
      <c r="X115" t="s">
        <v>2211</v>
      </c>
      <c r="Y115" t="s">
        <v>2212</v>
      </c>
      <c r="Z115" s="1">
        <v>45499</v>
      </c>
      <c r="AA115" s="1">
        <v>45501</v>
      </c>
      <c r="AB115" t="s">
        <v>2215</v>
      </c>
      <c r="AC115" t="s">
        <v>2208</v>
      </c>
      <c r="AD115" t="s">
        <v>2218</v>
      </c>
      <c r="AE115" t="s">
        <v>2165</v>
      </c>
      <c r="AG115" t="s">
        <v>2221</v>
      </c>
      <c r="AH115">
        <v>40</v>
      </c>
      <c r="AI115">
        <v>57</v>
      </c>
      <c r="AJ115">
        <v>17</v>
      </c>
      <c r="AK115">
        <v>5</v>
      </c>
      <c r="AL115" t="s">
        <v>2224</v>
      </c>
      <c r="AM115">
        <v>0</v>
      </c>
      <c r="AN115" t="s">
        <v>2175</v>
      </c>
      <c r="AO115" t="s">
        <v>2175</v>
      </c>
      <c r="AP115" t="s">
        <v>2175</v>
      </c>
      <c r="AQ115">
        <v>156.19999999999999</v>
      </c>
      <c r="AR115">
        <v>3</v>
      </c>
      <c r="AS115">
        <v>3</v>
      </c>
      <c r="AT115">
        <v>3</v>
      </c>
      <c r="AU115">
        <v>3</v>
      </c>
      <c r="AV115">
        <v>3</v>
      </c>
      <c r="AW115">
        <v>4.5999999999999996</v>
      </c>
      <c r="AY115">
        <v>4.2</v>
      </c>
      <c r="AZ115">
        <v>0</v>
      </c>
      <c r="BA115">
        <v>0</v>
      </c>
      <c r="BB115">
        <v>36</v>
      </c>
      <c r="BC115">
        <v>27</v>
      </c>
      <c r="BD115">
        <v>31.37</v>
      </c>
      <c r="BE115">
        <v>158</v>
      </c>
      <c r="BF115">
        <v>87.1</v>
      </c>
      <c r="BG115">
        <v>24</v>
      </c>
      <c r="BH115">
        <v>27</v>
      </c>
      <c r="BI115">
        <v>21.44</v>
      </c>
      <c r="BJ115">
        <v>108</v>
      </c>
      <c r="BK115">
        <v>89.3</v>
      </c>
      <c r="BL115">
        <v>158</v>
      </c>
      <c r="BM115">
        <v>3.5746000000000002</v>
      </c>
    </row>
    <row r="116" spans="1:65" x14ac:dyDescent="0.25">
      <c r="A116" t="s">
        <v>179</v>
      </c>
      <c r="B116" t="s">
        <v>1277</v>
      </c>
      <c r="C116" t="s">
        <v>2159</v>
      </c>
      <c r="D116" s="1">
        <v>45425</v>
      </c>
      <c r="E116" s="1">
        <v>45467</v>
      </c>
      <c r="F116" s="1">
        <v>45522</v>
      </c>
      <c r="G116" t="s">
        <v>2165</v>
      </c>
      <c r="H116" t="s">
        <v>2171</v>
      </c>
      <c r="I116" t="s">
        <v>2173</v>
      </c>
      <c r="J116">
        <v>10628</v>
      </c>
      <c r="K116">
        <v>319</v>
      </c>
      <c r="L116">
        <v>6.2</v>
      </c>
      <c r="M116">
        <v>14.4</v>
      </c>
      <c r="N116">
        <v>3</v>
      </c>
      <c r="O116">
        <v>9635</v>
      </c>
      <c r="P116" t="s">
        <v>2176</v>
      </c>
      <c r="Q116">
        <v>10</v>
      </c>
      <c r="R116">
        <v>14</v>
      </c>
      <c r="S116">
        <v>13</v>
      </c>
      <c r="T116">
        <v>829</v>
      </c>
      <c r="U116" t="s">
        <v>2166</v>
      </c>
      <c r="V116" t="s">
        <v>2172</v>
      </c>
      <c r="W116" t="s">
        <v>2209</v>
      </c>
      <c r="X116" t="s">
        <v>2211</v>
      </c>
      <c r="Y116" t="s">
        <v>2212</v>
      </c>
      <c r="Z116" s="1">
        <v>45520</v>
      </c>
      <c r="AA116" s="1">
        <v>45522</v>
      </c>
      <c r="AB116" t="s">
        <v>2214</v>
      </c>
      <c r="AC116" t="s">
        <v>2209</v>
      </c>
      <c r="AD116" t="s">
        <v>2218</v>
      </c>
      <c r="AE116" t="s">
        <v>2166</v>
      </c>
      <c r="AG116" t="s">
        <v>2221</v>
      </c>
      <c r="AH116">
        <v>37</v>
      </c>
      <c r="AI116">
        <v>53</v>
      </c>
      <c r="AJ116">
        <v>16</v>
      </c>
      <c r="AK116">
        <v>6</v>
      </c>
      <c r="AL116" t="s">
        <v>2223</v>
      </c>
      <c r="AM116">
        <v>0</v>
      </c>
      <c r="AN116" t="s">
        <v>2177</v>
      </c>
      <c r="AO116" t="s">
        <v>2176</v>
      </c>
      <c r="AP116" t="s">
        <v>2177</v>
      </c>
      <c r="AQ116">
        <v>89.28</v>
      </c>
      <c r="AR116">
        <v>1</v>
      </c>
      <c r="AS116">
        <v>2</v>
      </c>
      <c r="AT116">
        <v>1</v>
      </c>
      <c r="AU116">
        <v>2</v>
      </c>
      <c r="AV116">
        <v>1.666666666666667</v>
      </c>
      <c r="AW116">
        <v>4.8</v>
      </c>
      <c r="AY116">
        <v>4.5999999999999996</v>
      </c>
      <c r="AZ116">
        <v>3</v>
      </c>
      <c r="BA116">
        <v>3</v>
      </c>
      <c r="BB116">
        <v>45</v>
      </c>
      <c r="BC116">
        <v>25</v>
      </c>
      <c r="BD116">
        <v>39.200000000000003</v>
      </c>
      <c r="BE116">
        <v>186</v>
      </c>
      <c r="BF116">
        <v>87.1</v>
      </c>
      <c r="BG116">
        <v>40</v>
      </c>
      <c r="BH116">
        <v>25</v>
      </c>
      <c r="BI116">
        <v>34.72</v>
      </c>
      <c r="BJ116">
        <v>161</v>
      </c>
      <c r="BK116">
        <v>86.8</v>
      </c>
      <c r="BL116">
        <v>186</v>
      </c>
      <c r="BM116">
        <v>2.2850999999999999</v>
      </c>
    </row>
    <row r="117" spans="1:65" x14ac:dyDescent="0.25">
      <c r="A117" t="s">
        <v>180</v>
      </c>
      <c r="B117" t="s">
        <v>1245</v>
      </c>
      <c r="C117" t="s">
        <v>2157</v>
      </c>
      <c r="D117" s="1">
        <v>45376</v>
      </c>
      <c r="E117" s="1">
        <v>45419</v>
      </c>
      <c r="F117" s="1">
        <v>45544</v>
      </c>
      <c r="G117" t="s">
        <v>2164</v>
      </c>
      <c r="H117" t="s">
        <v>2170</v>
      </c>
      <c r="I117" t="s">
        <v>2175</v>
      </c>
      <c r="J117">
        <v>46968</v>
      </c>
      <c r="K117">
        <v>1410</v>
      </c>
      <c r="L117">
        <v>13.2</v>
      </c>
      <c r="M117">
        <v>14.2</v>
      </c>
      <c r="N117">
        <v>7</v>
      </c>
      <c r="O117">
        <v>18943</v>
      </c>
      <c r="P117" t="s">
        <v>2178</v>
      </c>
      <c r="Q117">
        <v>18</v>
      </c>
      <c r="R117">
        <v>30</v>
      </c>
      <c r="S117">
        <v>50</v>
      </c>
      <c r="T117">
        <v>944</v>
      </c>
      <c r="U117" t="s">
        <v>2165</v>
      </c>
      <c r="V117" t="s">
        <v>2171</v>
      </c>
      <c r="W117" t="s">
        <v>2209</v>
      </c>
      <c r="X117" t="s">
        <v>2211</v>
      </c>
      <c r="Y117" t="s">
        <v>2212</v>
      </c>
      <c r="Z117" s="1">
        <v>45544</v>
      </c>
      <c r="AA117" s="1">
        <v>45550</v>
      </c>
      <c r="AB117" t="s">
        <v>2214</v>
      </c>
      <c r="AC117" t="s">
        <v>2209</v>
      </c>
      <c r="AD117" t="s">
        <v>2218</v>
      </c>
      <c r="AE117" t="s">
        <v>2165</v>
      </c>
      <c r="AG117" t="s">
        <v>2221</v>
      </c>
      <c r="AH117">
        <v>98</v>
      </c>
      <c r="AI117">
        <v>125</v>
      </c>
      <c r="AJ117">
        <v>27</v>
      </c>
      <c r="AK117">
        <v>5</v>
      </c>
      <c r="AL117" t="s">
        <v>2224</v>
      </c>
      <c r="AM117">
        <v>0</v>
      </c>
      <c r="AN117" t="s">
        <v>2175</v>
      </c>
      <c r="AO117" t="s">
        <v>2175</v>
      </c>
      <c r="AP117" t="s">
        <v>2175</v>
      </c>
      <c r="AQ117">
        <v>187.44</v>
      </c>
      <c r="AR117">
        <v>3</v>
      </c>
      <c r="AS117">
        <v>3</v>
      </c>
      <c r="AT117">
        <v>3</v>
      </c>
      <c r="AU117">
        <v>3</v>
      </c>
      <c r="AV117">
        <v>3</v>
      </c>
      <c r="AW117">
        <v>4.5999999999999996</v>
      </c>
      <c r="AY117">
        <v>4.5</v>
      </c>
      <c r="AZ117">
        <v>1</v>
      </c>
      <c r="BA117">
        <v>0</v>
      </c>
      <c r="BB117">
        <v>36</v>
      </c>
      <c r="BC117">
        <v>27</v>
      </c>
      <c r="BD117">
        <v>31.37</v>
      </c>
      <c r="BE117">
        <v>158</v>
      </c>
      <c r="BF117">
        <v>87.1</v>
      </c>
      <c r="BG117">
        <v>35</v>
      </c>
      <c r="BH117">
        <v>27</v>
      </c>
      <c r="BI117">
        <v>30.96</v>
      </c>
      <c r="BJ117">
        <v>158</v>
      </c>
      <c r="BK117">
        <v>88.5</v>
      </c>
      <c r="BL117">
        <v>158</v>
      </c>
      <c r="BM117">
        <v>11.007300000000001</v>
      </c>
    </row>
    <row r="118" spans="1:65" x14ac:dyDescent="0.25">
      <c r="A118" t="s">
        <v>181</v>
      </c>
      <c r="B118" t="s">
        <v>1215</v>
      </c>
      <c r="C118" t="s">
        <v>2157</v>
      </c>
      <c r="D118" s="1">
        <v>45341</v>
      </c>
      <c r="E118" s="1">
        <v>45379</v>
      </c>
      <c r="F118" s="1">
        <v>45528</v>
      </c>
      <c r="G118" t="s">
        <v>2166</v>
      </c>
      <c r="H118" t="s">
        <v>2172</v>
      </c>
      <c r="I118" t="s">
        <v>2173</v>
      </c>
      <c r="J118">
        <v>50444</v>
      </c>
      <c r="K118">
        <v>1514</v>
      </c>
      <c r="L118">
        <v>6.1</v>
      </c>
      <c r="M118">
        <v>7.1</v>
      </c>
      <c r="N118">
        <v>5</v>
      </c>
      <c r="O118">
        <v>9312</v>
      </c>
      <c r="P118" t="s">
        <v>2176</v>
      </c>
      <c r="Q118">
        <v>18</v>
      </c>
      <c r="R118">
        <v>30</v>
      </c>
      <c r="S118">
        <v>70</v>
      </c>
      <c r="T118">
        <v>726</v>
      </c>
      <c r="U118" t="s">
        <v>2161</v>
      </c>
      <c r="V118" t="s">
        <v>2167</v>
      </c>
      <c r="W118" t="s">
        <v>2209</v>
      </c>
      <c r="X118" t="s">
        <v>2211</v>
      </c>
      <c r="Y118" t="s">
        <v>2212</v>
      </c>
      <c r="Z118" s="1">
        <v>45528</v>
      </c>
      <c r="AA118" s="1">
        <v>45528</v>
      </c>
      <c r="AB118" t="s">
        <v>2214</v>
      </c>
      <c r="AC118" t="s">
        <v>2209</v>
      </c>
      <c r="AD118" t="s">
        <v>2218</v>
      </c>
      <c r="AE118" t="s">
        <v>2161</v>
      </c>
      <c r="AG118" t="s">
        <v>2221</v>
      </c>
      <c r="AH118">
        <v>118</v>
      </c>
      <c r="AI118">
        <v>149</v>
      </c>
      <c r="AJ118">
        <v>31</v>
      </c>
      <c r="AK118">
        <v>3</v>
      </c>
      <c r="AL118" t="s">
        <v>2227</v>
      </c>
      <c r="AM118">
        <v>0</v>
      </c>
      <c r="AN118" t="s">
        <v>2177</v>
      </c>
      <c r="AO118" t="s">
        <v>2177</v>
      </c>
      <c r="AP118" t="s">
        <v>2177</v>
      </c>
      <c r="AQ118">
        <v>43.31</v>
      </c>
      <c r="AR118">
        <v>1</v>
      </c>
      <c r="AS118">
        <v>2</v>
      </c>
      <c r="AT118">
        <v>2</v>
      </c>
      <c r="AU118">
        <v>2</v>
      </c>
      <c r="AV118">
        <v>2</v>
      </c>
      <c r="AW118">
        <v>4.3</v>
      </c>
      <c r="AY118">
        <v>4.8</v>
      </c>
      <c r="AZ118">
        <v>1</v>
      </c>
      <c r="BA118">
        <v>3</v>
      </c>
      <c r="BB118">
        <v>38</v>
      </c>
      <c r="BC118">
        <v>26</v>
      </c>
      <c r="BD118">
        <v>33.729999999999997</v>
      </c>
      <c r="BE118">
        <v>164</v>
      </c>
      <c r="BF118">
        <v>88.8</v>
      </c>
      <c r="BG118">
        <v>49</v>
      </c>
      <c r="BH118">
        <v>26</v>
      </c>
      <c r="BI118">
        <v>43.12</v>
      </c>
      <c r="BJ118">
        <v>216</v>
      </c>
      <c r="BK118">
        <v>88</v>
      </c>
      <c r="BL118">
        <v>164</v>
      </c>
      <c r="BM118">
        <v>11.827400000000001</v>
      </c>
    </row>
    <row r="119" spans="1:65" x14ac:dyDescent="0.25">
      <c r="A119" t="s">
        <v>182</v>
      </c>
      <c r="B119" t="s">
        <v>1287</v>
      </c>
      <c r="C119" t="s">
        <v>2157</v>
      </c>
      <c r="D119" s="1">
        <v>45432</v>
      </c>
      <c r="E119" s="1">
        <v>45474</v>
      </c>
      <c r="F119" s="1">
        <v>45637</v>
      </c>
      <c r="G119" t="s">
        <v>2165</v>
      </c>
      <c r="H119" t="s">
        <v>2171</v>
      </c>
      <c r="I119" t="s">
        <v>2173</v>
      </c>
      <c r="J119">
        <v>54431</v>
      </c>
      <c r="K119">
        <v>1633</v>
      </c>
      <c r="L119">
        <v>13.1</v>
      </c>
      <c r="M119">
        <v>7.1</v>
      </c>
      <c r="N119">
        <v>6</v>
      </c>
      <c r="O119">
        <v>15706</v>
      </c>
      <c r="P119" t="s">
        <v>2177</v>
      </c>
      <c r="Q119">
        <v>18</v>
      </c>
      <c r="R119">
        <v>30</v>
      </c>
      <c r="S119">
        <v>81</v>
      </c>
      <c r="T119">
        <v>673</v>
      </c>
      <c r="U119" t="s">
        <v>2166</v>
      </c>
      <c r="V119" t="s">
        <v>2172</v>
      </c>
      <c r="W119" t="s">
        <v>2209</v>
      </c>
      <c r="X119" t="s">
        <v>2211</v>
      </c>
      <c r="Y119" t="s">
        <v>2212</v>
      </c>
      <c r="Z119" s="1">
        <v>45635</v>
      </c>
      <c r="AA119" s="1">
        <v>45641</v>
      </c>
      <c r="AB119" t="s">
        <v>2214</v>
      </c>
      <c r="AC119" t="s">
        <v>2209</v>
      </c>
      <c r="AD119" t="s">
        <v>2218</v>
      </c>
      <c r="AE119" t="s">
        <v>2166</v>
      </c>
      <c r="AG119" t="s">
        <v>2221</v>
      </c>
      <c r="AH119">
        <v>129</v>
      </c>
      <c r="AI119">
        <v>161</v>
      </c>
      <c r="AJ119">
        <v>32</v>
      </c>
      <c r="AK119">
        <v>7</v>
      </c>
      <c r="AL119" t="s">
        <v>2226</v>
      </c>
      <c r="AM119">
        <v>0</v>
      </c>
      <c r="AN119" t="s">
        <v>2177</v>
      </c>
      <c r="AO119" t="s">
        <v>2177</v>
      </c>
      <c r="AP119" t="s">
        <v>2175</v>
      </c>
      <c r="AQ119">
        <v>93.009999999999991</v>
      </c>
      <c r="AR119">
        <v>2</v>
      </c>
      <c r="AS119">
        <v>2</v>
      </c>
      <c r="AT119">
        <v>2</v>
      </c>
      <c r="AU119">
        <v>3</v>
      </c>
      <c r="AV119">
        <v>2.333333333333333</v>
      </c>
      <c r="AW119">
        <v>4.8</v>
      </c>
      <c r="AY119">
        <v>4.5999999999999996</v>
      </c>
      <c r="AZ119">
        <v>1</v>
      </c>
      <c r="BA119">
        <v>3</v>
      </c>
      <c r="BB119">
        <v>48</v>
      </c>
      <c r="BC119">
        <v>27</v>
      </c>
      <c r="BD119">
        <v>42.33</v>
      </c>
      <c r="BE119">
        <v>216</v>
      </c>
      <c r="BF119">
        <v>88.2</v>
      </c>
      <c r="BG119">
        <v>38</v>
      </c>
      <c r="BH119">
        <v>27</v>
      </c>
      <c r="BI119">
        <v>34</v>
      </c>
      <c r="BJ119">
        <v>174</v>
      </c>
      <c r="BK119">
        <v>89.5</v>
      </c>
      <c r="BL119">
        <v>216</v>
      </c>
      <c r="BM119">
        <v>9.3315999999999999</v>
      </c>
    </row>
    <row r="120" spans="1:65" x14ac:dyDescent="0.25">
      <c r="A120" t="s">
        <v>183</v>
      </c>
      <c r="B120" t="s">
        <v>1288</v>
      </c>
      <c r="C120" t="s">
        <v>2159</v>
      </c>
      <c r="D120" s="1">
        <v>45327</v>
      </c>
      <c r="E120" s="1">
        <v>45371</v>
      </c>
      <c r="F120" s="1">
        <v>45445</v>
      </c>
      <c r="G120" t="s">
        <v>2161</v>
      </c>
      <c r="H120" t="s">
        <v>2167</v>
      </c>
      <c r="I120" t="s">
        <v>2176</v>
      </c>
      <c r="J120">
        <v>15008</v>
      </c>
      <c r="K120">
        <v>451</v>
      </c>
      <c r="L120">
        <v>6.5</v>
      </c>
      <c r="M120">
        <v>10.3</v>
      </c>
      <c r="N120">
        <v>3</v>
      </c>
      <c r="O120">
        <v>5975</v>
      </c>
      <c r="P120" t="s">
        <v>2176</v>
      </c>
      <c r="Q120">
        <v>10</v>
      </c>
      <c r="R120">
        <v>14</v>
      </c>
      <c r="S120">
        <v>23</v>
      </c>
      <c r="T120">
        <v>674</v>
      </c>
      <c r="U120" t="s">
        <v>2163</v>
      </c>
      <c r="V120" t="s">
        <v>2169</v>
      </c>
      <c r="W120" t="s">
        <v>2209</v>
      </c>
      <c r="X120" t="s">
        <v>2211</v>
      </c>
      <c r="Y120" t="s">
        <v>2212</v>
      </c>
      <c r="Z120" s="1">
        <v>45437</v>
      </c>
      <c r="AA120" s="1">
        <v>45437</v>
      </c>
      <c r="AB120" t="s">
        <v>2214</v>
      </c>
      <c r="AC120" t="s">
        <v>2209</v>
      </c>
      <c r="AD120" t="s">
        <v>2218</v>
      </c>
      <c r="AE120" t="s">
        <v>2163</v>
      </c>
      <c r="AG120" t="s">
        <v>2221</v>
      </c>
      <c r="AH120">
        <v>47</v>
      </c>
      <c r="AI120">
        <v>66</v>
      </c>
      <c r="AJ120">
        <v>19</v>
      </c>
      <c r="AK120">
        <v>3</v>
      </c>
      <c r="AL120" t="s">
        <v>2227</v>
      </c>
      <c r="AM120">
        <v>0</v>
      </c>
      <c r="AN120" t="s">
        <v>2177</v>
      </c>
      <c r="AO120" t="s">
        <v>2176</v>
      </c>
      <c r="AP120" t="s">
        <v>2176</v>
      </c>
      <c r="AQ120">
        <v>66.95</v>
      </c>
      <c r="AR120">
        <v>1</v>
      </c>
      <c r="AS120">
        <v>2</v>
      </c>
      <c r="AT120">
        <v>1</v>
      </c>
      <c r="AU120">
        <v>1</v>
      </c>
      <c r="AV120">
        <v>1.333333333333333</v>
      </c>
      <c r="AW120">
        <v>4.4000000000000004</v>
      </c>
      <c r="AY120">
        <v>4.3</v>
      </c>
      <c r="AZ120">
        <v>3</v>
      </c>
      <c r="BA120">
        <v>1</v>
      </c>
      <c r="BB120">
        <v>35</v>
      </c>
      <c r="BC120">
        <v>26</v>
      </c>
      <c r="BD120">
        <v>31.08</v>
      </c>
      <c r="BE120">
        <v>149</v>
      </c>
      <c r="BF120">
        <v>88.8</v>
      </c>
      <c r="BG120">
        <v>38</v>
      </c>
      <c r="BH120">
        <v>26</v>
      </c>
      <c r="BI120">
        <v>33.729999999999997</v>
      </c>
      <c r="BJ120">
        <v>164</v>
      </c>
      <c r="BK120">
        <v>88.8</v>
      </c>
      <c r="BL120">
        <v>149</v>
      </c>
      <c r="BM120">
        <v>3.8730000000000002</v>
      </c>
    </row>
    <row r="121" spans="1:65" x14ac:dyDescent="0.25">
      <c r="A121" t="s">
        <v>184</v>
      </c>
      <c r="B121" t="s">
        <v>1289</v>
      </c>
      <c r="C121" t="s">
        <v>2159</v>
      </c>
      <c r="D121" s="1">
        <v>45334</v>
      </c>
      <c r="E121" s="1">
        <v>45368</v>
      </c>
      <c r="F121" s="1">
        <v>45455</v>
      </c>
      <c r="G121" t="s">
        <v>2163</v>
      </c>
      <c r="H121" t="s">
        <v>2169</v>
      </c>
      <c r="I121" t="s">
        <v>2173</v>
      </c>
      <c r="J121">
        <v>23321</v>
      </c>
      <c r="K121">
        <v>700</v>
      </c>
      <c r="L121">
        <v>9.1999999999999993</v>
      </c>
      <c r="M121">
        <v>13.3</v>
      </c>
      <c r="N121">
        <v>7</v>
      </c>
      <c r="O121">
        <v>7410</v>
      </c>
      <c r="P121" t="s">
        <v>2177</v>
      </c>
      <c r="Q121">
        <v>14</v>
      </c>
      <c r="R121">
        <v>20</v>
      </c>
      <c r="S121">
        <v>29</v>
      </c>
      <c r="T121">
        <v>813</v>
      </c>
      <c r="U121" t="s">
        <v>2164</v>
      </c>
      <c r="V121" t="s">
        <v>2170</v>
      </c>
      <c r="W121" t="s">
        <v>2209</v>
      </c>
      <c r="X121" t="s">
        <v>2211</v>
      </c>
      <c r="Y121" t="s">
        <v>2212</v>
      </c>
      <c r="Z121" s="1">
        <v>45452</v>
      </c>
      <c r="AA121" s="1">
        <v>45458</v>
      </c>
      <c r="AB121" t="s">
        <v>2214</v>
      </c>
      <c r="AC121" t="s">
        <v>2209</v>
      </c>
      <c r="AD121" t="s">
        <v>2218</v>
      </c>
      <c r="AE121" t="s">
        <v>2164</v>
      </c>
      <c r="AG121" t="s">
        <v>2221</v>
      </c>
      <c r="AH121">
        <v>63</v>
      </c>
      <c r="AI121">
        <v>84</v>
      </c>
      <c r="AJ121">
        <v>21</v>
      </c>
      <c r="AK121">
        <v>3</v>
      </c>
      <c r="AL121" t="s">
        <v>2227</v>
      </c>
      <c r="AM121">
        <v>0</v>
      </c>
      <c r="AN121" t="s">
        <v>2177</v>
      </c>
      <c r="AO121" t="s">
        <v>2175</v>
      </c>
      <c r="AP121" t="s">
        <v>2177</v>
      </c>
      <c r="AQ121">
        <v>122.36</v>
      </c>
      <c r="AR121">
        <v>2</v>
      </c>
      <c r="AS121">
        <v>2</v>
      </c>
      <c r="AT121">
        <v>3</v>
      </c>
      <c r="AU121">
        <v>2</v>
      </c>
      <c r="AV121">
        <v>2.333333333333333</v>
      </c>
      <c r="AW121">
        <v>4.5</v>
      </c>
      <c r="AY121">
        <v>4.4000000000000004</v>
      </c>
      <c r="AZ121">
        <v>3</v>
      </c>
      <c r="BA121">
        <v>3</v>
      </c>
      <c r="BB121">
        <v>30</v>
      </c>
      <c r="BC121">
        <v>26</v>
      </c>
      <c r="BD121">
        <v>26.31</v>
      </c>
      <c r="BE121">
        <v>128</v>
      </c>
      <c r="BF121">
        <v>87.7</v>
      </c>
      <c r="BG121">
        <v>35</v>
      </c>
      <c r="BH121">
        <v>26</v>
      </c>
      <c r="BI121">
        <v>31.08</v>
      </c>
      <c r="BJ121">
        <v>149</v>
      </c>
      <c r="BK121">
        <v>88.8</v>
      </c>
      <c r="BL121">
        <v>128</v>
      </c>
      <c r="BM121">
        <v>7.0053999999999998</v>
      </c>
    </row>
    <row r="122" spans="1:65" x14ac:dyDescent="0.25">
      <c r="A122" t="s">
        <v>185</v>
      </c>
      <c r="B122" t="s">
        <v>1290</v>
      </c>
      <c r="C122" t="s">
        <v>2160</v>
      </c>
      <c r="D122" s="1">
        <v>45404</v>
      </c>
      <c r="E122" s="1">
        <v>45435</v>
      </c>
      <c r="F122" s="1">
        <v>45461</v>
      </c>
      <c r="G122" t="s">
        <v>2164</v>
      </c>
      <c r="H122" t="s">
        <v>2170</v>
      </c>
      <c r="I122" t="s">
        <v>2175</v>
      </c>
      <c r="J122">
        <v>2762</v>
      </c>
      <c r="K122">
        <v>83</v>
      </c>
      <c r="L122">
        <v>16.2</v>
      </c>
      <c r="M122">
        <v>15.2</v>
      </c>
      <c r="N122">
        <v>5</v>
      </c>
      <c r="O122">
        <v>19969</v>
      </c>
      <c r="P122" t="s">
        <v>2178</v>
      </c>
      <c r="Q122">
        <v>5</v>
      </c>
      <c r="R122">
        <v>8</v>
      </c>
      <c r="S122">
        <v>3</v>
      </c>
      <c r="T122">
        <v>974</v>
      </c>
      <c r="U122" t="s">
        <v>2164</v>
      </c>
      <c r="V122" t="s">
        <v>2170</v>
      </c>
      <c r="W122" t="s">
        <v>2208</v>
      </c>
      <c r="X122" t="s">
        <v>2210</v>
      </c>
      <c r="Y122" t="s">
        <v>2212</v>
      </c>
      <c r="Z122" s="1">
        <v>45464</v>
      </c>
      <c r="AA122" s="1">
        <v>45466</v>
      </c>
      <c r="AB122" t="s">
        <v>2215</v>
      </c>
      <c r="AC122" t="s">
        <v>2208</v>
      </c>
      <c r="AD122" t="s">
        <v>2217</v>
      </c>
      <c r="AE122" t="s">
        <v>2164</v>
      </c>
      <c r="AG122" t="s">
        <v>2220</v>
      </c>
      <c r="AH122">
        <v>16</v>
      </c>
      <c r="AI122">
        <v>29</v>
      </c>
      <c r="AJ122">
        <v>13</v>
      </c>
      <c r="AK122">
        <v>5</v>
      </c>
      <c r="AL122" t="s">
        <v>2224</v>
      </c>
      <c r="AM122">
        <v>0</v>
      </c>
      <c r="AN122" t="s">
        <v>2175</v>
      </c>
      <c r="AO122" t="s">
        <v>2177</v>
      </c>
      <c r="AP122" t="s">
        <v>2175</v>
      </c>
      <c r="AQ122">
        <v>246.24</v>
      </c>
      <c r="AR122">
        <v>3</v>
      </c>
      <c r="AS122">
        <v>3</v>
      </c>
      <c r="AT122">
        <v>2</v>
      </c>
      <c r="AU122">
        <v>3</v>
      </c>
      <c r="AV122">
        <v>2.666666666666667</v>
      </c>
      <c r="AW122">
        <v>4.5</v>
      </c>
      <c r="AY122">
        <v>4.5</v>
      </c>
      <c r="AZ122">
        <v>0</v>
      </c>
      <c r="BA122">
        <v>0</v>
      </c>
      <c r="BB122">
        <v>35</v>
      </c>
      <c r="BC122">
        <v>27</v>
      </c>
      <c r="BD122">
        <v>30.96</v>
      </c>
      <c r="BE122">
        <v>158</v>
      </c>
      <c r="BF122">
        <v>88.5</v>
      </c>
      <c r="BG122">
        <v>35</v>
      </c>
      <c r="BH122">
        <v>27</v>
      </c>
      <c r="BI122">
        <v>30.96</v>
      </c>
      <c r="BJ122">
        <v>158</v>
      </c>
      <c r="BK122">
        <v>88.5</v>
      </c>
      <c r="BL122">
        <v>158</v>
      </c>
      <c r="BM122">
        <v>0.64729999999999999</v>
      </c>
    </row>
    <row r="123" spans="1:65" x14ac:dyDescent="0.25">
      <c r="A123" t="s">
        <v>186</v>
      </c>
      <c r="B123" t="s">
        <v>1291</v>
      </c>
      <c r="C123" t="s">
        <v>2160</v>
      </c>
      <c r="D123" s="1">
        <v>45369</v>
      </c>
      <c r="E123" s="1">
        <v>45403</v>
      </c>
      <c r="F123" s="1">
        <v>45448</v>
      </c>
      <c r="G123" t="s">
        <v>2165</v>
      </c>
      <c r="H123" t="s">
        <v>2171</v>
      </c>
      <c r="I123" t="s">
        <v>2173</v>
      </c>
      <c r="J123">
        <v>5949</v>
      </c>
      <c r="K123">
        <v>179</v>
      </c>
      <c r="L123">
        <v>9.9</v>
      </c>
      <c r="M123">
        <v>12.5</v>
      </c>
      <c r="N123">
        <v>7</v>
      </c>
      <c r="O123">
        <v>10377</v>
      </c>
      <c r="P123" t="s">
        <v>2177</v>
      </c>
      <c r="Q123">
        <v>7</v>
      </c>
      <c r="R123">
        <v>10</v>
      </c>
      <c r="S123">
        <v>9</v>
      </c>
      <c r="T123">
        <v>732</v>
      </c>
      <c r="U123" t="s">
        <v>2164</v>
      </c>
      <c r="V123" t="s">
        <v>2170</v>
      </c>
      <c r="W123" t="s">
        <v>2209</v>
      </c>
      <c r="X123" t="s">
        <v>2211</v>
      </c>
      <c r="Y123" t="s">
        <v>2212</v>
      </c>
      <c r="Z123" s="1">
        <v>45443</v>
      </c>
      <c r="AA123" s="1">
        <v>45445</v>
      </c>
      <c r="AB123" t="s">
        <v>2214</v>
      </c>
      <c r="AC123" t="s">
        <v>2209</v>
      </c>
      <c r="AD123" t="s">
        <v>2218</v>
      </c>
      <c r="AE123" t="s">
        <v>2164</v>
      </c>
      <c r="AG123" t="s">
        <v>2221</v>
      </c>
      <c r="AH123">
        <v>26</v>
      </c>
      <c r="AI123">
        <v>40</v>
      </c>
      <c r="AJ123">
        <v>14</v>
      </c>
      <c r="AK123">
        <v>4</v>
      </c>
      <c r="AL123" t="s">
        <v>2225</v>
      </c>
      <c r="AM123">
        <v>0</v>
      </c>
      <c r="AN123" t="s">
        <v>2177</v>
      </c>
      <c r="AO123" t="s">
        <v>2175</v>
      </c>
      <c r="AP123" t="s">
        <v>2177</v>
      </c>
      <c r="AQ123">
        <v>123.75</v>
      </c>
      <c r="AR123">
        <v>2</v>
      </c>
      <c r="AS123">
        <v>2</v>
      </c>
      <c r="AT123">
        <v>3</v>
      </c>
      <c r="AU123">
        <v>2</v>
      </c>
      <c r="AV123">
        <v>2.333333333333333</v>
      </c>
      <c r="AW123">
        <v>4.5</v>
      </c>
      <c r="AY123">
        <v>4.5999999999999996</v>
      </c>
      <c r="AZ123">
        <v>0</v>
      </c>
      <c r="BA123">
        <v>3</v>
      </c>
      <c r="BB123">
        <v>30</v>
      </c>
      <c r="BC123">
        <v>26</v>
      </c>
      <c r="BD123">
        <v>26.42</v>
      </c>
      <c r="BE123">
        <v>126</v>
      </c>
      <c r="BF123">
        <v>88.1</v>
      </c>
      <c r="BG123">
        <v>46</v>
      </c>
      <c r="BH123">
        <v>26</v>
      </c>
      <c r="BI123">
        <v>40.729999999999997</v>
      </c>
      <c r="BJ123">
        <v>203</v>
      </c>
      <c r="BK123">
        <v>88.5</v>
      </c>
      <c r="BL123">
        <v>126</v>
      </c>
      <c r="BM123">
        <v>1.8153999999999999</v>
      </c>
    </row>
    <row r="124" spans="1:65" x14ac:dyDescent="0.25">
      <c r="A124" t="s">
        <v>187</v>
      </c>
      <c r="B124" t="s">
        <v>1280</v>
      </c>
      <c r="C124" t="s">
        <v>2157</v>
      </c>
      <c r="D124" s="1">
        <v>45299</v>
      </c>
      <c r="E124" s="1">
        <v>45331</v>
      </c>
      <c r="F124" s="1">
        <v>45480</v>
      </c>
      <c r="G124" t="s">
        <v>2162</v>
      </c>
      <c r="H124" t="s">
        <v>2168</v>
      </c>
      <c r="I124" t="s">
        <v>2174</v>
      </c>
      <c r="J124">
        <v>40146</v>
      </c>
      <c r="K124">
        <v>1205</v>
      </c>
      <c r="L124">
        <v>5.5</v>
      </c>
      <c r="M124">
        <v>6.3</v>
      </c>
      <c r="N124">
        <v>2</v>
      </c>
      <c r="O124">
        <v>5112</v>
      </c>
      <c r="P124" t="s">
        <v>2176</v>
      </c>
      <c r="Q124">
        <v>18</v>
      </c>
      <c r="R124">
        <v>30</v>
      </c>
      <c r="S124">
        <v>62</v>
      </c>
      <c r="T124">
        <v>654</v>
      </c>
      <c r="U124" t="s">
        <v>2166</v>
      </c>
      <c r="V124" t="s">
        <v>2172</v>
      </c>
      <c r="W124" t="s">
        <v>2209</v>
      </c>
      <c r="X124" t="s">
        <v>2211</v>
      </c>
      <c r="Y124" t="s">
        <v>2212</v>
      </c>
      <c r="Z124" s="1">
        <v>45470</v>
      </c>
      <c r="AA124" s="1">
        <v>45472</v>
      </c>
      <c r="AB124" t="s">
        <v>2214</v>
      </c>
      <c r="AC124" t="s">
        <v>2209</v>
      </c>
      <c r="AD124" t="s">
        <v>2218</v>
      </c>
      <c r="AE124" t="s">
        <v>2166</v>
      </c>
      <c r="AG124" t="s">
        <v>2221</v>
      </c>
      <c r="AH124">
        <v>110</v>
      </c>
      <c r="AI124">
        <v>139</v>
      </c>
      <c r="AJ124">
        <v>29</v>
      </c>
      <c r="AK124">
        <v>2</v>
      </c>
      <c r="AL124" t="s">
        <v>2228</v>
      </c>
      <c r="AM124">
        <v>0</v>
      </c>
      <c r="AN124" t="s">
        <v>2177</v>
      </c>
      <c r="AO124" t="s">
        <v>2176</v>
      </c>
      <c r="AP124" t="s">
        <v>2176</v>
      </c>
      <c r="AQ124">
        <v>34.65</v>
      </c>
      <c r="AR124">
        <v>1</v>
      </c>
      <c r="AS124">
        <v>2</v>
      </c>
      <c r="AT124">
        <v>1</v>
      </c>
      <c r="AU124">
        <v>1</v>
      </c>
      <c r="AV124">
        <v>1.333333333333333</v>
      </c>
      <c r="AW124">
        <v>4.8</v>
      </c>
      <c r="AY124">
        <v>4.2</v>
      </c>
      <c r="AZ124">
        <v>1</v>
      </c>
      <c r="BA124">
        <v>2</v>
      </c>
      <c r="BB124">
        <v>40</v>
      </c>
      <c r="BC124">
        <v>24</v>
      </c>
      <c r="BD124">
        <v>35.54</v>
      </c>
      <c r="BE124">
        <v>160</v>
      </c>
      <c r="BF124">
        <v>88.8</v>
      </c>
      <c r="BG124">
        <v>34</v>
      </c>
      <c r="BH124">
        <v>24</v>
      </c>
      <c r="BI124">
        <v>30.5</v>
      </c>
      <c r="BJ124">
        <v>136</v>
      </c>
      <c r="BK124">
        <v>89.7</v>
      </c>
      <c r="BL124">
        <v>160</v>
      </c>
      <c r="BM124">
        <v>10.452</v>
      </c>
    </row>
    <row r="125" spans="1:65" x14ac:dyDescent="0.25">
      <c r="A125" t="s">
        <v>188</v>
      </c>
      <c r="B125" t="s">
        <v>1292</v>
      </c>
      <c r="C125" t="s">
        <v>2160</v>
      </c>
      <c r="D125" s="1">
        <v>45348</v>
      </c>
      <c r="E125" s="1">
        <v>45392</v>
      </c>
      <c r="F125" s="1">
        <v>45449</v>
      </c>
      <c r="G125" t="s">
        <v>2164</v>
      </c>
      <c r="H125" t="s">
        <v>2170</v>
      </c>
      <c r="I125" t="s">
        <v>2173</v>
      </c>
      <c r="J125">
        <v>10360</v>
      </c>
      <c r="K125">
        <v>311</v>
      </c>
      <c r="L125">
        <v>9</v>
      </c>
      <c r="M125">
        <v>11.8</v>
      </c>
      <c r="N125">
        <v>5</v>
      </c>
      <c r="O125">
        <v>10726</v>
      </c>
      <c r="P125" t="s">
        <v>2177</v>
      </c>
      <c r="Q125">
        <v>10</v>
      </c>
      <c r="R125">
        <v>14</v>
      </c>
      <c r="S125">
        <v>16</v>
      </c>
      <c r="T125">
        <v>675</v>
      </c>
      <c r="U125" t="s">
        <v>2179</v>
      </c>
      <c r="W125" t="s">
        <v>2209</v>
      </c>
      <c r="X125" t="s">
        <v>2211</v>
      </c>
      <c r="Y125" t="s">
        <v>2213</v>
      </c>
      <c r="Z125" s="1">
        <v>45449</v>
      </c>
      <c r="AA125" s="1">
        <v>45451</v>
      </c>
      <c r="AB125" t="s">
        <v>2214</v>
      </c>
      <c r="AC125" t="s">
        <v>2209</v>
      </c>
      <c r="AD125" t="s">
        <v>2219</v>
      </c>
      <c r="AE125" t="s">
        <v>2165</v>
      </c>
      <c r="AF125" t="s">
        <v>2162</v>
      </c>
      <c r="AG125" t="s">
        <v>2222</v>
      </c>
      <c r="AH125">
        <v>40</v>
      </c>
      <c r="AI125">
        <v>57</v>
      </c>
      <c r="AJ125">
        <v>17</v>
      </c>
      <c r="AK125">
        <v>4</v>
      </c>
      <c r="AL125" t="s">
        <v>2225</v>
      </c>
      <c r="AM125">
        <v>0</v>
      </c>
      <c r="AN125" t="s">
        <v>2177</v>
      </c>
      <c r="AO125" t="s">
        <v>2177</v>
      </c>
      <c r="AP125" t="s">
        <v>2177</v>
      </c>
      <c r="AQ125">
        <v>106.2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4.5999999999999996</v>
      </c>
      <c r="AX125">
        <v>4.2</v>
      </c>
      <c r="AY125">
        <v>4.5</v>
      </c>
      <c r="AZ125">
        <v>0</v>
      </c>
      <c r="BA125">
        <v>3</v>
      </c>
      <c r="BB125">
        <v>46</v>
      </c>
      <c r="BC125">
        <v>26</v>
      </c>
      <c r="BD125">
        <v>40.729999999999997</v>
      </c>
      <c r="BE125">
        <v>203</v>
      </c>
      <c r="BF125">
        <v>88.5</v>
      </c>
      <c r="BG125">
        <v>30</v>
      </c>
      <c r="BH125">
        <v>26</v>
      </c>
      <c r="BI125">
        <v>26.42</v>
      </c>
      <c r="BJ125">
        <v>126</v>
      </c>
      <c r="BK125">
        <v>88.1</v>
      </c>
      <c r="BL125">
        <v>307</v>
      </c>
      <c r="BM125">
        <v>1.9624999999999999</v>
      </c>
    </row>
    <row r="126" spans="1:65" x14ac:dyDescent="0.25">
      <c r="A126" t="s">
        <v>189</v>
      </c>
      <c r="B126" t="s">
        <v>1293</v>
      </c>
      <c r="C126" t="s">
        <v>2159</v>
      </c>
      <c r="D126" s="1">
        <v>45397</v>
      </c>
      <c r="E126" s="1">
        <v>45429</v>
      </c>
      <c r="F126" s="1">
        <v>45512</v>
      </c>
      <c r="G126" t="s">
        <v>2164</v>
      </c>
      <c r="H126" t="s">
        <v>2170</v>
      </c>
      <c r="I126" t="s">
        <v>2175</v>
      </c>
      <c r="J126">
        <v>21270</v>
      </c>
      <c r="K126">
        <v>639</v>
      </c>
      <c r="L126">
        <v>15.7</v>
      </c>
      <c r="M126">
        <v>10</v>
      </c>
      <c r="N126">
        <v>6</v>
      </c>
      <c r="O126">
        <v>15929</v>
      </c>
      <c r="P126" t="s">
        <v>2178</v>
      </c>
      <c r="Q126">
        <v>14</v>
      </c>
      <c r="R126">
        <v>20</v>
      </c>
      <c r="S126">
        <v>26</v>
      </c>
      <c r="T126">
        <v>823</v>
      </c>
      <c r="U126" t="s">
        <v>2164</v>
      </c>
      <c r="V126" t="s">
        <v>2170</v>
      </c>
      <c r="W126" t="s">
        <v>2209</v>
      </c>
      <c r="X126" t="s">
        <v>2211</v>
      </c>
      <c r="Y126" t="s">
        <v>2212</v>
      </c>
      <c r="Z126" s="1">
        <v>45510</v>
      </c>
      <c r="AA126" s="1">
        <v>45515</v>
      </c>
      <c r="AB126" t="s">
        <v>2214</v>
      </c>
      <c r="AC126" t="s">
        <v>2209</v>
      </c>
      <c r="AD126" t="s">
        <v>2218</v>
      </c>
      <c r="AE126" t="s">
        <v>2164</v>
      </c>
      <c r="AG126" t="s">
        <v>2221</v>
      </c>
      <c r="AH126">
        <v>60</v>
      </c>
      <c r="AI126">
        <v>81</v>
      </c>
      <c r="AJ126">
        <v>21</v>
      </c>
      <c r="AK126">
        <v>5</v>
      </c>
      <c r="AL126" t="s">
        <v>2224</v>
      </c>
      <c r="AM126">
        <v>0</v>
      </c>
      <c r="AN126" t="s">
        <v>2175</v>
      </c>
      <c r="AO126" t="s">
        <v>2177</v>
      </c>
      <c r="AP126" t="s">
        <v>2175</v>
      </c>
      <c r="AQ126">
        <v>157</v>
      </c>
      <c r="AR126">
        <v>3</v>
      </c>
      <c r="AS126">
        <v>3</v>
      </c>
      <c r="AT126">
        <v>2</v>
      </c>
      <c r="AU126">
        <v>3</v>
      </c>
      <c r="AV126">
        <v>2.666666666666667</v>
      </c>
      <c r="AW126">
        <v>4.5</v>
      </c>
      <c r="AY126">
        <v>4.5</v>
      </c>
      <c r="AZ126">
        <v>3</v>
      </c>
      <c r="BA126">
        <v>0</v>
      </c>
      <c r="BB126">
        <v>35</v>
      </c>
      <c r="BC126">
        <v>27</v>
      </c>
      <c r="BD126">
        <v>30.96</v>
      </c>
      <c r="BE126">
        <v>158</v>
      </c>
      <c r="BF126">
        <v>88.5</v>
      </c>
      <c r="BG126">
        <v>35</v>
      </c>
      <c r="BH126">
        <v>27</v>
      </c>
      <c r="BI126">
        <v>30.96</v>
      </c>
      <c r="BJ126">
        <v>158</v>
      </c>
      <c r="BK126">
        <v>88.5</v>
      </c>
      <c r="BL126">
        <v>158</v>
      </c>
      <c r="BM126">
        <v>4.9847999999999999</v>
      </c>
    </row>
    <row r="127" spans="1:65" x14ac:dyDescent="0.25">
      <c r="A127" t="s">
        <v>190</v>
      </c>
      <c r="B127" t="s">
        <v>1232</v>
      </c>
      <c r="C127" t="s">
        <v>2159</v>
      </c>
      <c r="D127" s="1">
        <v>45453</v>
      </c>
      <c r="E127" s="1">
        <v>45484</v>
      </c>
      <c r="F127" s="1">
        <v>45567</v>
      </c>
      <c r="G127" t="s">
        <v>2165</v>
      </c>
      <c r="H127" t="s">
        <v>2171</v>
      </c>
      <c r="I127" t="s">
        <v>2174</v>
      </c>
      <c r="J127">
        <v>19215</v>
      </c>
      <c r="K127">
        <v>577</v>
      </c>
      <c r="L127">
        <v>3.6</v>
      </c>
      <c r="M127">
        <v>3.6</v>
      </c>
      <c r="N127">
        <v>3</v>
      </c>
      <c r="O127">
        <v>5316</v>
      </c>
      <c r="P127" t="s">
        <v>2176</v>
      </c>
      <c r="Q127">
        <v>10</v>
      </c>
      <c r="R127">
        <v>14</v>
      </c>
      <c r="S127">
        <v>30</v>
      </c>
      <c r="T127">
        <v>661</v>
      </c>
      <c r="U127" t="s">
        <v>2166</v>
      </c>
      <c r="V127" t="s">
        <v>2172</v>
      </c>
      <c r="W127" t="s">
        <v>2209</v>
      </c>
      <c r="X127" t="s">
        <v>2211</v>
      </c>
      <c r="Y127" t="s">
        <v>2212</v>
      </c>
      <c r="Z127" s="1">
        <v>45558</v>
      </c>
      <c r="AA127" s="1">
        <v>45564</v>
      </c>
      <c r="AB127" t="s">
        <v>2214</v>
      </c>
      <c r="AC127" t="s">
        <v>2209</v>
      </c>
      <c r="AD127" t="s">
        <v>2218</v>
      </c>
      <c r="AE127" t="s">
        <v>2166</v>
      </c>
      <c r="AG127" t="s">
        <v>2221</v>
      </c>
      <c r="AH127">
        <v>54</v>
      </c>
      <c r="AI127">
        <v>74</v>
      </c>
      <c r="AJ127">
        <v>20</v>
      </c>
      <c r="AK127">
        <v>7</v>
      </c>
      <c r="AL127" t="s">
        <v>2226</v>
      </c>
      <c r="AM127">
        <v>0</v>
      </c>
      <c r="AN127" t="s">
        <v>2176</v>
      </c>
      <c r="AO127" t="s">
        <v>2176</v>
      </c>
      <c r="AP127" t="s">
        <v>2176</v>
      </c>
      <c r="AQ127">
        <v>12.96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4.8</v>
      </c>
      <c r="AY127">
        <v>4.5999999999999996</v>
      </c>
      <c r="AZ127">
        <v>3</v>
      </c>
      <c r="BA127">
        <v>2</v>
      </c>
      <c r="BB127">
        <v>48</v>
      </c>
      <c r="BC127">
        <v>27</v>
      </c>
      <c r="BD127">
        <v>42.33</v>
      </c>
      <c r="BE127">
        <v>216</v>
      </c>
      <c r="BF127">
        <v>88.2</v>
      </c>
      <c r="BG127">
        <v>38</v>
      </c>
      <c r="BH127">
        <v>27</v>
      </c>
      <c r="BI127">
        <v>34</v>
      </c>
      <c r="BJ127">
        <v>174</v>
      </c>
      <c r="BK127">
        <v>89.5</v>
      </c>
      <c r="BL127">
        <v>216</v>
      </c>
      <c r="BM127">
        <v>3.2942</v>
      </c>
    </row>
    <row r="128" spans="1:65" x14ac:dyDescent="0.25">
      <c r="A128" t="s">
        <v>191</v>
      </c>
      <c r="B128" t="s">
        <v>1294</v>
      </c>
      <c r="C128" t="s">
        <v>2160</v>
      </c>
      <c r="D128" s="1">
        <v>45390</v>
      </c>
      <c r="E128" s="1">
        <v>45423</v>
      </c>
      <c r="F128" s="1">
        <v>45510</v>
      </c>
      <c r="G128" t="s">
        <v>2166</v>
      </c>
      <c r="H128" t="s">
        <v>2172</v>
      </c>
      <c r="I128" t="s">
        <v>2174</v>
      </c>
      <c r="J128">
        <v>18637</v>
      </c>
      <c r="K128">
        <v>560</v>
      </c>
      <c r="L128">
        <v>5</v>
      </c>
      <c r="M128">
        <v>2.4</v>
      </c>
      <c r="N128">
        <v>2</v>
      </c>
      <c r="O128">
        <v>5349</v>
      </c>
      <c r="P128" t="s">
        <v>2176</v>
      </c>
      <c r="Q128">
        <v>10</v>
      </c>
      <c r="R128">
        <v>14</v>
      </c>
      <c r="S128">
        <v>28</v>
      </c>
      <c r="T128">
        <v>669</v>
      </c>
      <c r="U128" t="s">
        <v>2161</v>
      </c>
      <c r="V128" t="s">
        <v>2167</v>
      </c>
      <c r="W128" t="s">
        <v>2209</v>
      </c>
      <c r="X128" t="s">
        <v>2211</v>
      </c>
      <c r="Y128" t="s">
        <v>2212</v>
      </c>
      <c r="Z128" s="1">
        <v>45495</v>
      </c>
      <c r="AA128" s="1">
        <v>45501</v>
      </c>
      <c r="AB128" t="s">
        <v>2214</v>
      </c>
      <c r="AC128" t="s">
        <v>2209</v>
      </c>
      <c r="AD128" t="s">
        <v>2218</v>
      </c>
      <c r="AE128" t="s">
        <v>2161</v>
      </c>
      <c r="AG128" t="s">
        <v>2221</v>
      </c>
      <c r="AH128">
        <v>52</v>
      </c>
      <c r="AI128">
        <v>72</v>
      </c>
      <c r="AJ128">
        <v>20</v>
      </c>
      <c r="AK128">
        <v>5</v>
      </c>
      <c r="AL128" t="s">
        <v>2224</v>
      </c>
      <c r="AM128">
        <v>0</v>
      </c>
      <c r="AN128" t="s">
        <v>2176</v>
      </c>
      <c r="AO128" t="s">
        <v>2176</v>
      </c>
      <c r="AP128" t="s">
        <v>2176</v>
      </c>
      <c r="AQ128">
        <v>12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4.3</v>
      </c>
      <c r="AY128">
        <v>4.8</v>
      </c>
      <c r="AZ128">
        <v>0</v>
      </c>
      <c r="BA128">
        <v>2</v>
      </c>
      <c r="BB128">
        <v>33</v>
      </c>
      <c r="BC128">
        <v>27</v>
      </c>
      <c r="BD128">
        <v>28.96</v>
      </c>
      <c r="BE128">
        <v>147</v>
      </c>
      <c r="BF128">
        <v>87.8</v>
      </c>
      <c r="BG128">
        <v>43</v>
      </c>
      <c r="BH128">
        <v>27</v>
      </c>
      <c r="BI128">
        <v>37.299999999999997</v>
      </c>
      <c r="BJ128">
        <v>193</v>
      </c>
      <c r="BK128">
        <v>86.7</v>
      </c>
      <c r="BL128">
        <v>147</v>
      </c>
      <c r="BM128">
        <v>4.6944999999999997</v>
      </c>
    </row>
    <row r="129" spans="1:65" x14ac:dyDescent="0.25">
      <c r="A129" t="s">
        <v>192</v>
      </c>
      <c r="B129" t="s">
        <v>1295</v>
      </c>
      <c r="C129" t="s">
        <v>2158</v>
      </c>
      <c r="D129" s="1">
        <v>45439</v>
      </c>
      <c r="E129" s="1">
        <v>45478</v>
      </c>
      <c r="F129" s="1">
        <v>45557</v>
      </c>
      <c r="G129" t="s">
        <v>2166</v>
      </c>
      <c r="H129" t="s">
        <v>2172</v>
      </c>
      <c r="I129" t="s">
        <v>2174</v>
      </c>
      <c r="J129">
        <v>14665</v>
      </c>
      <c r="K129">
        <v>440</v>
      </c>
      <c r="L129">
        <v>6.2</v>
      </c>
      <c r="M129">
        <v>7.3</v>
      </c>
      <c r="N129">
        <v>1</v>
      </c>
      <c r="O129">
        <v>4875</v>
      </c>
      <c r="P129" t="s">
        <v>2176</v>
      </c>
      <c r="Q129">
        <v>10</v>
      </c>
      <c r="R129">
        <v>14</v>
      </c>
      <c r="S129">
        <v>23</v>
      </c>
      <c r="T129">
        <v>647</v>
      </c>
      <c r="U129" t="s">
        <v>2166</v>
      </c>
      <c r="V129" t="s">
        <v>2172</v>
      </c>
      <c r="W129" t="s">
        <v>2209</v>
      </c>
      <c r="X129" t="s">
        <v>2211</v>
      </c>
      <c r="Y129" t="s">
        <v>2212</v>
      </c>
      <c r="Z129" s="1">
        <v>45544</v>
      </c>
      <c r="AA129" s="1">
        <v>45550</v>
      </c>
      <c r="AB129" t="s">
        <v>2214</v>
      </c>
      <c r="AC129" t="s">
        <v>2209</v>
      </c>
      <c r="AD129" t="s">
        <v>2218</v>
      </c>
      <c r="AE129" t="s">
        <v>2166</v>
      </c>
      <c r="AG129" t="s">
        <v>2221</v>
      </c>
      <c r="AH129">
        <v>47</v>
      </c>
      <c r="AI129">
        <v>66</v>
      </c>
      <c r="AJ129">
        <v>19</v>
      </c>
      <c r="AK129">
        <v>7</v>
      </c>
      <c r="AL129" t="s">
        <v>2226</v>
      </c>
      <c r="AM129">
        <v>0</v>
      </c>
      <c r="AN129" t="s">
        <v>2177</v>
      </c>
      <c r="AO129" t="s">
        <v>2176</v>
      </c>
      <c r="AP129" t="s">
        <v>2176</v>
      </c>
      <c r="AQ129">
        <v>45.26</v>
      </c>
      <c r="AR129">
        <v>1</v>
      </c>
      <c r="AS129">
        <v>2</v>
      </c>
      <c r="AT129">
        <v>1</v>
      </c>
      <c r="AU129">
        <v>1</v>
      </c>
      <c r="AV129">
        <v>1.333333333333333</v>
      </c>
      <c r="AW129">
        <v>4.8</v>
      </c>
      <c r="AY129">
        <v>4.8</v>
      </c>
      <c r="AZ129">
        <v>2</v>
      </c>
      <c r="BA129">
        <v>2</v>
      </c>
      <c r="BB129">
        <v>48</v>
      </c>
      <c r="BC129">
        <v>27</v>
      </c>
      <c r="BD129">
        <v>42.33</v>
      </c>
      <c r="BE129">
        <v>216</v>
      </c>
      <c r="BF129">
        <v>88.2</v>
      </c>
      <c r="BG129">
        <v>48</v>
      </c>
      <c r="BH129">
        <v>27</v>
      </c>
      <c r="BI129">
        <v>42.33</v>
      </c>
      <c r="BJ129">
        <v>216</v>
      </c>
      <c r="BK129">
        <v>88.2</v>
      </c>
      <c r="BL129">
        <v>216</v>
      </c>
      <c r="BM129">
        <v>2.5141</v>
      </c>
    </row>
    <row r="130" spans="1:65" x14ac:dyDescent="0.25">
      <c r="A130" t="s">
        <v>193</v>
      </c>
      <c r="B130" t="s">
        <v>1296</v>
      </c>
      <c r="C130" t="s">
        <v>2160</v>
      </c>
      <c r="D130" s="1">
        <v>45369</v>
      </c>
      <c r="E130" s="1">
        <v>45408</v>
      </c>
      <c r="F130" s="1">
        <v>45446</v>
      </c>
      <c r="G130" t="s">
        <v>2162</v>
      </c>
      <c r="H130" t="s">
        <v>2168</v>
      </c>
      <c r="I130" t="s">
        <v>2175</v>
      </c>
      <c r="J130">
        <v>6590</v>
      </c>
      <c r="K130">
        <v>198</v>
      </c>
      <c r="L130">
        <v>11.6</v>
      </c>
      <c r="M130">
        <v>18.399999999999999</v>
      </c>
      <c r="N130">
        <v>9</v>
      </c>
      <c r="O130">
        <v>13376</v>
      </c>
      <c r="P130" t="s">
        <v>2178</v>
      </c>
      <c r="Q130">
        <v>7</v>
      </c>
      <c r="R130">
        <v>10</v>
      </c>
      <c r="S130">
        <v>8</v>
      </c>
      <c r="T130">
        <v>893</v>
      </c>
      <c r="U130" t="s">
        <v>2180</v>
      </c>
      <c r="W130" t="s">
        <v>2209</v>
      </c>
      <c r="X130" t="s">
        <v>2211</v>
      </c>
      <c r="Y130" t="s">
        <v>2213</v>
      </c>
      <c r="Z130" s="1">
        <v>45448</v>
      </c>
      <c r="AA130" s="1">
        <v>45452</v>
      </c>
      <c r="AB130" t="s">
        <v>2215</v>
      </c>
      <c r="AC130" t="s">
        <v>2208</v>
      </c>
      <c r="AD130" t="s">
        <v>2219</v>
      </c>
      <c r="AE130" t="s">
        <v>2163</v>
      </c>
      <c r="AF130" t="s">
        <v>2165</v>
      </c>
      <c r="AG130" t="s">
        <v>2222</v>
      </c>
      <c r="AH130">
        <v>25</v>
      </c>
      <c r="AI130">
        <v>40</v>
      </c>
      <c r="AJ130">
        <v>15</v>
      </c>
      <c r="AK130">
        <v>4</v>
      </c>
      <c r="AL130" t="s">
        <v>2225</v>
      </c>
      <c r="AM130">
        <v>0</v>
      </c>
      <c r="AN130" t="s">
        <v>2175</v>
      </c>
      <c r="AO130" t="s">
        <v>2175</v>
      </c>
      <c r="AP130" t="s">
        <v>2177</v>
      </c>
      <c r="AQ130">
        <v>213.44</v>
      </c>
      <c r="AR130">
        <v>3</v>
      </c>
      <c r="AS130">
        <v>3</v>
      </c>
      <c r="AT130">
        <v>3</v>
      </c>
      <c r="AU130">
        <v>2</v>
      </c>
      <c r="AV130">
        <v>2.666666666666667</v>
      </c>
      <c r="AW130">
        <v>4.4000000000000004</v>
      </c>
      <c r="AX130">
        <v>4.5999999999999996</v>
      </c>
      <c r="AY130">
        <v>4.2</v>
      </c>
      <c r="AZ130">
        <v>0</v>
      </c>
      <c r="BA130">
        <v>0</v>
      </c>
      <c r="BB130">
        <v>31</v>
      </c>
      <c r="BC130">
        <v>26</v>
      </c>
      <c r="BD130">
        <v>27.23</v>
      </c>
      <c r="BE130">
        <v>132</v>
      </c>
      <c r="BF130">
        <v>87.8</v>
      </c>
      <c r="BG130">
        <v>25</v>
      </c>
      <c r="BH130">
        <v>26</v>
      </c>
      <c r="BI130">
        <v>21.81</v>
      </c>
      <c r="BJ130">
        <v>104</v>
      </c>
      <c r="BK130">
        <v>87.2</v>
      </c>
      <c r="BL130">
        <v>335</v>
      </c>
      <c r="BM130">
        <v>1.9196</v>
      </c>
    </row>
    <row r="131" spans="1:65" x14ac:dyDescent="0.25">
      <c r="A131" t="s">
        <v>194</v>
      </c>
      <c r="B131" t="s">
        <v>1297</v>
      </c>
      <c r="C131" t="s">
        <v>2158</v>
      </c>
      <c r="D131" s="1">
        <v>45306</v>
      </c>
      <c r="E131" s="1">
        <v>45343</v>
      </c>
      <c r="F131" s="1">
        <v>45402</v>
      </c>
      <c r="G131" t="s">
        <v>2163</v>
      </c>
      <c r="H131" t="s">
        <v>2169</v>
      </c>
      <c r="I131" t="s">
        <v>2174</v>
      </c>
      <c r="J131">
        <v>8963</v>
      </c>
      <c r="K131">
        <v>269</v>
      </c>
      <c r="L131">
        <v>1.5</v>
      </c>
      <c r="M131">
        <v>4.7</v>
      </c>
      <c r="N131">
        <v>3</v>
      </c>
      <c r="O131">
        <v>5462</v>
      </c>
      <c r="P131" t="s">
        <v>2176</v>
      </c>
      <c r="Q131">
        <v>7</v>
      </c>
      <c r="R131">
        <v>10</v>
      </c>
      <c r="S131">
        <v>16</v>
      </c>
      <c r="T131">
        <v>581</v>
      </c>
      <c r="U131" t="s">
        <v>2163</v>
      </c>
      <c r="V131" t="s">
        <v>2169</v>
      </c>
      <c r="W131" t="s">
        <v>2208</v>
      </c>
      <c r="X131" t="s">
        <v>2210</v>
      </c>
      <c r="Y131" t="s">
        <v>2212</v>
      </c>
      <c r="Z131" s="1">
        <v>45392</v>
      </c>
      <c r="AA131" s="1">
        <v>45395</v>
      </c>
      <c r="AB131" t="s">
        <v>2214</v>
      </c>
      <c r="AC131" t="s">
        <v>2209</v>
      </c>
      <c r="AD131" t="s">
        <v>2216</v>
      </c>
      <c r="AE131" t="s">
        <v>2163</v>
      </c>
      <c r="AG131" t="s">
        <v>2220</v>
      </c>
      <c r="AH131">
        <v>33</v>
      </c>
      <c r="AI131">
        <v>49</v>
      </c>
      <c r="AJ131">
        <v>16</v>
      </c>
      <c r="AK131">
        <v>2</v>
      </c>
      <c r="AL131" t="s">
        <v>2228</v>
      </c>
      <c r="AM131">
        <v>0</v>
      </c>
      <c r="AN131" t="s">
        <v>2176</v>
      </c>
      <c r="AO131" t="s">
        <v>2176</v>
      </c>
      <c r="AP131" t="s">
        <v>2176</v>
      </c>
      <c r="AQ131">
        <v>7.0500000000000007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4.4000000000000004</v>
      </c>
      <c r="AY131">
        <v>4.4000000000000004</v>
      </c>
      <c r="AZ131">
        <v>2</v>
      </c>
      <c r="BA131">
        <v>2</v>
      </c>
      <c r="BB131">
        <v>30</v>
      </c>
      <c r="BC131">
        <v>24</v>
      </c>
      <c r="BD131">
        <v>26.21</v>
      </c>
      <c r="BE131">
        <v>116</v>
      </c>
      <c r="BF131">
        <v>87.4</v>
      </c>
      <c r="BG131">
        <v>30</v>
      </c>
      <c r="BH131">
        <v>24</v>
      </c>
      <c r="BI131">
        <v>26.21</v>
      </c>
      <c r="BJ131">
        <v>116</v>
      </c>
      <c r="BK131">
        <v>87.4</v>
      </c>
      <c r="BL131">
        <v>116</v>
      </c>
      <c r="BM131">
        <v>3.2183000000000002</v>
      </c>
    </row>
    <row r="132" spans="1:65" x14ac:dyDescent="0.25">
      <c r="A132" t="s">
        <v>195</v>
      </c>
      <c r="B132" t="s">
        <v>1298</v>
      </c>
      <c r="C132" t="s">
        <v>2159</v>
      </c>
      <c r="D132" s="1">
        <v>45446</v>
      </c>
      <c r="E132" s="1">
        <v>45481</v>
      </c>
      <c r="F132" s="1">
        <v>45533</v>
      </c>
      <c r="G132" t="s">
        <v>2166</v>
      </c>
      <c r="H132" t="s">
        <v>2172</v>
      </c>
      <c r="I132" t="s">
        <v>2175</v>
      </c>
      <c r="J132">
        <v>10741</v>
      </c>
      <c r="K132">
        <v>323</v>
      </c>
      <c r="L132">
        <v>15</v>
      </c>
      <c r="M132">
        <v>19</v>
      </c>
      <c r="N132">
        <v>7</v>
      </c>
      <c r="O132">
        <v>15695</v>
      </c>
      <c r="P132" t="s">
        <v>2178</v>
      </c>
      <c r="Q132">
        <v>10</v>
      </c>
      <c r="R132">
        <v>14</v>
      </c>
      <c r="S132">
        <v>12</v>
      </c>
      <c r="T132">
        <v>965</v>
      </c>
      <c r="U132" t="s">
        <v>2163</v>
      </c>
      <c r="V132" t="s">
        <v>2169</v>
      </c>
      <c r="W132" t="s">
        <v>2209</v>
      </c>
      <c r="X132" t="s">
        <v>2211</v>
      </c>
      <c r="Y132" t="s">
        <v>2212</v>
      </c>
      <c r="Z132" s="1">
        <v>45533</v>
      </c>
      <c r="AA132" s="1">
        <v>45536</v>
      </c>
      <c r="AB132" t="s">
        <v>2214</v>
      </c>
      <c r="AC132" t="s">
        <v>2209</v>
      </c>
      <c r="AD132" t="s">
        <v>2218</v>
      </c>
      <c r="AE132" t="s">
        <v>2163</v>
      </c>
      <c r="AG132" t="s">
        <v>2221</v>
      </c>
      <c r="AH132">
        <v>36</v>
      </c>
      <c r="AI132">
        <v>52</v>
      </c>
      <c r="AJ132">
        <v>16</v>
      </c>
      <c r="AK132">
        <v>7</v>
      </c>
      <c r="AL132" t="s">
        <v>2226</v>
      </c>
      <c r="AM132">
        <v>0</v>
      </c>
      <c r="AN132" t="s">
        <v>2175</v>
      </c>
      <c r="AO132" t="s">
        <v>2175</v>
      </c>
      <c r="AP132" t="s">
        <v>2175</v>
      </c>
      <c r="AQ132">
        <v>285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4.4000000000000004</v>
      </c>
      <c r="AY132">
        <v>4.8</v>
      </c>
      <c r="AZ132">
        <v>3</v>
      </c>
      <c r="BA132">
        <v>0</v>
      </c>
      <c r="BB132">
        <v>33</v>
      </c>
      <c r="BC132">
        <v>27</v>
      </c>
      <c r="BD132">
        <v>28.89</v>
      </c>
      <c r="BE132">
        <v>145</v>
      </c>
      <c r="BF132">
        <v>87.5</v>
      </c>
      <c r="BG132">
        <v>48</v>
      </c>
      <c r="BH132">
        <v>27</v>
      </c>
      <c r="BI132">
        <v>42.33</v>
      </c>
      <c r="BJ132">
        <v>216</v>
      </c>
      <c r="BK132">
        <v>88.2</v>
      </c>
      <c r="BL132">
        <v>145</v>
      </c>
      <c r="BM132">
        <v>2.7427999999999999</v>
      </c>
    </row>
    <row r="133" spans="1:65" x14ac:dyDescent="0.25">
      <c r="A133" t="s">
        <v>196</v>
      </c>
      <c r="B133" t="s">
        <v>1299</v>
      </c>
      <c r="C133" t="s">
        <v>2157</v>
      </c>
      <c r="D133" s="1">
        <v>45327</v>
      </c>
      <c r="E133" s="1">
        <v>45358</v>
      </c>
      <c r="F133" s="1">
        <v>45549</v>
      </c>
      <c r="G133" t="s">
        <v>2161</v>
      </c>
      <c r="H133" t="s">
        <v>2167</v>
      </c>
      <c r="I133" t="s">
        <v>2174</v>
      </c>
      <c r="J133">
        <v>51677</v>
      </c>
      <c r="K133">
        <v>1551</v>
      </c>
      <c r="L133">
        <v>1.4</v>
      </c>
      <c r="M133">
        <v>1.4</v>
      </c>
      <c r="N133">
        <v>1</v>
      </c>
      <c r="O133">
        <v>3349</v>
      </c>
      <c r="P133" t="s">
        <v>2176</v>
      </c>
      <c r="Q133">
        <v>18</v>
      </c>
      <c r="R133">
        <v>30</v>
      </c>
      <c r="S133">
        <v>98</v>
      </c>
      <c r="T133">
        <v>531</v>
      </c>
      <c r="U133" t="s">
        <v>2181</v>
      </c>
      <c r="W133" t="s">
        <v>2209</v>
      </c>
      <c r="X133" t="s">
        <v>2211</v>
      </c>
      <c r="Y133" t="s">
        <v>2213</v>
      </c>
      <c r="Z133" s="1">
        <v>45539</v>
      </c>
      <c r="AA133" s="1">
        <v>45542</v>
      </c>
      <c r="AB133" t="s">
        <v>2214</v>
      </c>
      <c r="AC133" t="s">
        <v>2209</v>
      </c>
      <c r="AD133" t="s">
        <v>2219</v>
      </c>
      <c r="AE133" t="s">
        <v>2166</v>
      </c>
      <c r="AF133" t="s">
        <v>2163</v>
      </c>
      <c r="AG133" t="s">
        <v>2222</v>
      </c>
      <c r="AH133">
        <v>146</v>
      </c>
      <c r="AI133">
        <v>181</v>
      </c>
      <c r="AJ133">
        <v>35</v>
      </c>
      <c r="AK133">
        <v>3</v>
      </c>
      <c r="AL133" t="s">
        <v>2227</v>
      </c>
      <c r="AM133">
        <v>0</v>
      </c>
      <c r="AN133" t="s">
        <v>2176</v>
      </c>
      <c r="AO133" t="s">
        <v>2176</v>
      </c>
      <c r="AP133" t="s">
        <v>2176</v>
      </c>
      <c r="AQ133">
        <v>1.96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4.8</v>
      </c>
      <c r="AX133">
        <v>4.4000000000000004</v>
      </c>
      <c r="AY133">
        <v>4.3</v>
      </c>
      <c r="AZ133">
        <v>1</v>
      </c>
      <c r="BA133">
        <v>2</v>
      </c>
      <c r="BB133">
        <v>49</v>
      </c>
      <c r="BC133">
        <v>26</v>
      </c>
      <c r="BD133">
        <v>43.12</v>
      </c>
      <c r="BE133">
        <v>216</v>
      </c>
      <c r="BF133">
        <v>88</v>
      </c>
      <c r="BG133">
        <v>38</v>
      </c>
      <c r="BH133">
        <v>26</v>
      </c>
      <c r="BI133">
        <v>33.729999999999997</v>
      </c>
      <c r="BJ133">
        <v>164</v>
      </c>
      <c r="BK133">
        <v>88.8</v>
      </c>
      <c r="BL133">
        <v>365</v>
      </c>
      <c r="BM133">
        <v>9.2001000000000008</v>
      </c>
    </row>
    <row r="134" spans="1:65" x14ac:dyDescent="0.25">
      <c r="A134" t="s">
        <v>197</v>
      </c>
      <c r="B134" t="s">
        <v>1268</v>
      </c>
      <c r="C134" t="s">
        <v>2159</v>
      </c>
      <c r="D134" s="1">
        <v>45369</v>
      </c>
      <c r="E134" s="1">
        <v>45407</v>
      </c>
      <c r="F134" s="1">
        <v>45455</v>
      </c>
      <c r="G134" t="s">
        <v>2165</v>
      </c>
      <c r="H134" t="s">
        <v>2171</v>
      </c>
      <c r="I134" t="s">
        <v>2175</v>
      </c>
      <c r="J134">
        <v>13528</v>
      </c>
      <c r="K134">
        <v>406</v>
      </c>
      <c r="L134">
        <v>13</v>
      </c>
      <c r="M134">
        <v>12.6</v>
      </c>
      <c r="N134">
        <v>7</v>
      </c>
      <c r="O134">
        <v>16353</v>
      </c>
      <c r="P134" t="s">
        <v>2178</v>
      </c>
      <c r="Q134">
        <v>10</v>
      </c>
      <c r="R134">
        <v>14</v>
      </c>
      <c r="S134">
        <v>14</v>
      </c>
      <c r="T134">
        <v>989</v>
      </c>
      <c r="U134" t="s">
        <v>2163</v>
      </c>
      <c r="V134" t="s">
        <v>2169</v>
      </c>
      <c r="W134" t="s">
        <v>2209</v>
      </c>
      <c r="X134" t="s">
        <v>2211</v>
      </c>
      <c r="Y134" t="s">
        <v>2212</v>
      </c>
      <c r="Z134" s="1">
        <v>45462</v>
      </c>
      <c r="AA134" s="1">
        <v>45466</v>
      </c>
      <c r="AB134" t="s">
        <v>2215</v>
      </c>
      <c r="AC134" t="s">
        <v>2208</v>
      </c>
      <c r="AD134" t="s">
        <v>2218</v>
      </c>
      <c r="AE134" t="s">
        <v>2163</v>
      </c>
      <c r="AG134" t="s">
        <v>2221</v>
      </c>
      <c r="AH134">
        <v>38</v>
      </c>
      <c r="AI134">
        <v>55</v>
      </c>
      <c r="AJ134">
        <v>17</v>
      </c>
      <c r="AK134">
        <v>4</v>
      </c>
      <c r="AL134" t="s">
        <v>2225</v>
      </c>
      <c r="AM134">
        <v>0</v>
      </c>
      <c r="AN134" t="s">
        <v>2175</v>
      </c>
      <c r="AO134" t="s">
        <v>2175</v>
      </c>
      <c r="AP134" t="s">
        <v>2175</v>
      </c>
      <c r="AQ134">
        <v>163.80000000000001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4.4000000000000004</v>
      </c>
      <c r="AY134">
        <v>4.5999999999999996</v>
      </c>
      <c r="AZ134">
        <v>3</v>
      </c>
      <c r="BA134">
        <v>0</v>
      </c>
      <c r="BB134">
        <v>31</v>
      </c>
      <c r="BC134">
        <v>26</v>
      </c>
      <c r="BD134">
        <v>27.23</v>
      </c>
      <c r="BE134">
        <v>132</v>
      </c>
      <c r="BF134">
        <v>87.8</v>
      </c>
      <c r="BG134">
        <v>46</v>
      </c>
      <c r="BH134">
        <v>26</v>
      </c>
      <c r="BI134">
        <v>40.729999999999997</v>
      </c>
      <c r="BJ134">
        <v>203</v>
      </c>
      <c r="BK134">
        <v>88.5</v>
      </c>
      <c r="BL134">
        <v>132</v>
      </c>
      <c r="BM134">
        <v>3.9405999999999999</v>
      </c>
    </row>
    <row r="135" spans="1:65" x14ac:dyDescent="0.25">
      <c r="A135" t="s">
        <v>198</v>
      </c>
      <c r="B135" t="s">
        <v>1300</v>
      </c>
      <c r="C135" t="s">
        <v>2159</v>
      </c>
      <c r="D135" s="1">
        <v>45320</v>
      </c>
      <c r="E135" s="1">
        <v>45358</v>
      </c>
      <c r="F135" s="1">
        <v>45427</v>
      </c>
      <c r="G135" t="s">
        <v>2165</v>
      </c>
      <c r="H135" t="s">
        <v>2171</v>
      </c>
      <c r="I135" t="s">
        <v>2176</v>
      </c>
      <c r="J135">
        <v>10265</v>
      </c>
      <c r="K135">
        <v>308</v>
      </c>
      <c r="L135">
        <v>11.8</v>
      </c>
      <c r="M135">
        <v>7.8</v>
      </c>
      <c r="N135">
        <v>2</v>
      </c>
      <c r="O135">
        <v>9309</v>
      </c>
      <c r="P135" t="s">
        <v>2176</v>
      </c>
      <c r="Q135">
        <v>10</v>
      </c>
      <c r="R135">
        <v>14</v>
      </c>
      <c r="S135">
        <v>17</v>
      </c>
      <c r="T135">
        <v>616</v>
      </c>
      <c r="U135" t="s">
        <v>2165</v>
      </c>
      <c r="V135" t="s">
        <v>2171</v>
      </c>
      <c r="W135" t="s">
        <v>2208</v>
      </c>
      <c r="X135" t="s">
        <v>2210</v>
      </c>
      <c r="Y135" t="s">
        <v>2212</v>
      </c>
      <c r="Z135" s="1">
        <v>45417</v>
      </c>
      <c r="AA135" s="1">
        <v>45423</v>
      </c>
      <c r="AB135" t="s">
        <v>2214</v>
      </c>
      <c r="AC135" t="s">
        <v>2209</v>
      </c>
      <c r="AD135" t="s">
        <v>2216</v>
      </c>
      <c r="AE135" t="s">
        <v>2165</v>
      </c>
      <c r="AG135" t="s">
        <v>2220</v>
      </c>
      <c r="AH135">
        <v>41</v>
      </c>
      <c r="AI135">
        <v>59</v>
      </c>
      <c r="AJ135">
        <v>18</v>
      </c>
      <c r="AK135">
        <v>3</v>
      </c>
      <c r="AL135" t="s">
        <v>2227</v>
      </c>
      <c r="AM135">
        <v>0</v>
      </c>
      <c r="AN135" t="s">
        <v>2177</v>
      </c>
      <c r="AO135" t="s">
        <v>2176</v>
      </c>
      <c r="AP135" t="s">
        <v>2177</v>
      </c>
      <c r="AQ135">
        <v>92.04</v>
      </c>
      <c r="AR135">
        <v>1</v>
      </c>
      <c r="AS135">
        <v>2</v>
      </c>
      <c r="AT135">
        <v>1</v>
      </c>
      <c r="AU135">
        <v>2</v>
      </c>
      <c r="AV135">
        <v>1.666666666666667</v>
      </c>
      <c r="AW135">
        <v>4.5999999999999996</v>
      </c>
      <c r="AY135">
        <v>4.5999999999999996</v>
      </c>
      <c r="AZ135">
        <v>3</v>
      </c>
      <c r="BA135">
        <v>1</v>
      </c>
      <c r="BB135">
        <v>48</v>
      </c>
      <c r="BC135">
        <v>26</v>
      </c>
      <c r="BD135">
        <v>42.38</v>
      </c>
      <c r="BE135">
        <v>212</v>
      </c>
      <c r="BF135">
        <v>88.3</v>
      </c>
      <c r="BG135">
        <v>48</v>
      </c>
      <c r="BH135">
        <v>26</v>
      </c>
      <c r="BI135">
        <v>42.38</v>
      </c>
      <c r="BJ135">
        <v>212</v>
      </c>
      <c r="BK135">
        <v>88.3</v>
      </c>
      <c r="BL135">
        <v>212</v>
      </c>
      <c r="BM135">
        <v>1.8620000000000001</v>
      </c>
    </row>
    <row r="136" spans="1:65" x14ac:dyDescent="0.25">
      <c r="A136" t="s">
        <v>199</v>
      </c>
      <c r="B136" t="s">
        <v>1301</v>
      </c>
      <c r="C136" t="s">
        <v>2159</v>
      </c>
      <c r="D136" s="1">
        <v>45383</v>
      </c>
      <c r="E136" s="1">
        <v>45425</v>
      </c>
      <c r="F136" s="1">
        <v>45501</v>
      </c>
      <c r="G136" t="s">
        <v>2166</v>
      </c>
      <c r="H136" t="s">
        <v>2172</v>
      </c>
      <c r="I136" t="s">
        <v>2175</v>
      </c>
      <c r="J136">
        <v>21994</v>
      </c>
      <c r="K136">
        <v>660</v>
      </c>
      <c r="L136">
        <v>17</v>
      </c>
      <c r="M136">
        <v>14</v>
      </c>
      <c r="N136">
        <v>5</v>
      </c>
      <c r="O136">
        <v>14610</v>
      </c>
      <c r="P136" t="s">
        <v>2177</v>
      </c>
      <c r="Q136">
        <v>14</v>
      </c>
      <c r="R136">
        <v>20</v>
      </c>
      <c r="S136">
        <v>24</v>
      </c>
      <c r="T136">
        <v>922</v>
      </c>
      <c r="U136" t="s">
        <v>2182</v>
      </c>
      <c r="W136" t="s">
        <v>2209</v>
      </c>
      <c r="X136" t="s">
        <v>2211</v>
      </c>
      <c r="Y136" t="s">
        <v>2213</v>
      </c>
      <c r="Z136" s="1">
        <v>45503</v>
      </c>
      <c r="AA136" s="1">
        <v>45508</v>
      </c>
      <c r="AB136" t="s">
        <v>2215</v>
      </c>
      <c r="AC136" t="s">
        <v>2208</v>
      </c>
      <c r="AD136" t="s">
        <v>2219</v>
      </c>
      <c r="AE136" t="s">
        <v>2166</v>
      </c>
      <c r="AF136" t="s">
        <v>2162</v>
      </c>
      <c r="AG136" t="s">
        <v>2222</v>
      </c>
      <c r="AH136">
        <v>58</v>
      </c>
      <c r="AI136">
        <v>78</v>
      </c>
      <c r="AJ136">
        <v>20</v>
      </c>
      <c r="AK136">
        <v>5</v>
      </c>
      <c r="AL136" t="s">
        <v>2224</v>
      </c>
      <c r="AM136">
        <v>0</v>
      </c>
      <c r="AN136" t="s">
        <v>2175</v>
      </c>
      <c r="AO136" t="s">
        <v>2177</v>
      </c>
      <c r="AP136" t="s">
        <v>2177</v>
      </c>
      <c r="AQ136">
        <v>238</v>
      </c>
      <c r="AR136">
        <v>2</v>
      </c>
      <c r="AS136">
        <v>3</v>
      </c>
      <c r="AT136">
        <v>2</v>
      </c>
      <c r="AU136">
        <v>2</v>
      </c>
      <c r="AV136">
        <v>2.333333333333333</v>
      </c>
      <c r="AW136">
        <v>4.8</v>
      </c>
      <c r="AX136">
        <v>4.2</v>
      </c>
      <c r="AY136">
        <v>4.8</v>
      </c>
      <c r="AZ136">
        <v>3</v>
      </c>
      <c r="BA136">
        <v>0</v>
      </c>
      <c r="BB136">
        <v>43</v>
      </c>
      <c r="BC136">
        <v>27</v>
      </c>
      <c r="BD136">
        <v>37.299999999999997</v>
      </c>
      <c r="BE136">
        <v>193</v>
      </c>
      <c r="BF136">
        <v>86.7</v>
      </c>
      <c r="BG136">
        <v>43</v>
      </c>
      <c r="BH136">
        <v>27</v>
      </c>
      <c r="BI136">
        <v>37.299999999999997</v>
      </c>
      <c r="BJ136">
        <v>193</v>
      </c>
      <c r="BK136">
        <v>86.7</v>
      </c>
      <c r="BL136">
        <v>301</v>
      </c>
      <c r="BM136">
        <v>4.2199</v>
      </c>
    </row>
    <row r="137" spans="1:65" x14ac:dyDescent="0.25">
      <c r="A137" t="s">
        <v>200</v>
      </c>
      <c r="B137" t="s">
        <v>1302</v>
      </c>
      <c r="C137" t="s">
        <v>2159</v>
      </c>
      <c r="D137" s="1">
        <v>45320</v>
      </c>
      <c r="E137" s="1">
        <v>45360</v>
      </c>
      <c r="F137" s="1">
        <v>45436</v>
      </c>
      <c r="G137" t="s">
        <v>2161</v>
      </c>
      <c r="H137" t="s">
        <v>2167</v>
      </c>
      <c r="I137" t="s">
        <v>2176</v>
      </c>
      <c r="J137">
        <v>18647</v>
      </c>
      <c r="K137">
        <v>560</v>
      </c>
      <c r="L137">
        <v>6.4</v>
      </c>
      <c r="M137">
        <v>10.7</v>
      </c>
      <c r="N137">
        <v>3</v>
      </c>
      <c r="O137">
        <v>6935</v>
      </c>
      <c r="P137" t="s">
        <v>2176</v>
      </c>
      <c r="Q137">
        <v>10</v>
      </c>
      <c r="R137">
        <v>14</v>
      </c>
      <c r="S137">
        <v>26</v>
      </c>
      <c r="T137">
        <v>722</v>
      </c>
      <c r="U137" t="s">
        <v>2161</v>
      </c>
      <c r="V137" t="s">
        <v>2167</v>
      </c>
      <c r="W137" t="s">
        <v>2208</v>
      </c>
      <c r="X137" t="s">
        <v>2210</v>
      </c>
      <c r="Y137" t="s">
        <v>2212</v>
      </c>
      <c r="Z137" s="1">
        <v>45428</v>
      </c>
      <c r="AA137" s="1">
        <v>45430</v>
      </c>
      <c r="AB137" t="s">
        <v>2214</v>
      </c>
      <c r="AC137" t="s">
        <v>2209</v>
      </c>
      <c r="AD137" t="s">
        <v>2216</v>
      </c>
      <c r="AE137" t="s">
        <v>2161</v>
      </c>
      <c r="AG137" t="s">
        <v>2220</v>
      </c>
      <c r="AH137">
        <v>50</v>
      </c>
      <c r="AI137">
        <v>68</v>
      </c>
      <c r="AJ137">
        <v>18</v>
      </c>
      <c r="AK137">
        <v>3</v>
      </c>
      <c r="AL137" t="s">
        <v>2227</v>
      </c>
      <c r="AM137">
        <v>0</v>
      </c>
      <c r="AN137" t="s">
        <v>2177</v>
      </c>
      <c r="AO137" t="s">
        <v>2176</v>
      </c>
      <c r="AP137" t="s">
        <v>2176</v>
      </c>
      <c r="AQ137">
        <v>68.48</v>
      </c>
      <c r="AR137">
        <v>1</v>
      </c>
      <c r="AS137">
        <v>2</v>
      </c>
      <c r="AT137">
        <v>1</v>
      </c>
      <c r="AU137">
        <v>1</v>
      </c>
      <c r="AV137">
        <v>1.333333333333333</v>
      </c>
      <c r="AW137">
        <v>4.3</v>
      </c>
      <c r="AY137">
        <v>4.3</v>
      </c>
      <c r="AZ137">
        <v>3</v>
      </c>
      <c r="BA137">
        <v>1</v>
      </c>
      <c r="BB137">
        <v>38</v>
      </c>
      <c r="BC137">
        <v>26</v>
      </c>
      <c r="BD137">
        <v>33.729999999999997</v>
      </c>
      <c r="BE137">
        <v>164</v>
      </c>
      <c r="BF137">
        <v>88.8</v>
      </c>
      <c r="BG137">
        <v>38</v>
      </c>
      <c r="BH137">
        <v>26</v>
      </c>
      <c r="BI137">
        <v>33.729999999999997</v>
      </c>
      <c r="BJ137">
        <v>164</v>
      </c>
      <c r="BK137">
        <v>88.8</v>
      </c>
      <c r="BL137">
        <v>164</v>
      </c>
      <c r="BM137">
        <v>4.3720999999999997</v>
      </c>
    </row>
    <row r="138" spans="1:65" x14ac:dyDescent="0.25">
      <c r="A138" t="s">
        <v>201</v>
      </c>
      <c r="B138" t="s">
        <v>1195</v>
      </c>
      <c r="C138" t="s">
        <v>2157</v>
      </c>
      <c r="D138" s="1">
        <v>45355</v>
      </c>
      <c r="E138" s="1">
        <v>45398</v>
      </c>
      <c r="F138" s="1">
        <v>45560</v>
      </c>
      <c r="G138" t="s">
        <v>2162</v>
      </c>
      <c r="H138" t="s">
        <v>2168</v>
      </c>
      <c r="I138" t="s">
        <v>2176</v>
      </c>
      <c r="J138">
        <v>53649</v>
      </c>
      <c r="K138">
        <v>1610</v>
      </c>
      <c r="L138">
        <v>7.5</v>
      </c>
      <c r="M138">
        <v>4</v>
      </c>
      <c r="N138">
        <v>2</v>
      </c>
      <c r="O138">
        <v>3360</v>
      </c>
      <c r="P138" t="s">
        <v>2176</v>
      </c>
      <c r="Q138">
        <v>18</v>
      </c>
      <c r="R138">
        <v>30</v>
      </c>
      <c r="S138">
        <v>76</v>
      </c>
      <c r="T138">
        <v>714</v>
      </c>
      <c r="U138" t="s">
        <v>2181</v>
      </c>
      <c r="W138" t="s">
        <v>2209</v>
      </c>
      <c r="X138" t="s">
        <v>2211</v>
      </c>
      <c r="Y138" t="s">
        <v>2213</v>
      </c>
      <c r="Z138" s="1">
        <v>45553</v>
      </c>
      <c r="AA138" s="1">
        <v>45557</v>
      </c>
      <c r="AB138" t="s">
        <v>2214</v>
      </c>
      <c r="AC138" t="s">
        <v>2209</v>
      </c>
      <c r="AD138" t="s">
        <v>2219</v>
      </c>
      <c r="AE138" t="s">
        <v>2166</v>
      </c>
      <c r="AF138" t="s">
        <v>2163</v>
      </c>
      <c r="AG138" t="s">
        <v>2222</v>
      </c>
      <c r="AH138">
        <v>124</v>
      </c>
      <c r="AI138">
        <v>155</v>
      </c>
      <c r="AJ138">
        <v>31</v>
      </c>
      <c r="AK138">
        <v>4</v>
      </c>
      <c r="AL138" t="s">
        <v>2225</v>
      </c>
      <c r="AM138">
        <v>0</v>
      </c>
      <c r="AN138" t="s">
        <v>2176</v>
      </c>
      <c r="AO138" t="s">
        <v>2176</v>
      </c>
      <c r="AP138" t="s">
        <v>2176</v>
      </c>
      <c r="AQ138">
        <v>30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4.8</v>
      </c>
      <c r="AX138">
        <v>4.4000000000000004</v>
      </c>
      <c r="AY138">
        <v>4.2</v>
      </c>
      <c r="AZ138">
        <v>1</v>
      </c>
      <c r="BA138">
        <v>1</v>
      </c>
      <c r="BB138">
        <v>45</v>
      </c>
      <c r="BC138">
        <v>26</v>
      </c>
      <c r="BD138">
        <v>40.270000000000003</v>
      </c>
      <c r="BE138">
        <v>199</v>
      </c>
      <c r="BF138">
        <v>89.5</v>
      </c>
      <c r="BG138">
        <v>25</v>
      </c>
      <c r="BH138">
        <v>26</v>
      </c>
      <c r="BI138">
        <v>21.81</v>
      </c>
      <c r="BJ138">
        <v>104</v>
      </c>
      <c r="BK138">
        <v>87.2</v>
      </c>
      <c r="BL138">
        <v>331</v>
      </c>
      <c r="BM138">
        <v>10.367000000000001</v>
      </c>
    </row>
    <row r="139" spans="1:65" x14ac:dyDescent="0.25">
      <c r="A139" t="s">
        <v>202</v>
      </c>
      <c r="B139" t="s">
        <v>1235</v>
      </c>
      <c r="C139" t="s">
        <v>2159</v>
      </c>
      <c r="D139" s="1">
        <v>45327</v>
      </c>
      <c r="E139" s="1">
        <v>45371</v>
      </c>
      <c r="F139" s="1">
        <v>45428</v>
      </c>
      <c r="G139" t="s">
        <v>2164</v>
      </c>
      <c r="H139" t="s">
        <v>2170</v>
      </c>
      <c r="I139" t="s">
        <v>2175</v>
      </c>
      <c r="J139">
        <v>14344</v>
      </c>
      <c r="K139">
        <v>431</v>
      </c>
      <c r="L139">
        <v>14.6</v>
      </c>
      <c r="M139">
        <v>18.100000000000001</v>
      </c>
      <c r="N139">
        <v>7</v>
      </c>
      <c r="O139">
        <v>15814</v>
      </c>
      <c r="P139" t="s">
        <v>2178</v>
      </c>
      <c r="Q139">
        <v>10</v>
      </c>
      <c r="R139">
        <v>14</v>
      </c>
      <c r="S139">
        <v>16</v>
      </c>
      <c r="T139">
        <v>908</v>
      </c>
      <c r="U139" t="s">
        <v>2166</v>
      </c>
      <c r="V139" t="s">
        <v>2172</v>
      </c>
      <c r="W139" t="s">
        <v>2209</v>
      </c>
      <c r="X139" t="s">
        <v>2211</v>
      </c>
      <c r="Y139" t="s">
        <v>2212</v>
      </c>
      <c r="Z139" s="1">
        <v>45428</v>
      </c>
      <c r="AA139" s="1">
        <v>45430</v>
      </c>
      <c r="AB139" t="s">
        <v>2214</v>
      </c>
      <c r="AC139" t="s">
        <v>2209</v>
      </c>
      <c r="AD139" t="s">
        <v>2218</v>
      </c>
      <c r="AE139" t="s">
        <v>2166</v>
      </c>
      <c r="AG139" t="s">
        <v>2221</v>
      </c>
      <c r="AH139">
        <v>40</v>
      </c>
      <c r="AI139">
        <v>57</v>
      </c>
      <c r="AJ139">
        <v>17</v>
      </c>
      <c r="AK139">
        <v>3</v>
      </c>
      <c r="AL139" t="s">
        <v>2227</v>
      </c>
      <c r="AM139">
        <v>0</v>
      </c>
      <c r="AN139" t="s">
        <v>2175</v>
      </c>
      <c r="AO139" t="s">
        <v>2175</v>
      </c>
      <c r="AP139" t="s">
        <v>2175</v>
      </c>
      <c r="AQ139">
        <v>264.26</v>
      </c>
      <c r="AR139">
        <v>3</v>
      </c>
      <c r="AS139">
        <v>3</v>
      </c>
      <c r="AT139">
        <v>3</v>
      </c>
      <c r="AU139">
        <v>3</v>
      </c>
      <c r="AV139">
        <v>3</v>
      </c>
      <c r="AW139">
        <v>4.8</v>
      </c>
      <c r="AY139">
        <v>4.5</v>
      </c>
      <c r="AZ139">
        <v>3</v>
      </c>
      <c r="BA139">
        <v>0</v>
      </c>
      <c r="BB139">
        <v>49</v>
      </c>
      <c r="BC139">
        <v>26</v>
      </c>
      <c r="BD139">
        <v>43.12</v>
      </c>
      <c r="BE139">
        <v>216</v>
      </c>
      <c r="BF139">
        <v>88</v>
      </c>
      <c r="BG139">
        <v>30</v>
      </c>
      <c r="BH139">
        <v>26</v>
      </c>
      <c r="BI139">
        <v>26.31</v>
      </c>
      <c r="BJ139">
        <v>128</v>
      </c>
      <c r="BK139">
        <v>87.7</v>
      </c>
      <c r="BL139">
        <v>216</v>
      </c>
      <c r="BM139">
        <v>2.5537000000000001</v>
      </c>
    </row>
    <row r="140" spans="1:65" x14ac:dyDescent="0.25">
      <c r="A140" t="s">
        <v>203</v>
      </c>
      <c r="B140" t="s">
        <v>1226</v>
      </c>
      <c r="C140" t="s">
        <v>2160</v>
      </c>
      <c r="D140" s="1">
        <v>45425</v>
      </c>
      <c r="E140" s="1">
        <v>45465</v>
      </c>
      <c r="F140" s="1">
        <v>45536</v>
      </c>
      <c r="G140" t="s">
        <v>2162</v>
      </c>
      <c r="H140" t="s">
        <v>2168</v>
      </c>
      <c r="I140" t="s">
        <v>2173</v>
      </c>
      <c r="J140">
        <v>19678</v>
      </c>
      <c r="K140">
        <v>591</v>
      </c>
      <c r="L140">
        <v>11.1</v>
      </c>
      <c r="M140">
        <v>13.7</v>
      </c>
      <c r="N140">
        <v>7</v>
      </c>
      <c r="O140">
        <v>7969</v>
      </c>
      <c r="P140" t="s">
        <v>2177</v>
      </c>
      <c r="Q140">
        <v>10</v>
      </c>
      <c r="R140">
        <v>14</v>
      </c>
      <c r="S140">
        <v>25</v>
      </c>
      <c r="T140">
        <v>795</v>
      </c>
      <c r="U140" t="s">
        <v>2163</v>
      </c>
      <c r="V140" t="s">
        <v>2169</v>
      </c>
      <c r="W140" t="s">
        <v>2209</v>
      </c>
      <c r="X140" t="s">
        <v>2211</v>
      </c>
      <c r="Y140" t="s">
        <v>2212</v>
      </c>
      <c r="Z140" s="1">
        <v>45533</v>
      </c>
      <c r="AA140" s="1">
        <v>45536</v>
      </c>
      <c r="AB140" t="s">
        <v>2214</v>
      </c>
      <c r="AC140" t="s">
        <v>2209</v>
      </c>
      <c r="AD140" t="s">
        <v>2218</v>
      </c>
      <c r="AE140" t="s">
        <v>2163</v>
      </c>
      <c r="AG140" t="s">
        <v>2221</v>
      </c>
      <c r="AH140">
        <v>49</v>
      </c>
      <c r="AI140">
        <v>68</v>
      </c>
      <c r="AJ140">
        <v>19</v>
      </c>
      <c r="AK140">
        <v>6</v>
      </c>
      <c r="AL140" t="s">
        <v>2223</v>
      </c>
      <c r="AM140">
        <v>0</v>
      </c>
      <c r="AN140" t="s">
        <v>2175</v>
      </c>
      <c r="AO140" t="s">
        <v>2175</v>
      </c>
      <c r="AP140" t="s">
        <v>2177</v>
      </c>
      <c r="AQ140">
        <v>152.07</v>
      </c>
      <c r="AR140">
        <v>2</v>
      </c>
      <c r="AS140">
        <v>3</v>
      </c>
      <c r="AT140">
        <v>3</v>
      </c>
      <c r="AU140">
        <v>2</v>
      </c>
      <c r="AV140">
        <v>2.666666666666667</v>
      </c>
      <c r="AW140">
        <v>4.4000000000000004</v>
      </c>
      <c r="AY140">
        <v>4.2</v>
      </c>
      <c r="AZ140">
        <v>0</v>
      </c>
      <c r="BA140">
        <v>3</v>
      </c>
      <c r="BB140">
        <v>30</v>
      </c>
      <c r="BC140">
        <v>25</v>
      </c>
      <c r="BD140">
        <v>26.48</v>
      </c>
      <c r="BE140">
        <v>121</v>
      </c>
      <c r="BF140">
        <v>88.3</v>
      </c>
      <c r="BG140">
        <v>29</v>
      </c>
      <c r="BH140">
        <v>25</v>
      </c>
      <c r="BI140">
        <v>25.56</v>
      </c>
      <c r="BJ140">
        <v>117</v>
      </c>
      <c r="BK140">
        <v>88.1</v>
      </c>
      <c r="BL140">
        <v>121</v>
      </c>
      <c r="BM140">
        <v>6.5030000000000001</v>
      </c>
    </row>
    <row r="141" spans="1:65" x14ac:dyDescent="0.25">
      <c r="A141" t="s">
        <v>204</v>
      </c>
      <c r="B141" t="s">
        <v>1303</v>
      </c>
      <c r="C141" t="s">
        <v>2157</v>
      </c>
      <c r="D141" s="1">
        <v>45369</v>
      </c>
      <c r="E141" s="1">
        <v>45408</v>
      </c>
      <c r="F141" s="1">
        <v>45523</v>
      </c>
      <c r="G141" t="s">
        <v>2165</v>
      </c>
      <c r="H141" t="s">
        <v>2171</v>
      </c>
      <c r="I141" t="s">
        <v>2175</v>
      </c>
      <c r="J141">
        <v>42175</v>
      </c>
      <c r="K141">
        <v>1266</v>
      </c>
      <c r="L141">
        <v>14</v>
      </c>
      <c r="M141">
        <v>13.5</v>
      </c>
      <c r="N141">
        <v>8</v>
      </c>
      <c r="O141">
        <v>18856</v>
      </c>
      <c r="P141" t="s">
        <v>2178</v>
      </c>
      <c r="Q141">
        <v>18</v>
      </c>
      <c r="R141">
        <v>30</v>
      </c>
      <c r="S141">
        <v>44</v>
      </c>
      <c r="T141">
        <v>959</v>
      </c>
      <c r="U141" t="s">
        <v>2166</v>
      </c>
      <c r="V141" t="s">
        <v>2172</v>
      </c>
      <c r="W141" t="s">
        <v>2209</v>
      </c>
      <c r="X141" t="s">
        <v>2211</v>
      </c>
      <c r="Y141" t="s">
        <v>2212</v>
      </c>
      <c r="Z141" s="1">
        <v>45526</v>
      </c>
      <c r="AA141" s="1">
        <v>45529</v>
      </c>
      <c r="AB141" t="s">
        <v>2215</v>
      </c>
      <c r="AC141" t="s">
        <v>2208</v>
      </c>
      <c r="AD141" t="s">
        <v>2218</v>
      </c>
      <c r="AE141" t="s">
        <v>2166</v>
      </c>
      <c r="AG141" t="s">
        <v>2221</v>
      </c>
      <c r="AH141">
        <v>92</v>
      </c>
      <c r="AI141">
        <v>118</v>
      </c>
      <c r="AJ141">
        <v>26</v>
      </c>
      <c r="AK141">
        <v>4</v>
      </c>
      <c r="AL141" t="s">
        <v>2225</v>
      </c>
      <c r="AM141">
        <v>0</v>
      </c>
      <c r="AN141" t="s">
        <v>2175</v>
      </c>
      <c r="AO141" t="s">
        <v>2175</v>
      </c>
      <c r="AP141" t="s">
        <v>2175</v>
      </c>
      <c r="AQ141">
        <v>189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4.8</v>
      </c>
      <c r="AY141">
        <v>4.5999999999999996</v>
      </c>
      <c r="AZ141">
        <v>1</v>
      </c>
      <c r="BA141">
        <v>0</v>
      </c>
      <c r="BB141">
        <v>45</v>
      </c>
      <c r="BC141">
        <v>26</v>
      </c>
      <c r="BD141">
        <v>40.270000000000003</v>
      </c>
      <c r="BE141">
        <v>199</v>
      </c>
      <c r="BF141">
        <v>89.5</v>
      </c>
      <c r="BG141">
        <v>46</v>
      </c>
      <c r="BH141">
        <v>26</v>
      </c>
      <c r="BI141">
        <v>40.729999999999997</v>
      </c>
      <c r="BJ141">
        <v>203</v>
      </c>
      <c r="BK141">
        <v>88.5</v>
      </c>
      <c r="BL141">
        <v>199</v>
      </c>
      <c r="BM141">
        <v>8.1498000000000008</v>
      </c>
    </row>
    <row r="142" spans="1:65" x14ac:dyDescent="0.25">
      <c r="A142" t="s">
        <v>205</v>
      </c>
      <c r="B142" t="s">
        <v>1304</v>
      </c>
      <c r="C142" t="s">
        <v>2157</v>
      </c>
      <c r="D142" s="1">
        <v>45424</v>
      </c>
      <c r="E142" s="1">
        <v>45461</v>
      </c>
      <c r="F142" s="1">
        <v>45590</v>
      </c>
      <c r="G142" t="s">
        <v>2161</v>
      </c>
      <c r="H142" t="s">
        <v>2167</v>
      </c>
      <c r="I142" t="s">
        <v>2175</v>
      </c>
      <c r="J142">
        <v>49966</v>
      </c>
      <c r="K142">
        <v>1499</v>
      </c>
      <c r="L142">
        <v>19</v>
      </c>
      <c r="M142">
        <v>13.7</v>
      </c>
      <c r="N142">
        <v>6</v>
      </c>
      <c r="O142">
        <v>17491</v>
      </c>
      <c r="P142" t="s">
        <v>2178</v>
      </c>
      <c r="Q142">
        <v>18</v>
      </c>
      <c r="R142">
        <v>30</v>
      </c>
      <c r="S142">
        <v>54</v>
      </c>
      <c r="T142">
        <v>929</v>
      </c>
      <c r="U142" t="s">
        <v>2166</v>
      </c>
      <c r="V142" t="s">
        <v>2172</v>
      </c>
      <c r="W142" t="s">
        <v>2209</v>
      </c>
      <c r="X142" t="s">
        <v>2211</v>
      </c>
      <c r="Y142" t="s">
        <v>2212</v>
      </c>
      <c r="Z142" s="1">
        <v>45590</v>
      </c>
      <c r="AA142" s="1">
        <v>45592</v>
      </c>
      <c r="AB142" t="s">
        <v>2214</v>
      </c>
      <c r="AC142" t="s">
        <v>2209</v>
      </c>
      <c r="AD142" t="s">
        <v>2218</v>
      </c>
      <c r="AE142" t="s">
        <v>2166</v>
      </c>
      <c r="AG142" t="s">
        <v>2221</v>
      </c>
      <c r="AH142">
        <v>102</v>
      </c>
      <c r="AI142">
        <v>129</v>
      </c>
      <c r="AJ142">
        <v>27</v>
      </c>
      <c r="AK142">
        <v>6</v>
      </c>
      <c r="AL142" t="s">
        <v>2223</v>
      </c>
      <c r="AM142">
        <v>0</v>
      </c>
      <c r="AN142" t="s">
        <v>2175</v>
      </c>
      <c r="AO142" t="s">
        <v>2177</v>
      </c>
      <c r="AP142" t="s">
        <v>2175</v>
      </c>
      <c r="AQ142">
        <v>260.3</v>
      </c>
      <c r="AR142">
        <v>3</v>
      </c>
      <c r="AS142">
        <v>3</v>
      </c>
      <c r="AT142">
        <v>2</v>
      </c>
      <c r="AU142">
        <v>3</v>
      </c>
      <c r="AV142">
        <v>2.666666666666667</v>
      </c>
      <c r="AW142">
        <v>4.8</v>
      </c>
      <c r="AY142">
        <v>4.3</v>
      </c>
      <c r="AZ142">
        <v>1</v>
      </c>
      <c r="BA142">
        <v>0</v>
      </c>
      <c r="BB142">
        <v>45</v>
      </c>
      <c r="BC142">
        <v>25</v>
      </c>
      <c r="BD142">
        <v>39.200000000000003</v>
      </c>
      <c r="BE142">
        <v>186</v>
      </c>
      <c r="BF142">
        <v>87.1</v>
      </c>
      <c r="BG142">
        <v>36</v>
      </c>
      <c r="BH142">
        <v>25</v>
      </c>
      <c r="BI142">
        <v>31.92</v>
      </c>
      <c r="BJ142">
        <v>149</v>
      </c>
      <c r="BK142">
        <v>88.7</v>
      </c>
      <c r="BL142">
        <v>186</v>
      </c>
      <c r="BM142">
        <v>10.7431</v>
      </c>
    </row>
    <row r="143" spans="1:65" x14ac:dyDescent="0.25">
      <c r="A143" t="s">
        <v>206</v>
      </c>
      <c r="B143" t="s">
        <v>1305</v>
      </c>
      <c r="C143" t="s">
        <v>2158</v>
      </c>
      <c r="D143" s="1">
        <v>45411</v>
      </c>
      <c r="E143" s="1">
        <v>45453</v>
      </c>
      <c r="F143" s="1">
        <v>45507</v>
      </c>
      <c r="G143" t="s">
        <v>2164</v>
      </c>
      <c r="H143" t="s">
        <v>2170</v>
      </c>
      <c r="I143" t="s">
        <v>2174</v>
      </c>
      <c r="J143">
        <v>6043</v>
      </c>
      <c r="K143">
        <v>182</v>
      </c>
      <c r="L143">
        <v>6.2</v>
      </c>
      <c r="M143">
        <v>1.9</v>
      </c>
      <c r="N143">
        <v>3</v>
      </c>
      <c r="O143">
        <v>6549</v>
      </c>
      <c r="P143" t="s">
        <v>2176</v>
      </c>
      <c r="Q143">
        <v>7</v>
      </c>
      <c r="R143">
        <v>10</v>
      </c>
      <c r="S143">
        <v>10</v>
      </c>
      <c r="T143">
        <v>612</v>
      </c>
      <c r="U143" t="s">
        <v>2179</v>
      </c>
      <c r="W143" t="s">
        <v>2209</v>
      </c>
      <c r="X143" t="s">
        <v>2211</v>
      </c>
      <c r="Y143" t="s">
        <v>2213</v>
      </c>
      <c r="Z143" s="1">
        <v>45495</v>
      </c>
      <c r="AA143" s="1">
        <v>45501</v>
      </c>
      <c r="AB143" t="s">
        <v>2214</v>
      </c>
      <c r="AC143" t="s">
        <v>2209</v>
      </c>
      <c r="AD143" t="s">
        <v>2219</v>
      </c>
      <c r="AE143" t="s">
        <v>2165</v>
      </c>
      <c r="AF143" t="s">
        <v>2162</v>
      </c>
      <c r="AG143" t="s">
        <v>2222</v>
      </c>
      <c r="AH143">
        <v>27</v>
      </c>
      <c r="AI143">
        <v>42</v>
      </c>
      <c r="AJ143">
        <v>15</v>
      </c>
      <c r="AK143">
        <v>6</v>
      </c>
      <c r="AL143" t="s">
        <v>2223</v>
      </c>
      <c r="AM143">
        <v>0</v>
      </c>
      <c r="AN143" t="s">
        <v>2176</v>
      </c>
      <c r="AO143" t="s">
        <v>2176</v>
      </c>
      <c r="AP143" t="s">
        <v>2176</v>
      </c>
      <c r="AQ143">
        <v>11.78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4.5999999999999996</v>
      </c>
      <c r="AX143">
        <v>4.2</v>
      </c>
      <c r="AY143">
        <v>4.5</v>
      </c>
      <c r="AZ143">
        <v>2</v>
      </c>
      <c r="BA143">
        <v>2</v>
      </c>
      <c r="BB143">
        <v>40</v>
      </c>
      <c r="BC143">
        <v>25</v>
      </c>
      <c r="BD143">
        <v>34.72</v>
      </c>
      <c r="BE143">
        <v>161</v>
      </c>
      <c r="BF143">
        <v>86.8</v>
      </c>
      <c r="BG143">
        <v>33</v>
      </c>
      <c r="BH143">
        <v>25</v>
      </c>
      <c r="BI143">
        <v>28.64</v>
      </c>
      <c r="BJ143">
        <v>133</v>
      </c>
      <c r="BK143">
        <v>86.8</v>
      </c>
      <c r="BL143">
        <v>278</v>
      </c>
      <c r="BM143">
        <v>1.5009999999999999</v>
      </c>
    </row>
    <row r="144" spans="1:65" x14ac:dyDescent="0.25">
      <c r="A144" t="s">
        <v>207</v>
      </c>
      <c r="B144" t="s">
        <v>1306</v>
      </c>
      <c r="C144" t="s">
        <v>2160</v>
      </c>
      <c r="D144" s="1">
        <v>45453</v>
      </c>
      <c r="E144" s="1">
        <v>45488</v>
      </c>
      <c r="F144" s="1">
        <v>45563</v>
      </c>
      <c r="G144" t="s">
        <v>2164</v>
      </c>
      <c r="H144" t="s">
        <v>2170</v>
      </c>
      <c r="I144" t="s">
        <v>2176</v>
      </c>
      <c r="J144">
        <v>14540</v>
      </c>
      <c r="K144">
        <v>437</v>
      </c>
      <c r="L144">
        <v>7.2</v>
      </c>
      <c r="M144">
        <v>10.3</v>
      </c>
      <c r="N144">
        <v>5</v>
      </c>
      <c r="O144">
        <v>5986</v>
      </c>
      <c r="P144" t="s">
        <v>2176</v>
      </c>
      <c r="Q144">
        <v>10</v>
      </c>
      <c r="R144">
        <v>14</v>
      </c>
      <c r="S144">
        <v>24</v>
      </c>
      <c r="T144">
        <v>617</v>
      </c>
      <c r="U144" t="s">
        <v>2163</v>
      </c>
      <c r="V144" t="s">
        <v>2169</v>
      </c>
      <c r="W144" t="s">
        <v>2209</v>
      </c>
      <c r="X144" t="s">
        <v>2211</v>
      </c>
      <c r="Y144" t="s">
        <v>2212</v>
      </c>
      <c r="Z144" s="1">
        <v>45554</v>
      </c>
      <c r="AA144" s="1">
        <v>45557</v>
      </c>
      <c r="AB144" t="s">
        <v>2214</v>
      </c>
      <c r="AC144" t="s">
        <v>2209</v>
      </c>
      <c r="AD144" t="s">
        <v>2218</v>
      </c>
      <c r="AE144" t="s">
        <v>2163</v>
      </c>
      <c r="AG144" t="s">
        <v>2221</v>
      </c>
      <c r="AH144">
        <v>48</v>
      </c>
      <c r="AI144">
        <v>66</v>
      </c>
      <c r="AJ144">
        <v>18</v>
      </c>
      <c r="AK144">
        <v>7</v>
      </c>
      <c r="AL144" t="s">
        <v>2226</v>
      </c>
      <c r="AM144">
        <v>0</v>
      </c>
      <c r="AN144" t="s">
        <v>2177</v>
      </c>
      <c r="AO144" t="s">
        <v>2177</v>
      </c>
      <c r="AP144" t="s">
        <v>2176</v>
      </c>
      <c r="AQ144">
        <v>74.160000000000011</v>
      </c>
      <c r="AR144">
        <v>1</v>
      </c>
      <c r="AS144">
        <v>2</v>
      </c>
      <c r="AT144">
        <v>2</v>
      </c>
      <c r="AU144">
        <v>1</v>
      </c>
      <c r="AV144">
        <v>1.666666666666667</v>
      </c>
      <c r="AW144">
        <v>4.4000000000000004</v>
      </c>
      <c r="AY144">
        <v>4.5</v>
      </c>
      <c r="AZ144">
        <v>0</v>
      </c>
      <c r="BA144">
        <v>1</v>
      </c>
      <c r="BB144">
        <v>33</v>
      </c>
      <c r="BC144">
        <v>27</v>
      </c>
      <c r="BD144">
        <v>28.89</v>
      </c>
      <c r="BE144">
        <v>145</v>
      </c>
      <c r="BF144">
        <v>87.5</v>
      </c>
      <c r="BG144">
        <v>29</v>
      </c>
      <c r="BH144">
        <v>27</v>
      </c>
      <c r="BI144">
        <v>25.96</v>
      </c>
      <c r="BJ144">
        <v>130</v>
      </c>
      <c r="BK144">
        <v>89.5</v>
      </c>
      <c r="BL144">
        <v>145</v>
      </c>
      <c r="BM144">
        <v>3.7130000000000001</v>
      </c>
    </row>
    <row r="145" spans="1:65" x14ac:dyDescent="0.25">
      <c r="A145" t="s">
        <v>208</v>
      </c>
      <c r="B145" t="s">
        <v>1307</v>
      </c>
      <c r="C145" t="s">
        <v>2157</v>
      </c>
      <c r="D145" s="1">
        <v>45425</v>
      </c>
      <c r="E145" s="1">
        <v>45463</v>
      </c>
      <c r="F145" s="1">
        <v>45576</v>
      </c>
      <c r="G145" t="s">
        <v>2162</v>
      </c>
      <c r="H145" t="s">
        <v>2168</v>
      </c>
      <c r="I145" t="s">
        <v>2175</v>
      </c>
      <c r="J145">
        <v>42693</v>
      </c>
      <c r="K145">
        <v>1281</v>
      </c>
      <c r="L145">
        <v>18.8</v>
      </c>
      <c r="M145">
        <v>13.7</v>
      </c>
      <c r="N145">
        <v>8</v>
      </c>
      <c r="O145">
        <v>17759</v>
      </c>
      <c r="P145" t="s">
        <v>2178</v>
      </c>
      <c r="Q145">
        <v>18</v>
      </c>
      <c r="R145">
        <v>30</v>
      </c>
      <c r="S145">
        <v>44</v>
      </c>
      <c r="T145">
        <v>976</v>
      </c>
      <c r="U145" t="s">
        <v>2161</v>
      </c>
      <c r="V145" t="s">
        <v>2167</v>
      </c>
      <c r="W145" t="s">
        <v>2209</v>
      </c>
      <c r="X145" t="s">
        <v>2211</v>
      </c>
      <c r="Y145" t="s">
        <v>2212</v>
      </c>
      <c r="Z145" s="1">
        <v>45581</v>
      </c>
      <c r="AA145" s="1">
        <v>45585</v>
      </c>
      <c r="AB145" t="s">
        <v>2215</v>
      </c>
      <c r="AC145" t="s">
        <v>2208</v>
      </c>
      <c r="AD145" t="s">
        <v>2218</v>
      </c>
      <c r="AE145" t="s">
        <v>2161</v>
      </c>
      <c r="AG145" t="s">
        <v>2221</v>
      </c>
      <c r="AH145">
        <v>92</v>
      </c>
      <c r="AI145">
        <v>118</v>
      </c>
      <c r="AJ145">
        <v>26</v>
      </c>
      <c r="AK145">
        <v>6</v>
      </c>
      <c r="AL145" t="s">
        <v>2223</v>
      </c>
      <c r="AM145">
        <v>0</v>
      </c>
      <c r="AN145" t="s">
        <v>2175</v>
      </c>
      <c r="AO145" t="s">
        <v>2175</v>
      </c>
      <c r="AP145" t="s">
        <v>2175</v>
      </c>
      <c r="AQ145">
        <v>257.56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4.3</v>
      </c>
      <c r="AY145">
        <v>4.2</v>
      </c>
      <c r="AZ145">
        <v>1</v>
      </c>
      <c r="BA145">
        <v>0</v>
      </c>
      <c r="BB145">
        <v>36</v>
      </c>
      <c r="BC145">
        <v>25</v>
      </c>
      <c r="BD145">
        <v>31.92</v>
      </c>
      <c r="BE145">
        <v>149</v>
      </c>
      <c r="BF145">
        <v>88.7</v>
      </c>
      <c r="BG145">
        <v>29</v>
      </c>
      <c r="BH145">
        <v>25</v>
      </c>
      <c r="BI145">
        <v>25.56</v>
      </c>
      <c r="BJ145">
        <v>117</v>
      </c>
      <c r="BK145">
        <v>88.1</v>
      </c>
      <c r="BL145">
        <v>149</v>
      </c>
      <c r="BM145">
        <v>11.4581</v>
      </c>
    </row>
    <row r="146" spans="1:65" x14ac:dyDescent="0.25">
      <c r="A146" t="s">
        <v>209</v>
      </c>
      <c r="B146" t="s">
        <v>1218</v>
      </c>
      <c r="C146" t="s">
        <v>2159</v>
      </c>
      <c r="D146" s="1">
        <v>45362</v>
      </c>
      <c r="E146" s="1">
        <v>45395</v>
      </c>
      <c r="F146" s="1">
        <v>45513</v>
      </c>
      <c r="G146" t="s">
        <v>2161</v>
      </c>
      <c r="H146" t="s">
        <v>2167</v>
      </c>
      <c r="I146" t="s">
        <v>2174</v>
      </c>
      <c r="J146">
        <v>29528</v>
      </c>
      <c r="K146">
        <v>886</v>
      </c>
      <c r="L146">
        <v>6.7</v>
      </c>
      <c r="M146">
        <v>7</v>
      </c>
      <c r="N146">
        <v>3</v>
      </c>
      <c r="O146">
        <v>3293</v>
      </c>
      <c r="P146" t="s">
        <v>2176</v>
      </c>
      <c r="Q146">
        <v>14</v>
      </c>
      <c r="R146">
        <v>20</v>
      </c>
      <c r="S146">
        <v>47</v>
      </c>
      <c r="T146">
        <v>631</v>
      </c>
      <c r="U146" t="s">
        <v>2183</v>
      </c>
      <c r="W146" t="s">
        <v>2209</v>
      </c>
      <c r="X146" t="s">
        <v>2211</v>
      </c>
      <c r="Y146" t="s">
        <v>2213</v>
      </c>
      <c r="Z146" s="1">
        <v>45501</v>
      </c>
      <c r="AA146" s="1">
        <v>45501</v>
      </c>
      <c r="AB146" t="s">
        <v>2214</v>
      </c>
      <c r="AC146" t="s">
        <v>2209</v>
      </c>
      <c r="AD146" t="s">
        <v>2219</v>
      </c>
      <c r="AE146" t="s">
        <v>2162</v>
      </c>
      <c r="AF146" t="s">
        <v>2163</v>
      </c>
      <c r="AG146" t="s">
        <v>2222</v>
      </c>
      <c r="AH146">
        <v>81</v>
      </c>
      <c r="AI146">
        <v>106</v>
      </c>
      <c r="AJ146">
        <v>25</v>
      </c>
      <c r="AK146">
        <v>4</v>
      </c>
      <c r="AL146" t="s">
        <v>2225</v>
      </c>
      <c r="AM146">
        <v>0</v>
      </c>
      <c r="AN146" t="s">
        <v>2177</v>
      </c>
      <c r="AO146" t="s">
        <v>2176</v>
      </c>
      <c r="AP146" t="s">
        <v>2176</v>
      </c>
      <c r="AQ146">
        <v>46.9</v>
      </c>
      <c r="AR146">
        <v>1</v>
      </c>
      <c r="AS146">
        <v>2</v>
      </c>
      <c r="AT146">
        <v>1</v>
      </c>
      <c r="AU146">
        <v>1</v>
      </c>
      <c r="AV146">
        <v>1.333333333333333</v>
      </c>
      <c r="AW146">
        <v>4.2</v>
      </c>
      <c r="AX146">
        <v>4.4000000000000004</v>
      </c>
      <c r="AY146">
        <v>4.3</v>
      </c>
      <c r="AZ146">
        <v>3</v>
      </c>
      <c r="BA146">
        <v>2</v>
      </c>
      <c r="BB146">
        <v>25</v>
      </c>
      <c r="BC146">
        <v>26</v>
      </c>
      <c r="BD146">
        <v>21.81</v>
      </c>
      <c r="BE146">
        <v>104</v>
      </c>
      <c r="BF146">
        <v>87.2</v>
      </c>
      <c r="BG146">
        <v>32</v>
      </c>
      <c r="BH146">
        <v>26</v>
      </c>
      <c r="BI146">
        <v>28.46</v>
      </c>
      <c r="BJ146">
        <v>138</v>
      </c>
      <c r="BK146">
        <v>88.9</v>
      </c>
      <c r="BL146">
        <v>236</v>
      </c>
      <c r="BM146">
        <v>10.9161</v>
      </c>
    </row>
    <row r="147" spans="1:65" x14ac:dyDescent="0.25">
      <c r="A147" t="s">
        <v>210</v>
      </c>
      <c r="B147" t="s">
        <v>1308</v>
      </c>
      <c r="C147" t="s">
        <v>2159</v>
      </c>
      <c r="D147" s="1">
        <v>45425</v>
      </c>
      <c r="E147" s="1">
        <v>45462</v>
      </c>
      <c r="F147" s="1">
        <v>45523</v>
      </c>
      <c r="G147" t="s">
        <v>2164</v>
      </c>
      <c r="H147" t="s">
        <v>2170</v>
      </c>
      <c r="I147" t="s">
        <v>2175</v>
      </c>
      <c r="J147">
        <v>17834</v>
      </c>
      <c r="K147">
        <v>536</v>
      </c>
      <c r="L147">
        <v>10.6</v>
      </c>
      <c r="M147">
        <v>16.2</v>
      </c>
      <c r="N147">
        <v>7</v>
      </c>
      <c r="O147">
        <v>15698</v>
      </c>
      <c r="P147" t="s">
        <v>2178</v>
      </c>
      <c r="Q147">
        <v>10</v>
      </c>
      <c r="R147">
        <v>14</v>
      </c>
      <c r="S147">
        <v>18</v>
      </c>
      <c r="T147">
        <v>992</v>
      </c>
      <c r="U147" t="s">
        <v>2164</v>
      </c>
      <c r="V147" t="s">
        <v>2170</v>
      </c>
      <c r="W147" t="s">
        <v>2209</v>
      </c>
      <c r="X147" t="s">
        <v>2211</v>
      </c>
      <c r="Y147" t="s">
        <v>2212</v>
      </c>
      <c r="Z147" s="1">
        <v>45522</v>
      </c>
      <c r="AA147" s="1">
        <v>45522</v>
      </c>
      <c r="AB147" t="s">
        <v>2214</v>
      </c>
      <c r="AC147" t="s">
        <v>2209</v>
      </c>
      <c r="AD147" t="s">
        <v>2218</v>
      </c>
      <c r="AE147" t="s">
        <v>2164</v>
      </c>
      <c r="AG147" t="s">
        <v>2221</v>
      </c>
      <c r="AH147">
        <v>42</v>
      </c>
      <c r="AI147">
        <v>60</v>
      </c>
      <c r="AJ147">
        <v>18</v>
      </c>
      <c r="AK147">
        <v>6</v>
      </c>
      <c r="AL147" t="s">
        <v>2223</v>
      </c>
      <c r="AM147">
        <v>0</v>
      </c>
      <c r="AN147" t="s">
        <v>2175</v>
      </c>
      <c r="AO147" t="s">
        <v>2175</v>
      </c>
      <c r="AP147" t="s">
        <v>2175</v>
      </c>
      <c r="AQ147">
        <v>171.72</v>
      </c>
      <c r="AR147">
        <v>3</v>
      </c>
      <c r="AS147">
        <v>3</v>
      </c>
      <c r="AT147">
        <v>3</v>
      </c>
      <c r="AU147">
        <v>3</v>
      </c>
      <c r="AV147">
        <v>3</v>
      </c>
      <c r="AW147">
        <v>4.5</v>
      </c>
      <c r="AY147">
        <v>4.5</v>
      </c>
      <c r="AZ147">
        <v>3</v>
      </c>
      <c r="BA147">
        <v>0</v>
      </c>
      <c r="BB147">
        <v>33</v>
      </c>
      <c r="BC147">
        <v>25</v>
      </c>
      <c r="BD147">
        <v>28.64</v>
      </c>
      <c r="BE147">
        <v>133</v>
      </c>
      <c r="BF147">
        <v>86.8</v>
      </c>
      <c r="BG147">
        <v>33</v>
      </c>
      <c r="BH147">
        <v>25</v>
      </c>
      <c r="BI147">
        <v>28.64</v>
      </c>
      <c r="BJ147">
        <v>133</v>
      </c>
      <c r="BK147">
        <v>86.8</v>
      </c>
      <c r="BL147">
        <v>133</v>
      </c>
      <c r="BM147">
        <v>5.3620000000000001</v>
      </c>
    </row>
    <row r="148" spans="1:65" x14ac:dyDescent="0.25">
      <c r="A148" t="s">
        <v>211</v>
      </c>
      <c r="B148" t="s">
        <v>1309</v>
      </c>
      <c r="C148" t="s">
        <v>2157</v>
      </c>
      <c r="D148" s="1">
        <v>45376</v>
      </c>
      <c r="E148" s="1">
        <v>45411</v>
      </c>
      <c r="F148" s="1">
        <v>45621</v>
      </c>
      <c r="G148" t="s">
        <v>2166</v>
      </c>
      <c r="H148" t="s">
        <v>2172</v>
      </c>
      <c r="I148" t="s">
        <v>2174</v>
      </c>
      <c r="J148">
        <v>57943</v>
      </c>
      <c r="K148">
        <v>1739</v>
      </c>
      <c r="L148">
        <v>7.6</v>
      </c>
      <c r="M148">
        <v>6.9</v>
      </c>
      <c r="N148">
        <v>4</v>
      </c>
      <c r="O148">
        <v>5679</v>
      </c>
      <c r="P148" t="s">
        <v>2176</v>
      </c>
      <c r="Q148">
        <v>18</v>
      </c>
      <c r="R148">
        <v>30</v>
      </c>
      <c r="S148">
        <v>115</v>
      </c>
      <c r="T148">
        <v>507</v>
      </c>
      <c r="U148" t="s">
        <v>2184</v>
      </c>
      <c r="W148" t="s">
        <v>2209</v>
      </c>
      <c r="X148" t="s">
        <v>2211</v>
      </c>
      <c r="Y148" t="s">
        <v>2213</v>
      </c>
      <c r="Z148" s="1">
        <v>45611</v>
      </c>
      <c r="AA148" s="1">
        <v>45613</v>
      </c>
      <c r="AB148" t="s">
        <v>2214</v>
      </c>
      <c r="AC148" t="s">
        <v>2209</v>
      </c>
      <c r="AD148" t="s">
        <v>2219</v>
      </c>
      <c r="AE148" t="s">
        <v>2163</v>
      </c>
      <c r="AF148" t="s">
        <v>2162</v>
      </c>
      <c r="AG148" t="s">
        <v>2222</v>
      </c>
      <c r="AH148">
        <v>163</v>
      </c>
      <c r="AI148">
        <v>200</v>
      </c>
      <c r="AJ148">
        <v>37</v>
      </c>
      <c r="AK148">
        <v>4</v>
      </c>
      <c r="AL148" t="s">
        <v>2225</v>
      </c>
      <c r="AM148">
        <v>0</v>
      </c>
      <c r="AN148" t="s">
        <v>2177</v>
      </c>
      <c r="AO148" t="s">
        <v>2177</v>
      </c>
      <c r="AP148" t="s">
        <v>2176</v>
      </c>
      <c r="AQ148">
        <v>52.44</v>
      </c>
      <c r="AR148">
        <v>1</v>
      </c>
      <c r="AS148">
        <v>2</v>
      </c>
      <c r="AT148">
        <v>2</v>
      </c>
      <c r="AU148">
        <v>1</v>
      </c>
      <c r="AV148">
        <v>1.666666666666667</v>
      </c>
      <c r="AW148">
        <v>4.4000000000000004</v>
      </c>
      <c r="AX148">
        <v>4.2</v>
      </c>
      <c r="AY148">
        <v>4.8</v>
      </c>
      <c r="AZ148">
        <v>1</v>
      </c>
      <c r="BA148">
        <v>2</v>
      </c>
      <c r="BB148">
        <v>31</v>
      </c>
      <c r="BC148">
        <v>26</v>
      </c>
      <c r="BD148">
        <v>27.23</v>
      </c>
      <c r="BE148">
        <v>132</v>
      </c>
      <c r="BF148">
        <v>87.8</v>
      </c>
      <c r="BG148">
        <v>45</v>
      </c>
      <c r="BH148">
        <v>26</v>
      </c>
      <c r="BI148">
        <v>40.270000000000003</v>
      </c>
      <c r="BJ148">
        <v>199</v>
      </c>
      <c r="BK148">
        <v>89.5</v>
      </c>
      <c r="BL148">
        <v>236</v>
      </c>
      <c r="BM148">
        <v>16.8782</v>
      </c>
    </row>
    <row r="149" spans="1:65" x14ac:dyDescent="0.25">
      <c r="A149" t="s">
        <v>212</v>
      </c>
      <c r="B149" t="s">
        <v>1310</v>
      </c>
      <c r="C149" t="s">
        <v>2158</v>
      </c>
      <c r="D149" s="1">
        <v>45425</v>
      </c>
      <c r="E149" s="1">
        <v>45460</v>
      </c>
      <c r="F149" s="1">
        <v>45524</v>
      </c>
      <c r="G149" t="s">
        <v>2165</v>
      </c>
      <c r="H149" t="s">
        <v>2171</v>
      </c>
      <c r="I149" t="s">
        <v>2174</v>
      </c>
      <c r="J149">
        <v>7585</v>
      </c>
      <c r="K149">
        <v>228</v>
      </c>
      <c r="L149">
        <v>2</v>
      </c>
      <c r="M149">
        <v>5.8</v>
      </c>
      <c r="N149">
        <v>4</v>
      </c>
      <c r="O149">
        <v>5731</v>
      </c>
      <c r="P149" t="s">
        <v>2176</v>
      </c>
      <c r="Q149">
        <v>7</v>
      </c>
      <c r="R149">
        <v>10</v>
      </c>
      <c r="S149">
        <v>15</v>
      </c>
      <c r="T149">
        <v>526</v>
      </c>
      <c r="U149" t="s">
        <v>2165</v>
      </c>
      <c r="V149" t="s">
        <v>2171</v>
      </c>
      <c r="W149" t="s">
        <v>2209</v>
      </c>
      <c r="X149" t="s">
        <v>2211</v>
      </c>
      <c r="Y149" t="s">
        <v>2212</v>
      </c>
      <c r="Z149" s="1">
        <v>45508</v>
      </c>
      <c r="AA149" s="1">
        <v>45508</v>
      </c>
      <c r="AB149" t="s">
        <v>2214</v>
      </c>
      <c r="AC149" t="s">
        <v>2209</v>
      </c>
      <c r="AD149" t="s">
        <v>2218</v>
      </c>
      <c r="AE149" t="s">
        <v>2165</v>
      </c>
      <c r="AG149" t="s">
        <v>2221</v>
      </c>
      <c r="AH149">
        <v>32</v>
      </c>
      <c r="AI149">
        <v>48</v>
      </c>
      <c r="AJ149">
        <v>16</v>
      </c>
      <c r="AK149">
        <v>6</v>
      </c>
      <c r="AL149" t="s">
        <v>2223</v>
      </c>
      <c r="AM149">
        <v>0</v>
      </c>
      <c r="AN149" t="s">
        <v>2176</v>
      </c>
      <c r="AO149" t="s">
        <v>2177</v>
      </c>
      <c r="AP149" t="s">
        <v>2176</v>
      </c>
      <c r="AQ149">
        <v>11.6</v>
      </c>
      <c r="AR149">
        <v>1</v>
      </c>
      <c r="AS149">
        <v>1</v>
      </c>
      <c r="AT149">
        <v>2</v>
      </c>
      <c r="AU149">
        <v>1</v>
      </c>
      <c r="AV149">
        <v>1.333333333333333</v>
      </c>
      <c r="AW149">
        <v>4.5999999999999996</v>
      </c>
      <c r="AY149">
        <v>4.5999999999999996</v>
      </c>
      <c r="AZ149">
        <v>2</v>
      </c>
      <c r="BA149">
        <v>2</v>
      </c>
      <c r="BB149">
        <v>40</v>
      </c>
      <c r="BC149">
        <v>25</v>
      </c>
      <c r="BD149">
        <v>34.72</v>
      </c>
      <c r="BE149">
        <v>161</v>
      </c>
      <c r="BF149">
        <v>86.8</v>
      </c>
      <c r="BG149">
        <v>40</v>
      </c>
      <c r="BH149">
        <v>25</v>
      </c>
      <c r="BI149">
        <v>34.72</v>
      </c>
      <c r="BJ149">
        <v>161</v>
      </c>
      <c r="BK149">
        <v>86.8</v>
      </c>
      <c r="BL149">
        <v>161</v>
      </c>
      <c r="BM149">
        <v>1.8839999999999999</v>
      </c>
    </row>
    <row r="150" spans="1:65" x14ac:dyDescent="0.25">
      <c r="A150" t="s">
        <v>213</v>
      </c>
      <c r="B150" t="s">
        <v>1311</v>
      </c>
      <c r="C150" t="s">
        <v>2159</v>
      </c>
      <c r="D150" s="1">
        <v>45306</v>
      </c>
      <c r="E150" s="1">
        <v>45343</v>
      </c>
      <c r="F150" s="1">
        <v>45443</v>
      </c>
      <c r="G150" t="s">
        <v>2161</v>
      </c>
      <c r="H150" t="s">
        <v>2167</v>
      </c>
      <c r="I150" t="s">
        <v>2174</v>
      </c>
      <c r="J150">
        <v>23338</v>
      </c>
      <c r="K150">
        <v>701</v>
      </c>
      <c r="L150">
        <v>7.8</v>
      </c>
      <c r="M150">
        <v>7.7</v>
      </c>
      <c r="N150">
        <v>1</v>
      </c>
      <c r="O150">
        <v>3530</v>
      </c>
      <c r="P150" t="s">
        <v>2176</v>
      </c>
      <c r="Q150">
        <v>14</v>
      </c>
      <c r="R150">
        <v>20</v>
      </c>
      <c r="S150">
        <v>34</v>
      </c>
      <c r="T150">
        <v>695</v>
      </c>
      <c r="U150" t="s">
        <v>2162</v>
      </c>
      <c r="V150" t="s">
        <v>2168</v>
      </c>
      <c r="W150" t="s">
        <v>2209</v>
      </c>
      <c r="X150" t="s">
        <v>2211</v>
      </c>
      <c r="Y150" t="s">
        <v>2212</v>
      </c>
      <c r="Z150" s="1">
        <v>45433</v>
      </c>
      <c r="AA150" s="1">
        <v>45437</v>
      </c>
      <c r="AB150" t="s">
        <v>2214</v>
      </c>
      <c r="AC150" t="s">
        <v>2209</v>
      </c>
      <c r="AD150" t="s">
        <v>2218</v>
      </c>
      <c r="AE150" t="s">
        <v>2162</v>
      </c>
      <c r="AG150" t="s">
        <v>2221</v>
      </c>
      <c r="AH150">
        <v>68</v>
      </c>
      <c r="AI150">
        <v>90</v>
      </c>
      <c r="AJ150">
        <v>22</v>
      </c>
      <c r="AK150">
        <v>2</v>
      </c>
      <c r="AL150" t="s">
        <v>2228</v>
      </c>
      <c r="AM150">
        <v>0</v>
      </c>
      <c r="AN150" t="s">
        <v>2177</v>
      </c>
      <c r="AO150" t="s">
        <v>2176</v>
      </c>
      <c r="AP150" t="s">
        <v>2176</v>
      </c>
      <c r="AQ150">
        <v>60.06</v>
      </c>
      <c r="AR150">
        <v>1</v>
      </c>
      <c r="AS150">
        <v>2</v>
      </c>
      <c r="AT150">
        <v>1</v>
      </c>
      <c r="AU150">
        <v>1</v>
      </c>
      <c r="AV150">
        <v>1.333333333333333</v>
      </c>
      <c r="AW150">
        <v>4.2</v>
      </c>
      <c r="AY150">
        <v>4.3</v>
      </c>
      <c r="AZ150">
        <v>3</v>
      </c>
      <c r="BA150">
        <v>2</v>
      </c>
      <c r="BB150">
        <v>34</v>
      </c>
      <c r="BC150">
        <v>24</v>
      </c>
      <c r="BD150">
        <v>30.5</v>
      </c>
      <c r="BE150">
        <v>136</v>
      </c>
      <c r="BF150">
        <v>89.7</v>
      </c>
      <c r="BG150">
        <v>34</v>
      </c>
      <c r="BH150">
        <v>24</v>
      </c>
      <c r="BI150">
        <v>29.92</v>
      </c>
      <c r="BJ150">
        <v>134</v>
      </c>
      <c r="BK150">
        <v>88</v>
      </c>
      <c r="BL150">
        <v>136</v>
      </c>
      <c r="BM150">
        <v>7.1478999999999999</v>
      </c>
    </row>
    <row r="151" spans="1:65" x14ac:dyDescent="0.25">
      <c r="A151" t="s">
        <v>214</v>
      </c>
      <c r="B151" t="s">
        <v>1312</v>
      </c>
      <c r="C151" t="s">
        <v>2160</v>
      </c>
      <c r="D151" s="1">
        <v>45432</v>
      </c>
      <c r="E151" s="1">
        <v>45467</v>
      </c>
      <c r="F151" s="1">
        <v>45557</v>
      </c>
      <c r="G151" t="s">
        <v>2164</v>
      </c>
      <c r="H151" t="s">
        <v>2170</v>
      </c>
      <c r="I151" t="s">
        <v>2174</v>
      </c>
      <c r="J151">
        <v>17451</v>
      </c>
      <c r="K151">
        <v>524</v>
      </c>
      <c r="L151">
        <v>6.8</v>
      </c>
      <c r="M151">
        <v>2.6</v>
      </c>
      <c r="N151">
        <v>3</v>
      </c>
      <c r="O151">
        <v>6215</v>
      </c>
      <c r="P151" t="s">
        <v>2176</v>
      </c>
      <c r="Q151">
        <v>10</v>
      </c>
      <c r="R151">
        <v>14</v>
      </c>
      <c r="S151">
        <v>30</v>
      </c>
      <c r="T151">
        <v>598</v>
      </c>
      <c r="U151" t="s">
        <v>2185</v>
      </c>
      <c r="W151" t="s">
        <v>2209</v>
      </c>
      <c r="X151" t="s">
        <v>2211</v>
      </c>
      <c r="Y151" t="s">
        <v>2213</v>
      </c>
      <c r="Z151" s="1">
        <v>45540</v>
      </c>
      <c r="AA151" s="1">
        <v>45543</v>
      </c>
      <c r="AB151" t="s">
        <v>2214</v>
      </c>
      <c r="AC151" t="s">
        <v>2209</v>
      </c>
      <c r="AD151" t="s">
        <v>2219</v>
      </c>
      <c r="AE151" t="s">
        <v>2163</v>
      </c>
      <c r="AF151" t="s">
        <v>2161</v>
      </c>
      <c r="AG151" t="s">
        <v>2222</v>
      </c>
      <c r="AH151">
        <v>54</v>
      </c>
      <c r="AI151">
        <v>73</v>
      </c>
      <c r="AJ151">
        <v>19</v>
      </c>
      <c r="AK151">
        <v>6</v>
      </c>
      <c r="AL151" t="s">
        <v>2223</v>
      </c>
      <c r="AM151">
        <v>0</v>
      </c>
      <c r="AN151" t="s">
        <v>2176</v>
      </c>
      <c r="AO151" t="s">
        <v>2176</v>
      </c>
      <c r="AP151" t="s">
        <v>2176</v>
      </c>
      <c r="AQ151">
        <v>17.68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4.4000000000000004</v>
      </c>
      <c r="AX151">
        <v>4.3</v>
      </c>
      <c r="AY151">
        <v>4.5</v>
      </c>
      <c r="AZ151">
        <v>0</v>
      </c>
      <c r="BA151">
        <v>2</v>
      </c>
      <c r="BB151">
        <v>30</v>
      </c>
      <c r="BC151">
        <v>25</v>
      </c>
      <c r="BD151">
        <v>26.48</v>
      </c>
      <c r="BE151">
        <v>121</v>
      </c>
      <c r="BF151">
        <v>88.3</v>
      </c>
      <c r="BG151">
        <v>33</v>
      </c>
      <c r="BH151">
        <v>25</v>
      </c>
      <c r="BI151">
        <v>28.64</v>
      </c>
      <c r="BJ151">
        <v>133</v>
      </c>
      <c r="BK151">
        <v>86.8</v>
      </c>
      <c r="BL151">
        <v>270</v>
      </c>
      <c r="BM151">
        <v>5.7670000000000003</v>
      </c>
    </row>
    <row r="152" spans="1:65" x14ac:dyDescent="0.25">
      <c r="A152" t="s">
        <v>215</v>
      </c>
      <c r="B152" t="s">
        <v>1313</v>
      </c>
      <c r="C152" t="s">
        <v>2159</v>
      </c>
      <c r="D152" s="1">
        <v>45446</v>
      </c>
      <c r="E152" s="1">
        <v>45481</v>
      </c>
      <c r="F152" s="1">
        <v>45585</v>
      </c>
      <c r="G152" t="s">
        <v>2162</v>
      </c>
      <c r="H152" t="s">
        <v>2168</v>
      </c>
      <c r="I152" t="s">
        <v>2174</v>
      </c>
      <c r="J152">
        <v>22282</v>
      </c>
      <c r="K152">
        <v>669</v>
      </c>
      <c r="L152">
        <v>6.3</v>
      </c>
      <c r="M152">
        <v>7.8</v>
      </c>
      <c r="N152">
        <v>4</v>
      </c>
      <c r="O152">
        <v>6328</v>
      </c>
      <c r="P152" t="s">
        <v>2176</v>
      </c>
      <c r="Q152">
        <v>14</v>
      </c>
      <c r="R152">
        <v>20</v>
      </c>
      <c r="S152">
        <v>35</v>
      </c>
      <c r="T152">
        <v>640</v>
      </c>
      <c r="U152" t="s">
        <v>2162</v>
      </c>
      <c r="V152" t="s">
        <v>2168</v>
      </c>
      <c r="W152" t="s">
        <v>2209</v>
      </c>
      <c r="X152" t="s">
        <v>2211</v>
      </c>
      <c r="Y152" t="s">
        <v>2212</v>
      </c>
      <c r="Z152" s="1">
        <v>45572</v>
      </c>
      <c r="AA152" s="1">
        <v>45578</v>
      </c>
      <c r="AB152" t="s">
        <v>2214</v>
      </c>
      <c r="AC152" t="s">
        <v>2209</v>
      </c>
      <c r="AD152" t="s">
        <v>2218</v>
      </c>
      <c r="AE152" t="s">
        <v>2162</v>
      </c>
      <c r="AG152" t="s">
        <v>2221</v>
      </c>
      <c r="AH152">
        <v>69</v>
      </c>
      <c r="AI152">
        <v>91</v>
      </c>
      <c r="AJ152">
        <v>22</v>
      </c>
      <c r="AK152">
        <v>7</v>
      </c>
      <c r="AL152" t="s">
        <v>2226</v>
      </c>
      <c r="AM152">
        <v>0</v>
      </c>
      <c r="AN152" t="s">
        <v>2177</v>
      </c>
      <c r="AO152" t="s">
        <v>2177</v>
      </c>
      <c r="AP152" t="s">
        <v>2176</v>
      </c>
      <c r="AQ152">
        <v>49.14</v>
      </c>
      <c r="AR152">
        <v>1</v>
      </c>
      <c r="AS152">
        <v>2</v>
      </c>
      <c r="AT152">
        <v>2</v>
      </c>
      <c r="AU152">
        <v>1</v>
      </c>
      <c r="AV152">
        <v>1.666666666666667</v>
      </c>
      <c r="AW152">
        <v>4.2</v>
      </c>
      <c r="AY152">
        <v>4.2</v>
      </c>
      <c r="AZ152">
        <v>3</v>
      </c>
      <c r="BA152">
        <v>2</v>
      </c>
      <c r="BB152">
        <v>30</v>
      </c>
      <c r="BC152">
        <v>27</v>
      </c>
      <c r="BD152">
        <v>26.15</v>
      </c>
      <c r="BE152">
        <v>133</v>
      </c>
      <c r="BF152">
        <v>87.2</v>
      </c>
      <c r="BG152">
        <v>30</v>
      </c>
      <c r="BH152">
        <v>27</v>
      </c>
      <c r="BI152">
        <v>26.15</v>
      </c>
      <c r="BJ152">
        <v>133</v>
      </c>
      <c r="BK152">
        <v>87.2</v>
      </c>
      <c r="BL152">
        <v>133</v>
      </c>
      <c r="BM152">
        <v>6.2031999999999998</v>
      </c>
    </row>
    <row r="153" spans="1:65" x14ac:dyDescent="0.25">
      <c r="A153" t="s">
        <v>216</v>
      </c>
      <c r="B153" t="s">
        <v>1228</v>
      </c>
      <c r="C153" t="s">
        <v>2159</v>
      </c>
      <c r="D153" s="1">
        <v>45390</v>
      </c>
      <c r="E153" s="1">
        <v>45435</v>
      </c>
      <c r="F153" s="1">
        <v>45503</v>
      </c>
      <c r="G153" t="s">
        <v>2165</v>
      </c>
      <c r="H153" t="s">
        <v>2171</v>
      </c>
      <c r="I153" t="s">
        <v>2176</v>
      </c>
      <c r="J153">
        <v>14094</v>
      </c>
      <c r="K153">
        <v>423</v>
      </c>
      <c r="L153">
        <v>4</v>
      </c>
      <c r="M153">
        <v>8.4</v>
      </c>
      <c r="N153">
        <v>4</v>
      </c>
      <c r="O153">
        <v>3924</v>
      </c>
      <c r="P153" t="s">
        <v>2176</v>
      </c>
      <c r="Q153">
        <v>10</v>
      </c>
      <c r="R153">
        <v>14</v>
      </c>
      <c r="S153">
        <v>19</v>
      </c>
      <c r="T153">
        <v>748</v>
      </c>
      <c r="U153" t="s">
        <v>2183</v>
      </c>
      <c r="W153" t="s">
        <v>2209</v>
      </c>
      <c r="X153" t="s">
        <v>2211</v>
      </c>
      <c r="Y153" t="s">
        <v>2213</v>
      </c>
      <c r="Z153" s="1">
        <v>45496</v>
      </c>
      <c r="AA153" s="1">
        <v>45501</v>
      </c>
      <c r="AB153" t="s">
        <v>2214</v>
      </c>
      <c r="AC153" t="s">
        <v>2209</v>
      </c>
      <c r="AD153" t="s">
        <v>2219</v>
      </c>
      <c r="AE153" t="s">
        <v>2162</v>
      </c>
      <c r="AF153" t="s">
        <v>2163</v>
      </c>
      <c r="AG153" t="s">
        <v>2222</v>
      </c>
      <c r="AH153">
        <v>43</v>
      </c>
      <c r="AI153">
        <v>61</v>
      </c>
      <c r="AJ153">
        <v>18</v>
      </c>
      <c r="AK153">
        <v>5</v>
      </c>
      <c r="AL153" t="s">
        <v>2224</v>
      </c>
      <c r="AM153">
        <v>0</v>
      </c>
      <c r="AN153" t="s">
        <v>2176</v>
      </c>
      <c r="AO153" t="s">
        <v>2177</v>
      </c>
      <c r="AP153" t="s">
        <v>2176</v>
      </c>
      <c r="AQ153">
        <v>33.6</v>
      </c>
      <c r="AR153">
        <v>1</v>
      </c>
      <c r="AS153">
        <v>1</v>
      </c>
      <c r="AT153">
        <v>2</v>
      </c>
      <c r="AU153">
        <v>1</v>
      </c>
      <c r="AV153">
        <v>1.333333333333333</v>
      </c>
      <c r="AW153">
        <v>4.2</v>
      </c>
      <c r="AX153">
        <v>4.4000000000000004</v>
      </c>
      <c r="AY153">
        <v>4.5999999999999996</v>
      </c>
      <c r="AZ153">
        <v>3</v>
      </c>
      <c r="BA153">
        <v>1</v>
      </c>
      <c r="BB153">
        <v>24</v>
      </c>
      <c r="BC153">
        <v>27</v>
      </c>
      <c r="BD153">
        <v>21.44</v>
      </c>
      <c r="BE153">
        <v>108</v>
      </c>
      <c r="BF153">
        <v>89.3</v>
      </c>
      <c r="BG153">
        <v>36</v>
      </c>
      <c r="BH153">
        <v>27</v>
      </c>
      <c r="BI153">
        <v>31.37</v>
      </c>
      <c r="BJ153">
        <v>158</v>
      </c>
      <c r="BK153">
        <v>87.1</v>
      </c>
      <c r="BL153">
        <v>279</v>
      </c>
      <c r="BM153">
        <v>4.8316999999999997</v>
      </c>
    </row>
    <row r="154" spans="1:65" x14ac:dyDescent="0.25">
      <c r="A154" t="s">
        <v>217</v>
      </c>
      <c r="B154" t="s">
        <v>1314</v>
      </c>
      <c r="C154" t="s">
        <v>2160</v>
      </c>
      <c r="D154" s="1">
        <v>45362</v>
      </c>
      <c r="E154" s="1">
        <v>45394</v>
      </c>
      <c r="F154" s="1">
        <v>45453</v>
      </c>
      <c r="G154" t="s">
        <v>2161</v>
      </c>
      <c r="H154" t="s">
        <v>2167</v>
      </c>
      <c r="I154" t="s">
        <v>2175</v>
      </c>
      <c r="J154">
        <v>18825</v>
      </c>
      <c r="K154">
        <v>565</v>
      </c>
      <c r="L154">
        <v>12.1</v>
      </c>
      <c r="M154">
        <v>10.199999999999999</v>
      </c>
      <c r="N154">
        <v>6</v>
      </c>
      <c r="O154">
        <v>19925</v>
      </c>
      <c r="P154" t="s">
        <v>2177</v>
      </c>
      <c r="Q154">
        <v>10</v>
      </c>
      <c r="R154">
        <v>14</v>
      </c>
      <c r="S154">
        <v>20</v>
      </c>
      <c r="T154">
        <v>986</v>
      </c>
      <c r="U154" t="s">
        <v>2179</v>
      </c>
      <c r="W154" t="s">
        <v>2209</v>
      </c>
      <c r="X154" t="s">
        <v>2211</v>
      </c>
      <c r="Y154" t="s">
        <v>2213</v>
      </c>
      <c r="Z154" s="1">
        <v>45456</v>
      </c>
      <c r="AA154" s="1">
        <v>45459</v>
      </c>
      <c r="AB154" t="s">
        <v>2215</v>
      </c>
      <c r="AC154" t="s">
        <v>2208</v>
      </c>
      <c r="AD154" t="s">
        <v>2219</v>
      </c>
      <c r="AE154" t="s">
        <v>2165</v>
      </c>
      <c r="AF154" t="s">
        <v>2162</v>
      </c>
      <c r="AG154" t="s">
        <v>2222</v>
      </c>
      <c r="AH154">
        <v>44</v>
      </c>
      <c r="AI154">
        <v>62</v>
      </c>
      <c r="AJ154">
        <v>18</v>
      </c>
      <c r="AK154">
        <v>4</v>
      </c>
      <c r="AL154" t="s">
        <v>2225</v>
      </c>
      <c r="AM154">
        <v>0</v>
      </c>
      <c r="AN154" t="s">
        <v>2175</v>
      </c>
      <c r="AO154" t="s">
        <v>2177</v>
      </c>
      <c r="AP154" t="s">
        <v>2175</v>
      </c>
      <c r="AQ154">
        <v>123.42</v>
      </c>
      <c r="AR154">
        <v>2</v>
      </c>
      <c r="AS154">
        <v>3</v>
      </c>
      <c r="AT154">
        <v>2</v>
      </c>
      <c r="AU154">
        <v>3</v>
      </c>
      <c r="AV154">
        <v>2.666666666666667</v>
      </c>
      <c r="AW154">
        <v>4.5999999999999996</v>
      </c>
      <c r="AX154">
        <v>4.2</v>
      </c>
      <c r="AY154">
        <v>4.3</v>
      </c>
      <c r="AZ154">
        <v>0</v>
      </c>
      <c r="BA154">
        <v>0</v>
      </c>
      <c r="BB154">
        <v>46</v>
      </c>
      <c r="BC154">
        <v>26</v>
      </c>
      <c r="BD154">
        <v>40.729999999999997</v>
      </c>
      <c r="BE154">
        <v>203</v>
      </c>
      <c r="BF154">
        <v>88.5</v>
      </c>
      <c r="BG154">
        <v>32</v>
      </c>
      <c r="BH154">
        <v>26</v>
      </c>
      <c r="BI154">
        <v>28.46</v>
      </c>
      <c r="BJ154">
        <v>138</v>
      </c>
      <c r="BK154">
        <v>88.9</v>
      </c>
      <c r="BL154">
        <v>307</v>
      </c>
      <c r="BM154">
        <v>3.5659999999999998</v>
      </c>
    </row>
    <row r="155" spans="1:65" x14ac:dyDescent="0.25">
      <c r="A155" t="s">
        <v>218</v>
      </c>
      <c r="B155" t="s">
        <v>1302</v>
      </c>
      <c r="C155" t="s">
        <v>2159</v>
      </c>
      <c r="D155" s="1">
        <v>45320</v>
      </c>
      <c r="E155" s="1">
        <v>45360</v>
      </c>
      <c r="F155" s="1">
        <v>45444</v>
      </c>
      <c r="G155" t="s">
        <v>2161</v>
      </c>
      <c r="H155" t="s">
        <v>2167</v>
      </c>
      <c r="I155" t="s">
        <v>2176</v>
      </c>
      <c r="J155">
        <v>19090</v>
      </c>
      <c r="K155">
        <v>573</v>
      </c>
      <c r="L155">
        <v>4.7</v>
      </c>
      <c r="M155">
        <v>9.9</v>
      </c>
      <c r="N155">
        <v>2</v>
      </c>
      <c r="O155">
        <v>4139</v>
      </c>
      <c r="P155" t="s">
        <v>2176</v>
      </c>
      <c r="Q155">
        <v>10</v>
      </c>
      <c r="R155">
        <v>14</v>
      </c>
      <c r="S155">
        <v>33</v>
      </c>
      <c r="T155">
        <v>596</v>
      </c>
      <c r="U155" t="s">
        <v>2165</v>
      </c>
      <c r="V155" t="s">
        <v>2171</v>
      </c>
      <c r="W155" t="s">
        <v>2209</v>
      </c>
      <c r="X155" t="s">
        <v>2211</v>
      </c>
      <c r="Y155" t="s">
        <v>2212</v>
      </c>
      <c r="Z155" s="1">
        <v>45437</v>
      </c>
      <c r="AA155" s="1">
        <v>45437</v>
      </c>
      <c r="AB155" t="s">
        <v>2214</v>
      </c>
      <c r="AC155" t="s">
        <v>2209</v>
      </c>
      <c r="AD155" t="s">
        <v>2218</v>
      </c>
      <c r="AE155" t="s">
        <v>2165</v>
      </c>
      <c r="AG155" t="s">
        <v>2221</v>
      </c>
      <c r="AH155">
        <v>57</v>
      </c>
      <c r="AI155">
        <v>77</v>
      </c>
      <c r="AJ155">
        <v>20</v>
      </c>
      <c r="AK155">
        <v>3</v>
      </c>
      <c r="AL155" t="s">
        <v>2227</v>
      </c>
      <c r="AM155">
        <v>0</v>
      </c>
      <c r="AN155" t="s">
        <v>2176</v>
      </c>
      <c r="AO155" t="s">
        <v>2176</v>
      </c>
      <c r="AP155" t="s">
        <v>2176</v>
      </c>
      <c r="AQ155">
        <v>46.53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4.5999999999999996</v>
      </c>
      <c r="AY155">
        <v>4.3</v>
      </c>
      <c r="AZ155">
        <v>3</v>
      </c>
      <c r="BA155">
        <v>1</v>
      </c>
      <c r="BB155">
        <v>48</v>
      </c>
      <c r="BC155">
        <v>26</v>
      </c>
      <c r="BD155">
        <v>42.38</v>
      </c>
      <c r="BE155">
        <v>212</v>
      </c>
      <c r="BF155">
        <v>88.3</v>
      </c>
      <c r="BG155">
        <v>38</v>
      </c>
      <c r="BH155">
        <v>26</v>
      </c>
      <c r="BI155">
        <v>33.729999999999997</v>
      </c>
      <c r="BJ155">
        <v>164</v>
      </c>
      <c r="BK155">
        <v>88.8</v>
      </c>
      <c r="BL155">
        <v>212</v>
      </c>
      <c r="BM155">
        <v>3.4626999999999999</v>
      </c>
    </row>
    <row r="156" spans="1:65" x14ac:dyDescent="0.25">
      <c r="A156" t="s">
        <v>219</v>
      </c>
      <c r="B156" t="s">
        <v>1315</v>
      </c>
      <c r="C156" t="s">
        <v>2158</v>
      </c>
      <c r="D156" s="1">
        <v>45369</v>
      </c>
      <c r="E156" s="1">
        <v>45402</v>
      </c>
      <c r="F156" s="1">
        <v>45482</v>
      </c>
      <c r="G156" t="s">
        <v>2163</v>
      </c>
      <c r="H156" t="s">
        <v>2169</v>
      </c>
      <c r="I156" t="s">
        <v>2176</v>
      </c>
      <c r="J156">
        <v>18925</v>
      </c>
      <c r="K156">
        <v>568</v>
      </c>
      <c r="L156">
        <v>4.7</v>
      </c>
      <c r="M156">
        <v>3.3</v>
      </c>
      <c r="N156">
        <v>5</v>
      </c>
      <c r="O156">
        <v>7072</v>
      </c>
      <c r="P156" t="s">
        <v>2176</v>
      </c>
      <c r="Q156">
        <v>10</v>
      </c>
      <c r="R156">
        <v>14</v>
      </c>
      <c r="S156">
        <v>29</v>
      </c>
      <c r="T156">
        <v>663</v>
      </c>
      <c r="U156" t="s">
        <v>2186</v>
      </c>
      <c r="W156" t="s">
        <v>2209</v>
      </c>
      <c r="X156" t="s">
        <v>2211</v>
      </c>
      <c r="Y156" t="s">
        <v>2213</v>
      </c>
      <c r="Z156" s="1">
        <v>45475</v>
      </c>
      <c r="AA156" s="1">
        <v>45480</v>
      </c>
      <c r="AB156" t="s">
        <v>2214</v>
      </c>
      <c r="AC156" t="s">
        <v>2209</v>
      </c>
      <c r="AD156" t="s">
        <v>2219</v>
      </c>
      <c r="AE156" t="s">
        <v>2161</v>
      </c>
      <c r="AF156" t="s">
        <v>2163</v>
      </c>
      <c r="AG156" t="s">
        <v>2222</v>
      </c>
      <c r="AH156">
        <v>53</v>
      </c>
      <c r="AI156">
        <v>73</v>
      </c>
      <c r="AJ156">
        <v>20</v>
      </c>
      <c r="AK156">
        <v>4</v>
      </c>
      <c r="AL156" t="s">
        <v>2225</v>
      </c>
      <c r="AM156">
        <v>0</v>
      </c>
      <c r="AN156" t="s">
        <v>2176</v>
      </c>
      <c r="AO156" t="s">
        <v>2177</v>
      </c>
      <c r="AP156" t="s">
        <v>2177</v>
      </c>
      <c r="AQ156">
        <v>15.51</v>
      </c>
      <c r="AR156">
        <v>1</v>
      </c>
      <c r="AS156">
        <v>1</v>
      </c>
      <c r="AT156">
        <v>2</v>
      </c>
      <c r="AU156">
        <v>2</v>
      </c>
      <c r="AV156">
        <v>1.666666666666667</v>
      </c>
      <c r="AW156">
        <v>4.3</v>
      </c>
      <c r="AX156">
        <v>4.4000000000000004</v>
      </c>
      <c r="AY156">
        <v>4.4000000000000004</v>
      </c>
      <c r="AZ156">
        <v>2</v>
      </c>
      <c r="BA156">
        <v>1</v>
      </c>
      <c r="BB156">
        <v>32</v>
      </c>
      <c r="BC156">
        <v>26</v>
      </c>
      <c r="BD156">
        <v>28.46</v>
      </c>
      <c r="BE156">
        <v>138</v>
      </c>
      <c r="BF156">
        <v>88.9</v>
      </c>
      <c r="BG156">
        <v>31</v>
      </c>
      <c r="BH156">
        <v>26</v>
      </c>
      <c r="BI156">
        <v>27.23</v>
      </c>
      <c r="BJ156">
        <v>132</v>
      </c>
      <c r="BK156">
        <v>87.8</v>
      </c>
      <c r="BL156">
        <v>270</v>
      </c>
      <c r="BM156">
        <v>5.2731000000000003</v>
      </c>
    </row>
    <row r="157" spans="1:65" x14ac:dyDescent="0.25">
      <c r="A157" t="s">
        <v>220</v>
      </c>
      <c r="B157" t="s">
        <v>1316</v>
      </c>
      <c r="C157" t="s">
        <v>2157</v>
      </c>
      <c r="D157" s="1">
        <v>45383</v>
      </c>
      <c r="E157" s="1">
        <v>45421</v>
      </c>
      <c r="F157" s="1">
        <v>45596</v>
      </c>
      <c r="G157" t="s">
        <v>2161</v>
      </c>
      <c r="H157" t="s">
        <v>2167</v>
      </c>
      <c r="I157" t="s">
        <v>2176</v>
      </c>
      <c r="J157">
        <v>57642</v>
      </c>
      <c r="K157">
        <v>1730</v>
      </c>
      <c r="L157">
        <v>8.9</v>
      </c>
      <c r="M157">
        <v>11.6</v>
      </c>
      <c r="N157">
        <v>3</v>
      </c>
      <c r="O157">
        <v>6198</v>
      </c>
      <c r="P157" t="s">
        <v>2176</v>
      </c>
      <c r="Q157">
        <v>18</v>
      </c>
      <c r="R157">
        <v>30</v>
      </c>
      <c r="S157">
        <v>89</v>
      </c>
      <c r="T157">
        <v>650</v>
      </c>
      <c r="U157" t="s">
        <v>2184</v>
      </c>
      <c r="W157" t="s">
        <v>2209</v>
      </c>
      <c r="X157" t="s">
        <v>2211</v>
      </c>
      <c r="Y157" t="s">
        <v>2213</v>
      </c>
      <c r="Z157" s="1">
        <v>45592</v>
      </c>
      <c r="AA157" s="1">
        <v>45592</v>
      </c>
      <c r="AB157" t="s">
        <v>2214</v>
      </c>
      <c r="AC157" t="s">
        <v>2209</v>
      </c>
      <c r="AD157" t="s">
        <v>2219</v>
      </c>
      <c r="AE157" t="s">
        <v>2163</v>
      </c>
      <c r="AF157" t="s">
        <v>2162</v>
      </c>
      <c r="AG157" t="s">
        <v>2222</v>
      </c>
      <c r="AH157">
        <v>137</v>
      </c>
      <c r="AI157">
        <v>171</v>
      </c>
      <c r="AJ157">
        <v>34</v>
      </c>
      <c r="AK157">
        <v>5</v>
      </c>
      <c r="AL157" t="s">
        <v>2224</v>
      </c>
      <c r="AM157">
        <v>0</v>
      </c>
      <c r="AN157" t="s">
        <v>2177</v>
      </c>
      <c r="AO157" t="s">
        <v>2176</v>
      </c>
      <c r="AP157" t="s">
        <v>2176</v>
      </c>
      <c r="AQ157">
        <v>103.24</v>
      </c>
      <c r="AR157">
        <v>1</v>
      </c>
      <c r="AS157">
        <v>2</v>
      </c>
      <c r="AT157">
        <v>1</v>
      </c>
      <c r="AU157">
        <v>1</v>
      </c>
      <c r="AV157">
        <v>1.333333333333333</v>
      </c>
      <c r="AW157">
        <v>4.4000000000000004</v>
      </c>
      <c r="AX157">
        <v>4.2</v>
      </c>
      <c r="AY157">
        <v>4.3</v>
      </c>
      <c r="AZ157">
        <v>1</v>
      </c>
      <c r="BA157">
        <v>1</v>
      </c>
      <c r="BB157">
        <v>38</v>
      </c>
      <c r="BC157">
        <v>27</v>
      </c>
      <c r="BD157">
        <v>33.33</v>
      </c>
      <c r="BE157">
        <v>171</v>
      </c>
      <c r="BF157">
        <v>87.7</v>
      </c>
      <c r="BG157">
        <v>33</v>
      </c>
      <c r="BH157">
        <v>27</v>
      </c>
      <c r="BI157">
        <v>28.96</v>
      </c>
      <c r="BJ157">
        <v>147</v>
      </c>
      <c r="BK157">
        <v>87.8</v>
      </c>
      <c r="BL157">
        <v>279</v>
      </c>
      <c r="BM157">
        <v>12.481999999999999</v>
      </c>
    </row>
    <row r="158" spans="1:65" x14ac:dyDescent="0.25">
      <c r="A158" t="s">
        <v>221</v>
      </c>
      <c r="B158" t="s">
        <v>1317</v>
      </c>
      <c r="C158" t="s">
        <v>2159</v>
      </c>
      <c r="D158" s="1">
        <v>45397</v>
      </c>
      <c r="E158" s="1">
        <v>45439</v>
      </c>
      <c r="F158" s="1">
        <v>45516</v>
      </c>
      <c r="G158" t="s">
        <v>2165</v>
      </c>
      <c r="H158" t="s">
        <v>2171</v>
      </c>
      <c r="I158" t="s">
        <v>2174</v>
      </c>
      <c r="J158">
        <v>12626</v>
      </c>
      <c r="K158">
        <v>379</v>
      </c>
      <c r="L158">
        <v>1.8</v>
      </c>
      <c r="M158">
        <v>2.9</v>
      </c>
      <c r="N158">
        <v>3</v>
      </c>
      <c r="O158">
        <v>3936</v>
      </c>
      <c r="P158" t="s">
        <v>2176</v>
      </c>
      <c r="Q158">
        <v>10</v>
      </c>
      <c r="R158">
        <v>14</v>
      </c>
      <c r="S158">
        <v>19</v>
      </c>
      <c r="T158">
        <v>665</v>
      </c>
      <c r="U158" t="s">
        <v>2183</v>
      </c>
      <c r="W158" t="s">
        <v>2209</v>
      </c>
      <c r="X158" t="s">
        <v>2211</v>
      </c>
      <c r="Y158" t="s">
        <v>2213</v>
      </c>
      <c r="Z158" s="1">
        <v>45499</v>
      </c>
      <c r="AA158" s="1">
        <v>45501</v>
      </c>
      <c r="AB158" t="s">
        <v>2214</v>
      </c>
      <c r="AC158" t="s">
        <v>2209</v>
      </c>
      <c r="AD158" t="s">
        <v>2219</v>
      </c>
      <c r="AE158" t="s">
        <v>2162</v>
      </c>
      <c r="AF158" t="s">
        <v>2163</v>
      </c>
      <c r="AG158" t="s">
        <v>2222</v>
      </c>
      <c r="AH158">
        <v>43</v>
      </c>
      <c r="AI158">
        <v>60</v>
      </c>
      <c r="AJ158">
        <v>17</v>
      </c>
      <c r="AK158">
        <v>5</v>
      </c>
      <c r="AL158" t="s">
        <v>2224</v>
      </c>
      <c r="AM158">
        <v>0</v>
      </c>
      <c r="AN158" t="s">
        <v>2176</v>
      </c>
      <c r="AO158" t="s">
        <v>2176</v>
      </c>
      <c r="AP158" t="s">
        <v>2176</v>
      </c>
      <c r="AQ158">
        <v>5.22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4.2</v>
      </c>
      <c r="AX158">
        <v>4.4000000000000004</v>
      </c>
      <c r="AY158">
        <v>4.5999999999999996</v>
      </c>
      <c r="AZ158">
        <v>3</v>
      </c>
      <c r="BA158">
        <v>2</v>
      </c>
      <c r="BB158">
        <v>24</v>
      </c>
      <c r="BC158">
        <v>27</v>
      </c>
      <c r="BD158">
        <v>21.44</v>
      </c>
      <c r="BE158">
        <v>108</v>
      </c>
      <c r="BF158">
        <v>89.3</v>
      </c>
      <c r="BG158">
        <v>36</v>
      </c>
      <c r="BH158">
        <v>27</v>
      </c>
      <c r="BI158">
        <v>31.37</v>
      </c>
      <c r="BJ158">
        <v>158</v>
      </c>
      <c r="BK158">
        <v>87.1</v>
      </c>
      <c r="BL158">
        <v>279</v>
      </c>
      <c r="BM158">
        <v>4.3284000000000002</v>
      </c>
    </row>
    <row r="159" spans="1:65" x14ac:dyDescent="0.25">
      <c r="A159" t="s">
        <v>222</v>
      </c>
      <c r="B159" t="s">
        <v>1318</v>
      </c>
      <c r="C159" t="s">
        <v>2157</v>
      </c>
      <c r="D159" s="1">
        <v>45411</v>
      </c>
      <c r="E159" s="1">
        <v>45445</v>
      </c>
      <c r="F159" s="1">
        <v>45613</v>
      </c>
      <c r="G159" t="s">
        <v>2161</v>
      </c>
      <c r="H159" t="s">
        <v>2167</v>
      </c>
      <c r="I159" t="s">
        <v>2176</v>
      </c>
      <c r="J159">
        <v>59078</v>
      </c>
      <c r="K159">
        <v>1773</v>
      </c>
      <c r="L159">
        <v>3.7</v>
      </c>
      <c r="M159">
        <v>5.6</v>
      </c>
      <c r="N159">
        <v>2</v>
      </c>
      <c r="O159">
        <v>5867</v>
      </c>
      <c r="P159" t="s">
        <v>2176</v>
      </c>
      <c r="Q159">
        <v>18</v>
      </c>
      <c r="R159">
        <v>30</v>
      </c>
      <c r="S159">
        <v>80</v>
      </c>
      <c r="T159">
        <v>746</v>
      </c>
      <c r="U159" t="s">
        <v>2163</v>
      </c>
      <c r="V159" t="s">
        <v>2169</v>
      </c>
      <c r="W159" t="s">
        <v>2209</v>
      </c>
      <c r="X159" t="s">
        <v>2211</v>
      </c>
      <c r="Y159" t="s">
        <v>2212</v>
      </c>
      <c r="Z159" s="1">
        <v>45604</v>
      </c>
      <c r="AA159" s="1">
        <v>45606</v>
      </c>
      <c r="AB159" t="s">
        <v>2214</v>
      </c>
      <c r="AC159" t="s">
        <v>2209</v>
      </c>
      <c r="AD159" t="s">
        <v>2218</v>
      </c>
      <c r="AE159" t="s">
        <v>2163</v>
      </c>
      <c r="AG159" t="s">
        <v>2221</v>
      </c>
      <c r="AH159">
        <v>128</v>
      </c>
      <c r="AI159">
        <v>159</v>
      </c>
      <c r="AJ159">
        <v>31</v>
      </c>
      <c r="AK159">
        <v>6</v>
      </c>
      <c r="AL159" t="s">
        <v>2223</v>
      </c>
      <c r="AM159">
        <v>0</v>
      </c>
      <c r="AN159" t="s">
        <v>2176</v>
      </c>
      <c r="AO159" t="s">
        <v>2176</v>
      </c>
      <c r="AP159" t="s">
        <v>2176</v>
      </c>
      <c r="AQ159">
        <v>20.72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4.4000000000000004</v>
      </c>
      <c r="AY159">
        <v>4.3</v>
      </c>
      <c r="AZ159">
        <v>1</v>
      </c>
      <c r="BA159">
        <v>1</v>
      </c>
      <c r="BB159">
        <v>30</v>
      </c>
      <c r="BC159">
        <v>25</v>
      </c>
      <c r="BD159">
        <v>26.48</v>
      </c>
      <c r="BE159">
        <v>121</v>
      </c>
      <c r="BF159">
        <v>88.3</v>
      </c>
      <c r="BG159">
        <v>36</v>
      </c>
      <c r="BH159">
        <v>25</v>
      </c>
      <c r="BI159">
        <v>31.92</v>
      </c>
      <c r="BJ159">
        <v>149</v>
      </c>
      <c r="BK159">
        <v>88.7</v>
      </c>
      <c r="BL159">
        <v>121</v>
      </c>
      <c r="BM159">
        <v>19.523499999999999</v>
      </c>
    </row>
    <row r="160" spans="1:65" x14ac:dyDescent="0.25">
      <c r="A160" t="s">
        <v>223</v>
      </c>
      <c r="B160" t="s">
        <v>1319</v>
      </c>
      <c r="C160" t="s">
        <v>2157</v>
      </c>
      <c r="D160" s="1">
        <v>45411</v>
      </c>
      <c r="E160" s="1">
        <v>45455</v>
      </c>
      <c r="F160" s="1">
        <v>45588</v>
      </c>
      <c r="G160" t="s">
        <v>2166</v>
      </c>
      <c r="H160" t="s">
        <v>2172</v>
      </c>
      <c r="I160" t="s">
        <v>2173</v>
      </c>
      <c r="J160">
        <v>45844</v>
      </c>
      <c r="K160">
        <v>1376</v>
      </c>
      <c r="L160">
        <v>9</v>
      </c>
      <c r="M160">
        <v>9.9</v>
      </c>
      <c r="N160">
        <v>5</v>
      </c>
      <c r="O160">
        <v>13003</v>
      </c>
      <c r="P160" t="s">
        <v>2176</v>
      </c>
      <c r="Q160">
        <v>18</v>
      </c>
      <c r="R160">
        <v>30</v>
      </c>
      <c r="S160">
        <v>53</v>
      </c>
      <c r="T160">
        <v>868</v>
      </c>
      <c r="U160" t="s">
        <v>2187</v>
      </c>
      <c r="W160" t="s">
        <v>2209</v>
      </c>
      <c r="X160" t="s">
        <v>2211</v>
      </c>
      <c r="Y160" t="s">
        <v>2213</v>
      </c>
      <c r="Z160" s="1">
        <v>45583</v>
      </c>
      <c r="AA160" s="1">
        <v>45585</v>
      </c>
      <c r="AB160" t="s">
        <v>2214</v>
      </c>
      <c r="AC160" t="s">
        <v>2209</v>
      </c>
      <c r="AD160" t="s">
        <v>2219</v>
      </c>
      <c r="AE160" t="s">
        <v>2161</v>
      </c>
      <c r="AF160" t="s">
        <v>2162</v>
      </c>
      <c r="AG160" t="s">
        <v>2222</v>
      </c>
      <c r="AH160">
        <v>101</v>
      </c>
      <c r="AI160">
        <v>128</v>
      </c>
      <c r="AJ160">
        <v>27</v>
      </c>
      <c r="AK160">
        <v>6</v>
      </c>
      <c r="AL160" t="s">
        <v>2223</v>
      </c>
      <c r="AM160">
        <v>0</v>
      </c>
      <c r="AN160" t="s">
        <v>2177</v>
      </c>
      <c r="AO160" t="s">
        <v>2177</v>
      </c>
      <c r="AP160" t="s">
        <v>2177</v>
      </c>
      <c r="AQ160">
        <v>89.100000000000009</v>
      </c>
      <c r="AR160">
        <v>1</v>
      </c>
      <c r="AS160">
        <v>2</v>
      </c>
      <c r="AT160">
        <v>2</v>
      </c>
      <c r="AU160">
        <v>2</v>
      </c>
      <c r="AV160">
        <v>2</v>
      </c>
      <c r="AW160">
        <v>4.3</v>
      </c>
      <c r="AX160">
        <v>4.2</v>
      </c>
      <c r="AY160">
        <v>4.8</v>
      </c>
      <c r="AZ160">
        <v>1</v>
      </c>
      <c r="BA160">
        <v>3</v>
      </c>
      <c r="BB160">
        <v>36</v>
      </c>
      <c r="BC160">
        <v>25</v>
      </c>
      <c r="BD160">
        <v>31.92</v>
      </c>
      <c r="BE160">
        <v>149</v>
      </c>
      <c r="BF160">
        <v>88.7</v>
      </c>
      <c r="BG160">
        <v>45</v>
      </c>
      <c r="BH160">
        <v>25</v>
      </c>
      <c r="BI160">
        <v>39.200000000000003</v>
      </c>
      <c r="BJ160">
        <v>186</v>
      </c>
      <c r="BK160">
        <v>87.1</v>
      </c>
      <c r="BL160">
        <v>266</v>
      </c>
      <c r="BM160">
        <v>12.303800000000001</v>
      </c>
    </row>
    <row r="161" spans="1:65" x14ac:dyDescent="0.25">
      <c r="A161" t="s">
        <v>224</v>
      </c>
      <c r="B161" t="s">
        <v>1301</v>
      </c>
      <c r="C161" t="s">
        <v>2159</v>
      </c>
      <c r="D161" s="1">
        <v>45383</v>
      </c>
      <c r="E161" s="1">
        <v>45428</v>
      </c>
      <c r="F161" s="1">
        <v>45505</v>
      </c>
      <c r="G161" t="s">
        <v>2166</v>
      </c>
      <c r="H161" t="s">
        <v>2172</v>
      </c>
      <c r="I161" t="s">
        <v>2175</v>
      </c>
      <c r="J161">
        <v>22938</v>
      </c>
      <c r="K161">
        <v>689</v>
      </c>
      <c r="L161">
        <v>18.8</v>
      </c>
      <c r="M161">
        <v>18.100000000000001</v>
      </c>
      <c r="N161">
        <v>5</v>
      </c>
      <c r="O161">
        <v>14056</v>
      </c>
      <c r="P161" t="s">
        <v>2177</v>
      </c>
      <c r="Q161">
        <v>14</v>
      </c>
      <c r="R161">
        <v>20</v>
      </c>
      <c r="S161">
        <v>27</v>
      </c>
      <c r="T161">
        <v>864</v>
      </c>
      <c r="U161" t="s">
        <v>2183</v>
      </c>
      <c r="W161" t="s">
        <v>2209</v>
      </c>
      <c r="X161" t="s">
        <v>2211</v>
      </c>
      <c r="Y161" t="s">
        <v>2213</v>
      </c>
      <c r="Z161" s="1">
        <v>45510</v>
      </c>
      <c r="AA161" s="1">
        <v>45515</v>
      </c>
      <c r="AB161" t="s">
        <v>2215</v>
      </c>
      <c r="AC161" t="s">
        <v>2208</v>
      </c>
      <c r="AD161" t="s">
        <v>2219</v>
      </c>
      <c r="AE161" t="s">
        <v>2162</v>
      </c>
      <c r="AF161" t="s">
        <v>2163</v>
      </c>
      <c r="AG161" t="s">
        <v>2222</v>
      </c>
      <c r="AH161">
        <v>61</v>
      </c>
      <c r="AI161">
        <v>82</v>
      </c>
      <c r="AJ161">
        <v>21</v>
      </c>
      <c r="AK161">
        <v>5</v>
      </c>
      <c r="AL161" t="s">
        <v>2224</v>
      </c>
      <c r="AM161">
        <v>0</v>
      </c>
      <c r="AN161" t="s">
        <v>2175</v>
      </c>
      <c r="AO161" t="s">
        <v>2177</v>
      </c>
      <c r="AP161" t="s">
        <v>2177</v>
      </c>
      <c r="AQ161">
        <v>340.28</v>
      </c>
      <c r="AR161">
        <v>2</v>
      </c>
      <c r="AS161">
        <v>3</v>
      </c>
      <c r="AT161">
        <v>2</v>
      </c>
      <c r="AU161">
        <v>2</v>
      </c>
      <c r="AV161">
        <v>2.333333333333333</v>
      </c>
      <c r="AW161">
        <v>4.2</v>
      </c>
      <c r="AX161">
        <v>4.4000000000000004</v>
      </c>
      <c r="AY161">
        <v>4.8</v>
      </c>
      <c r="AZ161">
        <v>3</v>
      </c>
      <c r="BA161">
        <v>0</v>
      </c>
      <c r="BB161">
        <v>24</v>
      </c>
      <c r="BC161">
        <v>27</v>
      </c>
      <c r="BD161">
        <v>21.44</v>
      </c>
      <c r="BE161">
        <v>108</v>
      </c>
      <c r="BF161">
        <v>89.3</v>
      </c>
      <c r="BG161">
        <v>43</v>
      </c>
      <c r="BH161">
        <v>27</v>
      </c>
      <c r="BI161">
        <v>37.299999999999997</v>
      </c>
      <c r="BJ161">
        <v>193</v>
      </c>
      <c r="BK161">
        <v>86.7</v>
      </c>
      <c r="BL161">
        <v>279</v>
      </c>
      <c r="BM161">
        <v>7.8635999999999999</v>
      </c>
    </row>
    <row r="162" spans="1:65" x14ac:dyDescent="0.25">
      <c r="A162" t="s">
        <v>225</v>
      </c>
      <c r="B162" t="s">
        <v>1320</v>
      </c>
      <c r="C162" t="s">
        <v>2158</v>
      </c>
      <c r="D162" s="1">
        <v>45313</v>
      </c>
      <c r="E162" s="1">
        <v>45343</v>
      </c>
      <c r="F162" s="1">
        <v>45422</v>
      </c>
      <c r="G162" t="s">
        <v>2162</v>
      </c>
      <c r="H162" t="s">
        <v>2168</v>
      </c>
      <c r="I162" t="s">
        <v>2174</v>
      </c>
      <c r="J162">
        <v>13314</v>
      </c>
      <c r="K162">
        <v>400</v>
      </c>
      <c r="L162">
        <v>5.6</v>
      </c>
      <c r="M162">
        <v>4.9000000000000004</v>
      </c>
      <c r="N162">
        <v>3</v>
      </c>
      <c r="O162">
        <v>5056</v>
      </c>
      <c r="P162" t="s">
        <v>2176</v>
      </c>
      <c r="Q162">
        <v>10</v>
      </c>
      <c r="R162">
        <v>14</v>
      </c>
      <c r="S162">
        <v>25</v>
      </c>
      <c r="T162">
        <v>546</v>
      </c>
      <c r="U162" t="s">
        <v>2162</v>
      </c>
      <c r="V162" t="s">
        <v>2168</v>
      </c>
      <c r="W162" t="s">
        <v>2208</v>
      </c>
      <c r="X162" t="s">
        <v>2210</v>
      </c>
      <c r="Y162" t="s">
        <v>2212</v>
      </c>
      <c r="Z162" s="1">
        <v>45411</v>
      </c>
      <c r="AA162" s="1">
        <v>45416</v>
      </c>
      <c r="AB162" t="s">
        <v>2214</v>
      </c>
      <c r="AC162" t="s">
        <v>2209</v>
      </c>
      <c r="AD162" t="s">
        <v>2216</v>
      </c>
      <c r="AE162" t="s">
        <v>2162</v>
      </c>
      <c r="AG162" t="s">
        <v>2220</v>
      </c>
      <c r="AH162">
        <v>49</v>
      </c>
      <c r="AI162">
        <v>68</v>
      </c>
      <c r="AJ162">
        <v>19</v>
      </c>
      <c r="AK162">
        <v>2</v>
      </c>
      <c r="AL162" t="s">
        <v>2228</v>
      </c>
      <c r="AM162">
        <v>0</v>
      </c>
      <c r="AN162" t="s">
        <v>2176</v>
      </c>
      <c r="AO162" t="s">
        <v>2176</v>
      </c>
      <c r="AP162" t="s">
        <v>2176</v>
      </c>
      <c r="AQ162">
        <v>27.44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4.2</v>
      </c>
      <c r="AY162">
        <v>4.2</v>
      </c>
      <c r="AZ162">
        <v>2</v>
      </c>
      <c r="BA162">
        <v>2</v>
      </c>
      <c r="BB162">
        <v>34</v>
      </c>
      <c r="BC162">
        <v>24</v>
      </c>
      <c r="BD162">
        <v>30.5</v>
      </c>
      <c r="BE162">
        <v>136</v>
      </c>
      <c r="BF162">
        <v>89.7</v>
      </c>
      <c r="BG162">
        <v>34</v>
      </c>
      <c r="BH162">
        <v>24</v>
      </c>
      <c r="BI162">
        <v>30.5</v>
      </c>
      <c r="BJ162">
        <v>136</v>
      </c>
      <c r="BK162">
        <v>89.7</v>
      </c>
      <c r="BL162">
        <v>136</v>
      </c>
      <c r="BM162">
        <v>4.0777999999999999</v>
      </c>
    </row>
    <row r="163" spans="1:65" x14ac:dyDescent="0.25">
      <c r="A163" t="s">
        <v>226</v>
      </c>
      <c r="B163" t="s">
        <v>1321</v>
      </c>
      <c r="C163" t="s">
        <v>2158</v>
      </c>
      <c r="D163" s="1">
        <v>45383</v>
      </c>
      <c r="E163" s="1">
        <v>45418</v>
      </c>
      <c r="F163" s="1">
        <v>45467</v>
      </c>
      <c r="G163" t="s">
        <v>2166</v>
      </c>
      <c r="H163" t="s">
        <v>2172</v>
      </c>
      <c r="I163" t="s">
        <v>2176</v>
      </c>
      <c r="J163">
        <v>9501</v>
      </c>
      <c r="K163">
        <v>286</v>
      </c>
      <c r="L163">
        <v>6.8</v>
      </c>
      <c r="M163">
        <v>7.5</v>
      </c>
      <c r="N163">
        <v>5</v>
      </c>
      <c r="O163">
        <v>7532</v>
      </c>
      <c r="P163" t="s">
        <v>2176</v>
      </c>
      <c r="Q163">
        <v>7</v>
      </c>
      <c r="R163">
        <v>10</v>
      </c>
      <c r="S163">
        <v>13</v>
      </c>
      <c r="T163">
        <v>757</v>
      </c>
      <c r="U163" t="s">
        <v>2161</v>
      </c>
      <c r="V163" t="s">
        <v>2167</v>
      </c>
      <c r="W163" t="s">
        <v>2209</v>
      </c>
      <c r="X163" t="s">
        <v>2211</v>
      </c>
      <c r="Y163" t="s">
        <v>2212</v>
      </c>
      <c r="Z163" s="1">
        <v>45463</v>
      </c>
      <c r="AA163" s="1">
        <v>45466</v>
      </c>
      <c r="AB163" t="s">
        <v>2214</v>
      </c>
      <c r="AC163" t="s">
        <v>2209</v>
      </c>
      <c r="AD163" t="s">
        <v>2218</v>
      </c>
      <c r="AE163" t="s">
        <v>2161</v>
      </c>
      <c r="AG163" t="s">
        <v>2221</v>
      </c>
      <c r="AH163">
        <v>30</v>
      </c>
      <c r="AI163">
        <v>45</v>
      </c>
      <c r="AJ163">
        <v>15</v>
      </c>
      <c r="AK163">
        <v>5</v>
      </c>
      <c r="AL163" t="s">
        <v>2224</v>
      </c>
      <c r="AM163">
        <v>0</v>
      </c>
      <c r="AN163" t="s">
        <v>2177</v>
      </c>
      <c r="AO163" t="s">
        <v>2177</v>
      </c>
      <c r="AP163" t="s">
        <v>2177</v>
      </c>
      <c r="AQ163">
        <v>51</v>
      </c>
      <c r="AR163">
        <v>1</v>
      </c>
      <c r="AS163">
        <v>2</v>
      </c>
      <c r="AT163">
        <v>2</v>
      </c>
      <c r="AU163">
        <v>2</v>
      </c>
      <c r="AV163">
        <v>2</v>
      </c>
      <c r="AW163">
        <v>4.3</v>
      </c>
      <c r="AY163">
        <v>4.8</v>
      </c>
      <c r="AZ163">
        <v>2</v>
      </c>
      <c r="BA163">
        <v>1</v>
      </c>
      <c r="BB163">
        <v>33</v>
      </c>
      <c r="BC163">
        <v>27</v>
      </c>
      <c r="BD163">
        <v>28.96</v>
      </c>
      <c r="BE163">
        <v>147</v>
      </c>
      <c r="BF163">
        <v>87.8</v>
      </c>
      <c r="BG163">
        <v>43</v>
      </c>
      <c r="BH163">
        <v>27</v>
      </c>
      <c r="BI163">
        <v>37.299999999999997</v>
      </c>
      <c r="BJ163">
        <v>193</v>
      </c>
      <c r="BK163">
        <v>86.7</v>
      </c>
      <c r="BL163">
        <v>147</v>
      </c>
      <c r="BM163">
        <v>2.3932000000000002</v>
      </c>
    </row>
    <row r="164" spans="1:65" x14ac:dyDescent="0.25">
      <c r="A164" t="s">
        <v>227</v>
      </c>
      <c r="B164" t="s">
        <v>1290</v>
      </c>
      <c r="C164" t="s">
        <v>2160</v>
      </c>
      <c r="D164" s="1">
        <v>45404</v>
      </c>
      <c r="E164" s="1">
        <v>45436</v>
      </c>
      <c r="F164" s="1">
        <v>45476</v>
      </c>
      <c r="G164" t="s">
        <v>2164</v>
      </c>
      <c r="H164" t="s">
        <v>2170</v>
      </c>
      <c r="I164" t="s">
        <v>2175</v>
      </c>
      <c r="J164">
        <v>7710</v>
      </c>
      <c r="K164">
        <v>232</v>
      </c>
      <c r="L164">
        <v>18.899999999999999</v>
      </c>
      <c r="M164">
        <v>14.5</v>
      </c>
      <c r="N164">
        <v>7</v>
      </c>
      <c r="O164">
        <v>13547</v>
      </c>
      <c r="P164" t="s">
        <v>2178</v>
      </c>
      <c r="Q164">
        <v>7</v>
      </c>
      <c r="R164">
        <v>10</v>
      </c>
      <c r="S164">
        <v>8</v>
      </c>
      <c r="T164">
        <v>970</v>
      </c>
      <c r="U164" t="s">
        <v>2163</v>
      </c>
      <c r="V164" t="s">
        <v>2169</v>
      </c>
      <c r="W164" t="s">
        <v>2209</v>
      </c>
      <c r="X164" t="s">
        <v>2211</v>
      </c>
      <c r="Y164" t="s">
        <v>2212</v>
      </c>
      <c r="Z164" s="1">
        <v>45476</v>
      </c>
      <c r="AA164" s="1">
        <v>45480</v>
      </c>
      <c r="AB164" t="s">
        <v>2214</v>
      </c>
      <c r="AC164" t="s">
        <v>2209</v>
      </c>
      <c r="AD164" t="s">
        <v>2218</v>
      </c>
      <c r="AE164" t="s">
        <v>2163</v>
      </c>
      <c r="AG164" t="s">
        <v>2221</v>
      </c>
      <c r="AH164">
        <v>25</v>
      </c>
      <c r="AI164">
        <v>40</v>
      </c>
      <c r="AJ164">
        <v>15</v>
      </c>
      <c r="AK164">
        <v>5</v>
      </c>
      <c r="AL164" t="s">
        <v>2224</v>
      </c>
      <c r="AM164">
        <v>0</v>
      </c>
      <c r="AN164" t="s">
        <v>2175</v>
      </c>
      <c r="AO164" t="s">
        <v>2175</v>
      </c>
      <c r="AP164" t="s">
        <v>2177</v>
      </c>
      <c r="AQ164">
        <v>274.05</v>
      </c>
      <c r="AR164">
        <v>3</v>
      </c>
      <c r="AS164">
        <v>3</v>
      </c>
      <c r="AT164">
        <v>3</v>
      </c>
      <c r="AU164">
        <v>2</v>
      </c>
      <c r="AV164">
        <v>2.666666666666667</v>
      </c>
      <c r="AW164">
        <v>4.4000000000000004</v>
      </c>
      <c r="AY164">
        <v>4.5</v>
      </c>
      <c r="AZ164">
        <v>0</v>
      </c>
      <c r="BA164">
        <v>0</v>
      </c>
      <c r="BB164">
        <v>38</v>
      </c>
      <c r="BC164">
        <v>27</v>
      </c>
      <c r="BD164">
        <v>33.33</v>
      </c>
      <c r="BE164">
        <v>171</v>
      </c>
      <c r="BF164">
        <v>87.7</v>
      </c>
      <c r="BG164">
        <v>35</v>
      </c>
      <c r="BH164">
        <v>27</v>
      </c>
      <c r="BI164">
        <v>30.96</v>
      </c>
      <c r="BJ164">
        <v>158</v>
      </c>
      <c r="BK164">
        <v>88.5</v>
      </c>
      <c r="BL164">
        <v>171</v>
      </c>
      <c r="BM164">
        <v>1.6696</v>
      </c>
    </row>
    <row r="165" spans="1:65" x14ac:dyDescent="0.25">
      <c r="A165" t="s">
        <v>228</v>
      </c>
      <c r="B165" t="s">
        <v>1274</v>
      </c>
      <c r="C165" t="s">
        <v>2157</v>
      </c>
      <c r="D165" s="1">
        <v>45453</v>
      </c>
      <c r="E165" s="1">
        <v>45487</v>
      </c>
      <c r="F165" s="1">
        <v>45655</v>
      </c>
      <c r="G165" t="s">
        <v>2162</v>
      </c>
      <c r="H165" t="s">
        <v>2168</v>
      </c>
      <c r="I165" t="s">
        <v>2176</v>
      </c>
      <c r="J165">
        <v>51972</v>
      </c>
      <c r="K165">
        <v>1560</v>
      </c>
      <c r="L165">
        <v>11.6</v>
      </c>
      <c r="M165">
        <v>8.3000000000000007</v>
      </c>
      <c r="N165">
        <v>2</v>
      </c>
      <c r="O165">
        <v>6627</v>
      </c>
      <c r="P165" t="s">
        <v>2176</v>
      </c>
      <c r="Q165">
        <v>18</v>
      </c>
      <c r="R165">
        <v>30</v>
      </c>
      <c r="S165">
        <v>81</v>
      </c>
      <c r="T165">
        <v>643</v>
      </c>
      <c r="U165" t="s">
        <v>2161</v>
      </c>
      <c r="V165" t="s">
        <v>2167</v>
      </c>
      <c r="W165" t="s">
        <v>2209</v>
      </c>
      <c r="X165" t="s">
        <v>2211</v>
      </c>
      <c r="Y165" t="s">
        <v>2212</v>
      </c>
      <c r="Z165" s="1">
        <v>45648</v>
      </c>
      <c r="AA165" s="1">
        <v>45648</v>
      </c>
      <c r="AB165" t="s">
        <v>2214</v>
      </c>
      <c r="AC165" t="s">
        <v>2209</v>
      </c>
      <c r="AD165" t="s">
        <v>2218</v>
      </c>
      <c r="AE165" t="s">
        <v>2161</v>
      </c>
      <c r="AG165" t="s">
        <v>2221</v>
      </c>
      <c r="AH165">
        <v>129</v>
      </c>
      <c r="AI165">
        <v>161</v>
      </c>
      <c r="AJ165">
        <v>32</v>
      </c>
      <c r="AK165">
        <v>7</v>
      </c>
      <c r="AL165" t="s">
        <v>2226</v>
      </c>
      <c r="AM165">
        <v>0</v>
      </c>
      <c r="AN165" t="s">
        <v>2177</v>
      </c>
      <c r="AO165" t="s">
        <v>2176</v>
      </c>
      <c r="AP165" t="s">
        <v>2176</v>
      </c>
      <c r="AQ165">
        <v>96.28</v>
      </c>
      <c r="AR165">
        <v>1</v>
      </c>
      <c r="AS165">
        <v>2</v>
      </c>
      <c r="AT165">
        <v>1</v>
      </c>
      <c r="AU165">
        <v>1</v>
      </c>
      <c r="AV165">
        <v>1.333333333333333</v>
      </c>
      <c r="AW165">
        <v>4.3</v>
      </c>
      <c r="AY165">
        <v>4.2</v>
      </c>
      <c r="AZ165">
        <v>1</v>
      </c>
      <c r="BA165">
        <v>1</v>
      </c>
      <c r="BB165">
        <v>28</v>
      </c>
      <c r="BC165">
        <v>27</v>
      </c>
      <c r="BD165">
        <v>25.26</v>
      </c>
      <c r="BE165">
        <v>129</v>
      </c>
      <c r="BF165">
        <v>90.2</v>
      </c>
      <c r="BG165">
        <v>30</v>
      </c>
      <c r="BH165">
        <v>27</v>
      </c>
      <c r="BI165">
        <v>26.15</v>
      </c>
      <c r="BJ165">
        <v>133</v>
      </c>
      <c r="BK165">
        <v>87.2</v>
      </c>
      <c r="BL165">
        <v>129</v>
      </c>
      <c r="BM165">
        <v>14.917299999999999</v>
      </c>
    </row>
    <row r="166" spans="1:65" x14ac:dyDescent="0.25">
      <c r="A166" t="s">
        <v>229</v>
      </c>
      <c r="B166" t="s">
        <v>1322</v>
      </c>
      <c r="C166" t="s">
        <v>2160</v>
      </c>
      <c r="D166" s="1">
        <v>45369</v>
      </c>
      <c r="E166" s="1">
        <v>45410</v>
      </c>
      <c r="F166" s="1">
        <v>45460</v>
      </c>
      <c r="G166" t="s">
        <v>2163</v>
      </c>
      <c r="H166" t="s">
        <v>2169</v>
      </c>
      <c r="I166" t="s">
        <v>2176</v>
      </c>
      <c r="J166">
        <v>5549</v>
      </c>
      <c r="K166">
        <v>167</v>
      </c>
      <c r="L166">
        <v>8.4</v>
      </c>
      <c r="M166">
        <v>8.6</v>
      </c>
      <c r="N166">
        <v>5</v>
      </c>
      <c r="O166">
        <v>8008</v>
      </c>
      <c r="P166" t="s">
        <v>2176</v>
      </c>
      <c r="Q166">
        <v>7</v>
      </c>
      <c r="R166">
        <v>10</v>
      </c>
      <c r="S166">
        <v>10</v>
      </c>
      <c r="T166">
        <v>596</v>
      </c>
      <c r="U166" t="s">
        <v>2179</v>
      </c>
      <c r="W166" t="s">
        <v>2209</v>
      </c>
      <c r="X166" t="s">
        <v>2211</v>
      </c>
      <c r="Y166" t="s">
        <v>2213</v>
      </c>
      <c r="Z166" s="1">
        <v>45452</v>
      </c>
      <c r="AA166" s="1">
        <v>45452</v>
      </c>
      <c r="AB166" t="s">
        <v>2214</v>
      </c>
      <c r="AC166" t="s">
        <v>2209</v>
      </c>
      <c r="AD166" t="s">
        <v>2219</v>
      </c>
      <c r="AE166" t="s">
        <v>2165</v>
      </c>
      <c r="AF166" t="s">
        <v>2162</v>
      </c>
      <c r="AG166" t="s">
        <v>2222</v>
      </c>
      <c r="AH166">
        <v>27</v>
      </c>
      <c r="AI166">
        <v>42</v>
      </c>
      <c r="AJ166">
        <v>15</v>
      </c>
      <c r="AK166">
        <v>4</v>
      </c>
      <c r="AL166" t="s">
        <v>2225</v>
      </c>
      <c r="AM166">
        <v>0</v>
      </c>
      <c r="AN166" t="s">
        <v>2177</v>
      </c>
      <c r="AO166" t="s">
        <v>2177</v>
      </c>
      <c r="AP166" t="s">
        <v>2177</v>
      </c>
      <c r="AQ166">
        <v>72.239999999999995</v>
      </c>
      <c r="AR166">
        <v>1</v>
      </c>
      <c r="AS166">
        <v>2</v>
      </c>
      <c r="AT166">
        <v>2</v>
      </c>
      <c r="AU166">
        <v>2</v>
      </c>
      <c r="AV166">
        <v>2</v>
      </c>
      <c r="AW166">
        <v>4.5999999999999996</v>
      </c>
      <c r="AX166">
        <v>4.2</v>
      </c>
      <c r="AY166">
        <v>4.4000000000000004</v>
      </c>
      <c r="AZ166">
        <v>0</v>
      </c>
      <c r="BA166">
        <v>1</v>
      </c>
      <c r="BB166">
        <v>46</v>
      </c>
      <c r="BC166">
        <v>26</v>
      </c>
      <c r="BD166">
        <v>40.729999999999997</v>
      </c>
      <c r="BE166">
        <v>203</v>
      </c>
      <c r="BF166">
        <v>88.5</v>
      </c>
      <c r="BG166">
        <v>31</v>
      </c>
      <c r="BH166">
        <v>26</v>
      </c>
      <c r="BI166">
        <v>27.23</v>
      </c>
      <c r="BJ166">
        <v>132</v>
      </c>
      <c r="BK166">
        <v>87.8</v>
      </c>
      <c r="BL166">
        <v>307</v>
      </c>
      <c r="BM166">
        <v>1.0510999999999999</v>
      </c>
    </row>
    <row r="167" spans="1:65" x14ac:dyDescent="0.25">
      <c r="A167" t="s">
        <v>230</v>
      </c>
      <c r="B167" t="s">
        <v>1323</v>
      </c>
      <c r="C167" t="s">
        <v>2158</v>
      </c>
      <c r="D167" s="1">
        <v>45327</v>
      </c>
      <c r="E167" s="1">
        <v>45371</v>
      </c>
      <c r="F167" s="1">
        <v>45452</v>
      </c>
      <c r="G167" t="s">
        <v>2164</v>
      </c>
      <c r="H167" t="s">
        <v>2170</v>
      </c>
      <c r="I167" t="s">
        <v>2176</v>
      </c>
      <c r="J167">
        <v>17626</v>
      </c>
      <c r="K167">
        <v>529</v>
      </c>
      <c r="L167">
        <v>4.4000000000000004</v>
      </c>
      <c r="M167">
        <v>7.2</v>
      </c>
      <c r="N167">
        <v>3</v>
      </c>
      <c r="O167">
        <v>8798</v>
      </c>
      <c r="P167" t="s">
        <v>2176</v>
      </c>
      <c r="Q167">
        <v>10</v>
      </c>
      <c r="R167">
        <v>14</v>
      </c>
      <c r="S167">
        <v>30</v>
      </c>
      <c r="T167">
        <v>594</v>
      </c>
      <c r="U167" t="s">
        <v>2165</v>
      </c>
      <c r="V167" t="s">
        <v>2171</v>
      </c>
      <c r="W167" t="s">
        <v>2209</v>
      </c>
      <c r="X167" t="s">
        <v>2211</v>
      </c>
      <c r="Y167" t="s">
        <v>2212</v>
      </c>
      <c r="Z167" s="1">
        <v>45445</v>
      </c>
      <c r="AA167" s="1">
        <v>45451</v>
      </c>
      <c r="AB167" t="s">
        <v>2214</v>
      </c>
      <c r="AC167" t="s">
        <v>2209</v>
      </c>
      <c r="AD167" t="s">
        <v>2218</v>
      </c>
      <c r="AE167" t="s">
        <v>2165</v>
      </c>
      <c r="AG167" t="s">
        <v>2221</v>
      </c>
      <c r="AH167">
        <v>54</v>
      </c>
      <c r="AI167">
        <v>74</v>
      </c>
      <c r="AJ167">
        <v>20</v>
      </c>
      <c r="AK167">
        <v>3</v>
      </c>
      <c r="AL167" t="s">
        <v>2227</v>
      </c>
      <c r="AM167">
        <v>0</v>
      </c>
      <c r="AN167" t="s">
        <v>2176</v>
      </c>
      <c r="AO167" t="s">
        <v>2176</v>
      </c>
      <c r="AP167" t="s">
        <v>2177</v>
      </c>
      <c r="AQ167">
        <v>31.68</v>
      </c>
      <c r="AR167">
        <v>1</v>
      </c>
      <c r="AS167">
        <v>1</v>
      </c>
      <c r="AT167">
        <v>1</v>
      </c>
      <c r="AU167">
        <v>2</v>
      </c>
      <c r="AV167">
        <v>1.333333333333333</v>
      </c>
      <c r="AW167">
        <v>4.5999999999999996</v>
      </c>
      <c r="AY167">
        <v>4.5</v>
      </c>
      <c r="AZ167">
        <v>2</v>
      </c>
      <c r="BA167">
        <v>1</v>
      </c>
      <c r="BB167">
        <v>48</v>
      </c>
      <c r="BC167">
        <v>26</v>
      </c>
      <c r="BD167">
        <v>42.38</v>
      </c>
      <c r="BE167">
        <v>212</v>
      </c>
      <c r="BF167">
        <v>88.3</v>
      </c>
      <c r="BG167">
        <v>30</v>
      </c>
      <c r="BH167">
        <v>26</v>
      </c>
      <c r="BI167">
        <v>26.31</v>
      </c>
      <c r="BJ167">
        <v>128</v>
      </c>
      <c r="BK167">
        <v>87.7</v>
      </c>
      <c r="BL167">
        <v>212</v>
      </c>
      <c r="BM167">
        <v>3.1972</v>
      </c>
    </row>
    <row r="168" spans="1:65" x14ac:dyDescent="0.25">
      <c r="A168" t="s">
        <v>231</v>
      </c>
      <c r="B168" t="s">
        <v>1324</v>
      </c>
      <c r="C168" t="s">
        <v>2160</v>
      </c>
      <c r="D168" s="1">
        <v>45425</v>
      </c>
      <c r="E168" s="1">
        <v>45469</v>
      </c>
      <c r="F168" s="1">
        <v>45500</v>
      </c>
      <c r="G168" t="s">
        <v>2162</v>
      </c>
      <c r="H168" t="s">
        <v>2168</v>
      </c>
      <c r="I168" t="s">
        <v>2175</v>
      </c>
      <c r="J168">
        <v>3058</v>
      </c>
      <c r="K168">
        <v>92</v>
      </c>
      <c r="L168">
        <v>13.2</v>
      </c>
      <c r="M168">
        <v>16.600000000000001</v>
      </c>
      <c r="N168">
        <v>5</v>
      </c>
      <c r="O168">
        <v>12146</v>
      </c>
      <c r="P168" t="s">
        <v>2177</v>
      </c>
      <c r="Q168">
        <v>5</v>
      </c>
      <c r="R168">
        <v>8</v>
      </c>
      <c r="S168">
        <v>4</v>
      </c>
      <c r="T168">
        <v>955</v>
      </c>
      <c r="U168" t="s">
        <v>2164</v>
      </c>
      <c r="V168" t="s">
        <v>2170</v>
      </c>
      <c r="W168" t="s">
        <v>2209</v>
      </c>
      <c r="X168" t="s">
        <v>2211</v>
      </c>
      <c r="Y168" t="s">
        <v>2212</v>
      </c>
      <c r="Z168" s="1">
        <v>45499</v>
      </c>
      <c r="AA168" s="1">
        <v>45501</v>
      </c>
      <c r="AB168" t="s">
        <v>2214</v>
      </c>
      <c r="AC168" t="s">
        <v>2209</v>
      </c>
      <c r="AD168" t="s">
        <v>2218</v>
      </c>
      <c r="AE168" t="s">
        <v>2164</v>
      </c>
      <c r="AG168" t="s">
        <v>2221</v>
      </c>
      <c r="AH168">
        <v>17</v>
      </c>
      <c r="AI168">
        <v>30</v>
      </c>
      <c r="AJ168">
        <v>13</v>
      </c>
      <c r="AK168">
        <v>6</v>
      </c>
      <c r="AL168" t="s">
        <v>2223</v>
      </c>
      <c r="AM168">
        <v>0</v>
      </c>
      <c r="AN168" t="s">
        <v>2175</v>
      </c>
      <c r="AO168" t="s">
        <v>2177</v>
      </c>
      <c r="AP168" t="s">
        <v>2177</v>
      </c>
      <c r="AQ168">
        <v>219.12</v>
      </c>
      <c r="AR168">
        <v>2</v>
      </c>
      <c r="AS168">
        <v>3</v>
      </c>
      <c r="AT168">
        <v>2</v>
      </c>
      <c r="AU168">
        <v>2</v>
      </c>
      <c r="AV168">
        <v>2.333333333333333</v>
      </c>
      <c r="AW168">
        <v>4.5</v>
      </c>
      <c r="AY168">
        <v>4.2</v>
      </c>
      <c r="AZ168">
        <v>0</v>
      </c>
      <c r="BA168">
        <v>0</v>
      </c>
      <c r="BB168">
        <v>33</v>
      </c>
      <c r="BC168">
        <v>25</v>
      </c>
      <c r="BD168">
        <v>28.64</v>
      </c>
      <c r="BE168">
        <v>133</v>
      </c>
      <c r="BF168">
        <v>86.8</v>
      </c>
      <c r="BG168">
        <v>29</v>
      </c>
      <c r="BH168">
        <v>25</v>
      </c>
      <c r="BI168">
        <v>25.56</v>
      </c>
      <c r="BJ168">
        <v>117</v>
      </c>
      <c r="BK168">
        <v>88.1</v>
      </c>
      <c r="BL168">
        <v>133</v>
      </c>
      <c r="BM168">
        <v>0.9194</v>
      </c>
    </row>
    <row r="169" spans="1:65" x14ac:dyDescent="0.25">
      <c r="A169" t="s">
        <v>232</v>
      </c>
      <c r="B169" t="s">
        <v>1325</v>
      </c>
      <c r="C169" t="s">
        <v>2158</v>
      </c>
      <c r="D169" s="1">
        <v>45334</v>
      </c>
      <c r="E169" s="1">
        <v>45366</v>
      </c>
      <c r="F169" s="1">
        <v>45398</v>
      </c>
      <c r="G169" t="s">
        <v>2165</v>
      </c>
      <c r="H169" t="s">
        <v>2171</v>
      </c>
      <c r="I169" t="s">
        <v>2175</v>
      </c>
      <c r="J169">
        <v>5815</v>
      </c>
      <c r="K169">
        <v>175</v>
      </c>
      <c r="L169">
        <v>11.4</v>
      </c>
      <c r="M169">
        <v>18.7</v>
      </c>
      <c r="N169">
        <v>9</v>
      </c>
      <c r="O169">
        <v>19820</v>
      </c>
      <c r="P169" t="s">
        <v>2178</v>
      </c>
      <c r="Q169">
        <v>7</v>
      </c>
      <c r="R169">
        <v>10</v>
      </c>
      <c r="S169">
        <v>7</v>
      </c>
      <c r="T169">
        <v>935</v>
      </c>
      <c r="U169" t="s">
        <v>2165</v>
      </c>
      <c r="V169" t="s">
        <v>2171</v>
      </c>
      <c r="W169" t="s">
        <v>2208</v>
      </c>
      <c r="X169" t="s">
        <v>2210</v>
      </c>
      <c r="Y169" t="s">
        <v>2212</v>
      </c>
      <c r="Z169" s="1">
        <v>45405</v>
      </c>
      <c r="AA169" s="1">
        <v>45409</v>
      </c>
      <c r="AB169" t="s">
        <v>2215</v>
      </c>
      <c r="AC169" t="s">
        <v>2208</v>
      </c>
      <c r="AD169" t="s">
        <v>2217</v>
      </c>
      <c r="AE169" t="s">
        <v>2165</v>
      </c>
      <c r="AG169" t="s">
        <v>2220</v>
      </c>
      <c r="AH169">
        <v>24</v>
      </c>
      <c r="AI169">
        <v>39</v>
      </c>
      <c r="AJ169">
        <v>15</v>
      </c>
      <c r="AK169">
        <v>3</v>
      </c>
      <c r="AL169" t="s">
        <v>2227</v>
      </c>
      <c r="AM169">
        <v>0</v>
      </c>
      <c r="AN169" t="s">
        <v>2175</v>
      </c>
      <c r="AO169" t="s">
        <v>2175</v>
      </c>
      <c r="AP169" t="s">
        <v>2175</v>
      </c>
      <c r="AQ169">
        <v>213.18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4.5999999999999996</v>
      </c>
      <c r="AY169">
        <v>4.5999999999999996</v>
      </c>
      <c r="AZ169">
        <v>2</v>
      </c>
      <c r="BA169">
        <v>0</v>
      </c>
      <c r="BB169">
        <v>48</v>
      </c>
      <c r="BC169">
        <v>26</v>
      </c>
      <c r="BD169">
        <v>42.38</v>
      </c>
      <c r="BE169">
        <v>212</v>
      </c>
      <c r="BF169">
        <v>88.3</v>
      </c>
      <c r="BG169">
        <v>48</v>
      </c>
      <c r="BH169">
        <v>26</v>
      </c>
      <c r="BI169">
        <v>42.38</v>
      </c>
      <c r="BJ169">
        <v>212</v>
      </c>
      <c r="BK169">
        <v>88.3</v>
      </c>
      <c r="BL169">
        <v>212</v>
      </c>
      <c r="BM169">
        <v>1.0548</v>
      </c>
    </row>
    <row r="170" spans="1:65" x14ac:dyDescent="0.25">
      <c r="A170" t="s">
        <v>233</v>
      </c>
      <c r="B170" t="s">
        <v>1326</v>
      </c>
      <c r="C170" t="s">
        <v>2160</v>
      </c>
      <c r="D170" s="1">
        <v>45341</v>
      </c>
      <c r="E170" s="1">
        <v>45383</v>
      </c>
      <c r="F170" s="1">
        <v>45436</v>
      </c>
      <c r="G170" t="s">
        <v>2163</v>
      </c>
      <c r="H170" t="s">
        <v>2169</v>
      </c>
      <c r="I170" t="s">
        <v>2176</v>
      </c>
      <c r="J170">
        <v>9466</v>
      </c>
      <c r="K170">
        <v>284</v>
      </c>
      <c r="L170">
        <v>4.9000000000000004</v>
      </c>
      <c r="M170">
        <v>4.5</v>
      </c>
      <c r="N170">
        <v>4</v>
      </c>
      <c r="O170">
        <v>6113</v>
      </c>
      <c r="P170" t="s">
        <v>2176</v>
      </c>
      <c r="Q170">
        <v>7</v>
      </c>
      <c r="R170">
        <v>10</v>
      </c>
      <c r="S170">
        <v>15</v>
      </c>
      <c r="T170">
        <v>660</v>
      </c>
      <c r="U170" t="s">
        <v>2187</v>
      </c>
      <c r="W170" t="s">
        <v>2209</v>
      </c>
      <c r="X170" t="s">
        <v>2211</v>
      </c>
      <c r="Y170" t="s">
        <v>2213</v>
      </c>
      <c r="Z170" s="1">
        <v>45431</v>
      </c>
      <c r="AA170" s="1">
        <v>45437</v>
      </c>
      <c r="AB170" t="s">
        <v>2214</v>
      </c>
      <c r="AC170" t="s">
        <v>2209</v>
      </c>
      <c r="AD170" t="s">
        <v>2219</v>
      </c>
      <c r="AE170" t="s">
        <v>2161</v>
      </c>
      <c r="AF170" t="s">
        <v>2162</v>
      </c>
      <c r="AG170" t="s">
        <v>2222</v>
      </c>
      <c r="AH170">
        <v>32</v>
      </c>
      <c r="AI170">
        <v>48</v>
      </c>
      <c r="AJ170">
        <v>16</v>
      </c>
      <c r="AK170">
        <v>4</v>
      </c>
      <c r="AL170" t="s">
        <v>2225</v>
      </c>
      <c r="AM170">
        <v>0</v>
      </c>
      <c r="AN170" t="s">
        <v>2176</v>
      </c>
      <c r="AO170" t="s">
        <v>2177</v>
      </c>
      <c r="AP170" t="s">
        <v>2176</v>
      </c>
      <c r="AQ170">
        <v>22.05</v>
      </c>
      <c r="AR170">
        <v>1</v>
      </c>
      <c r="AS170">
        <v>1</v>
      </c>
      <c r="AT170">
        <v>2</v>
      </c>
      <c r="AU170">
        <v>1</v>
      </c>
      <c r="AV170">
        <v>1.333333333333333</v>
      </c>
      <c r="AW170">
        <v>4.3</v>
      </c>
      <c r="AX170">
        <v>4.2</v>
      </c>
      <c r="AY170">
        <v>4.4000000000000004</v>
      </c>
      <c r="AZ170">
        <v>0</v>
      </c>
      <c r="BA170">
        <v>1</v>
      </c>
      <c r="BB170">
        <v>32</v>
      </c>
      <c r="BC170">
        <v>26</v>
      </c>
      <c r="BD170">
        <v>28.46</v>
      </c>
      <c r="BE170">
        <v>138</v>
      </c>
      <c r="BF170">
        <v>88.9</v>
      </c>
      <c r="BG170">
        <v>31</v>
      </c>
      <c r="BH170">
        <v>26</v>
      </c>
      <c r="BI170">
        <v>27.23</v>
      </c>
      <c r="BJ170">
        <v>132</v>
      </c>
      <c r="BK170">
        <v>87.8</v>
      </c>
      <c r="BL170">
        <v>242</v>
      </c>
      <c r="BM170">
        <v>2.6375000000000002</v>
      </c>
    </row>
    <row r="171" spans="1:65" x14ac:dyDescent="0.25">
      <c r="A171" t="s">
        <v>234</v>
      </c>
      <c r="B171" t="s">
        <v>1327</v>
      </c>
      <c r="C171" t="s">
        <v>2158</v>
      </c>
      <c r="D171" s="1">
        <v>45418</v>
      </c>
      <c r="E171" s="1">
        <v>45460</v>
      </c>
      <c r="F171" s="1">
        <v>45511</v>
      </c>
      <c r="G171" t="s">
        <v>2165</v>
      </c>
      <c r="H171" t="s">
        <v>2171</v>
      </c>
      <c r="I171" t="s">
        <v>2176</v>
      </c>
      <c r="J171">
        <v>6745</v>
      </c>
      <c r="K171">
        <v>203</v>
      </c>
      <c r="L171">
        <v>11.5</v>
      </c>
      <c r="M171">
        <v>11.8</v>
      </c>
      <c r="N171">
        <v>2</v>
      </c>
      <c r="O171">
        <v>6629</v>
      </c>
      <c r="P171" t="s">
        <v>2176</v>
      </c>
      <c r="Q171">
        <v>7</v>
      </c>
      <c r="R171">
        <v>10</v>
      </c>
      <c r="S171">
        <v>9</v>
      </c>
      <c r="T171">
        <v>770</v>
      </c>
      <c r="U171" t="s">
        <v>2162</v>
      </c>
      <c r="V171" t="s">
        <v>2168</v>
      </c>
      <c r="W171" t="s">
        <v>2209</v>
      </c>
      <c r="X171" t="s">
        <v>2211</v>
      </c>
      <c r="Y171" t="s">
        <v>2212</v>
      </c>
      <c r="Z171" s="1">
        <v>45501</v>
      </c>
      <c r="AA171" s="1">
        <v>45501</v>
      </c>
      <c r="AB171" t="s">
        <v>2214</v>
      </c>
      <c r="AC171" t="s">
        <v>2209</v>
      </c>
      <c r="AD171" t="s">
        <v>2218</v>
      </c>
      <c r="AE171" t="s">
        <v>2162</v>
      </c>
      <c r="AG171" t="s">
        <v>2221</v>
      </c>
      <c r="AH171">
        <v>26</v>
      </c>
      <c r="AI171">
        <v>41</v>
      </c>
      <c r="AJ171">
        <v>15</v>
      </c>
      <c r="AK171">
        <v>6</v>
      </c>
      <c r="AL171" t="s">
        <v>2223</v>
      </c>
      <c r="AM171">
        <v>0</v>
      </c>
      <c r="AN171" t="s">
        <v>2175</v>
      </c>
      <c r="AO171" t="s">
        <v>2176</v>
      </c>
      <c r="AP171" t="s">
        <v>2176</v>
      </c>
      <c r="AQ171">
        <v>135.69999999999999</v>
      </c>
      <c r="AR171">
        <v>1</v>
      </c>
      <c r="AS171">
        <v>3</v>
      </c>
      <c r="AT171">
        <v>1</v>
      </c>
      <c r="AU171">
        <v>1</v>
      </c>
      <c r="AV171">
        <v>1.666666666666667</v>
      </c>
      <c r="AW171">
        <v>4.2</v>
      </c>
      <c r="AY171">
        <v>4.5999999999999996</v>
      </c>
      <c r="AZ171">
        <v>2</v>
      </c>
      <c r="BA171">
        <v>1</v>
      </c>
      <c r="BB171">
        <v>29</v>
      </c>
      <c r="BC171">
        <v>25</v>
      </c>
      <c r="BD171">
        <v>25.56</v>
      </c>
      <c r="BE171">
        <v>117</v>
      </c>
      <c r="BF171">
        <v>88.1</v>
      </c>
      <c r="BG171">
        <v>40</v>
      </c>
      <c r="BH171">
        <v>25</v>
      </c>
      <c r="BI171">
        <v>34.72</v>
      </c>
      <c r="BJ171">
        <v>161</v>
      </c>
      <c r="BK171">
        <v>86.8</v>
      </c>
      <c r="BL171">
        <v>117</v>
      </c>
      <c r="BM171">
        <v>2.3052000000000001</v>
      </c>
    </row>
    <row r="172" spans="1:65" x14ac:dyDescent="0.25">
      <c r="A172" t="s">
        <v>235</v>
      </c>
      <c r="B172" t="s">
        <v>1289</v>
      </c>
      <c r="C172" t="s">
        <v>2159</v>
      </c>
      <c r="D172" s="1">
        <v>45334</v>
      </c>
      <c r="E172" s="1">
        <v>45373</v>
      </c>
      <c r="F172" s="1">
        <v>45460</v>
      </c>
      <c r="G172" t="s">
        <v>2163</v>
      </c>
      <c r="H172" t="s">
        <v>2169</v>
      </c>
      <c r="I172" t="s">
        <v>2173</v>
      </c>
      <c r="J172">
        <v>25760</v>
      </c>
      <c r="K172">
        <v>773</v>
      </c>
      <c r="L172">
        <v>10</v>
      </c>
      <c r="M172">
        <v>8.9</v>
      </c>
      <c r="N172">
        <v>3</v>
      </c>
      <c r="O172">
        <v>12682</v>
      </c>
      <c r="P172" t="s">
        <v>2176</v>
      </c>
      <c r="Q172">
        <v>14</v>
      </c>
      <c r="R172">
        <v>20</v>
      </c>
      <c r="S172">
        <v>30</v>
      </c>
      <c r="T172">
        <v>882</v>
      </c>
      <c r="U172" t="s">
        <v>2188</v>
      </c>
      <c r="W172" t="s">
        <v>2209</v>
      </c>
      <c r="X172" t="s">
        <v>2211</v>
      </c>
      <c r="Y172" t="s">
        <v>2213</v>
      </c>
      <c r="Z172" s="1">
        <v>45459</v>
      </c>
      <c r="AA172" s="1">
        <v>45465</v>
      </c>
      <c r="AB172" t="s">
        <v>2214</v>
      </c>
      <c r="AC172" t="s">
        <v>2209</v>
      </c>
      <c r="AD172" t="s">
        <v>2219</v>
      </c>
      <c r="AE172" t="s">
        <v>2162</v>
      </c>
      <c r="AF172" t="s">
        <v>2165</v>
      </c>
      <c r="AG172" t="s">
        <v>2222</v>
      </c>
      <c r="AH172">
        <v>64</v>
      </c>
      <c r="AI172">
        <v>86</v>
      </c>
      <c r="AJ172">
        <v>22</v>
      </c>
      <c r="AK172">
        <v>3</v>
      </c>
      <c r="AL172" t="s">
        <v>2227</v>
      </c>
      <c r="AM172">
        <v>0</v>
      </c>
      <c r="AN172" t="s">
        <v>2177</v>
      </c>
      <c r="AO172" t="s">
        <v>2176</v>
      </c>
      <c r="AP172" t="s">
        <v>2177</v>
      </c>
      <c r="AQ172">
        <v>89</v>
      </c>
      <c r="AR172">
        <v>1</v>
      </c>
      <c r="AS172">
        <v>2</v>
      </c>
      <c r="AT172">
        <v>1</v>
      </c>
      <c r="AU172">
        <v>2</v>
      </c>
      <c r="AV172">
        <v>1.666666666666667</v>
      </c>
      <c r="AW172">
        <v>4.2</v>
      </c>
      <c r="AX172">
        <v>4.5999999999999996</v>
      </c>
      <c r="AY172">
        <v>4.4000000000000004</v>
      </c>
      <c r="AZ172">
        <v>3</v>
      </c>
      <c r="BA172">
        <v>3</v>
      </c>
      <c r="BB172">
        <v>31</v>
      </c>
      <c r="BC172">
        <v>26</v>
      </c>
      <c r="BD172">
        <v>27.27</v>
      </c>
      <c r="BE172">
        <v>130</v>
      </c>
      <c r="BF172">
        <v>88</v>
      </c>
      <c r="BG172">
        <v>35</v>
      </c>
      <c r="BH172">
        <v>26</v>
      </c>
      <c r="BI172">
        <v>31.08</v>
      </c>
      <c r="BJ172">
        <v>149</v>
      </c>
      <c r="BK172">
        <v>88.8</v>
      </c>
      <c r="BL172">
        <v>342</v>
      </c>
      <c r="BM172">
        <v>7.6189999999999998</v>
      </c>
    </row>
    <row r="173" spans="1:65" x14ac:dyDescent="0.25">
      <c r="A173" t="s">
        <v>236</v>
      </c>
      <c r="B173" t="s">
        <v>1220</v>
      </c>
      <c r="C173" t="s">
        <v>2160</v>
      </c>
      <c r="D173" s="1">
        <v>45369</v>
      </c>
      <c r="E173" s="1">
        <v>45402</v>
      </c>
      <c r="F173" s="1">
        <v>45443</v>
      </c>
      <c r="G173" t="s">
        <v>2166</v>
      </c>
      <c r="H173" t="s">
        <v>2172</v>
      </c>
      <c r="I173" t="s">
        <v>2176</v>
      </c>
      <c r="J173">
        <v>2725</v>
      </c>
      <c r="K173">
        <v>82</v>
      </c>
      <c r="L173">
        <v>7.3</v>
      </c>
      <c r="M173">
        <v>5.6</v>
      </c>
      <c r="N173">
        <v>4</v>
      </c>
      <c r="O173">
        <v>7913</v>
      </c>
      <c r="P173" t="s">
        <v>2176</v>
      </c>
      <c r="Q173">
        <v>5</v>
      </c>
      <c r="R173">
        <v>8</v>
      </c>
      <c r="S173">
        <v>5</v>
      </c>
      <c r="T173">
        <v>636</v>
      </c>
      <c r="U173" t="s">
        <v>2162</v>
      </c>
      <c r="V173" t="s">
        <v>2168</v>
      </c>
      <c r="W173" t="s">
        <v>2209</v>
      </c>
      <c r="X173" t="s">
        <v>2211</v>
      </c>
      <c r="Y173" t="s">
        <v>2212</v>
      </c>
      <c r="Z173" s="1">
        <v>45434</v>
      </c>
      <c r="AA173" s="1">
        <v>45438</v>
      </c>
      <c r="AB173" t="s">
        <v>2214</v>
      </c>
      <c r="AC173" t="s">
        <v>2209</v>
      </c>
      <c r="AD173" t="s">
        <v>2218</v>
      </c>
      <c r="AE173" t="s">
        <v>2162</v>
      </c>
      <c r="AG173" t="s">
        <v>2221</v>
      </c>
      <c r="AH173">
        <v>18</v>
      </c>
      <c r="AI173">
        <v>32</v>
      </c>
      <c r="AJ173">
        <v>14</v>
      </c>
      <c r="AK173">
        <v>4</v>
      </c>
      <c r="AL173" t="s">
        <v>2225</v>
      </c>
      <c r="AM173">
        <v>0</v>
      </c>
      <c r="AN173" t="s">
        <v>2177</v>
      </c>
      <c r="AO173" t="s">
        <v>2177</v>
      </c>
      <c r="AP173" t="s">
        <v>2177</v>
      </c>
      <c r="AQ173">
        <v>40.880000000000003</v>
      </c>
      <c r="AR173">
        <v>1</v>
      </c>
      <c r="AS173">
        <v>2</v>
      </c>
      <c r="AT173">
        <v>2</v>
      </c>
      <c r="AU173">
        <v>2</v>
      </c>
      <c r="AV173">
        <v>2</v>
      </c>
      <c r="AW173">
        <v>4.2</v>
      </c>
      <c r="AY173">
        <v>4.8</v>
      </c>
      <c r="AZ173">
        <v>0</v>
      </c>
      <c r="BA173">
        <v>1</v>
      </c>
      <c r="BB173">
        <v>25</v>
      </c>
      <c r="BC173">
        <v>26</v>
      </c>
      <c r="BD173">
        <v>21.81</v>
      </c>
      <c r="BE173">
        <v>104</v>
      </c>
      <c r="BF173">
        <v>87.2</v>
      </c>
      <c r="BG173">
        <v>45</v>
      </c>
      <c r="BH173">
        <v>26</v>
      </c>
      <c r="BI173">
        <v>40.270000000000003</v>
      </c>
      <c r="BJ173">
        <v>199</v>
      </c>
      <c r="BK173">
        <v>89.5</v>
      </c>
      <c r="BL173">
        <v>104</v>
      </c>
      <c r="BM173">
        <v>1.0074000000000001</v>
      </c>
    </row>
    <row r="174" spans="1:65" x14ac:dyDescent="0.25">
      <c r="A174" t="s">
        <v>237</v>
      </c>
      <c r="B174" t="s">
        <v>1328</v>
      </c>
      <c r="C174" t="s">
        <v>2159</v>
      </c>
      <c r="D174" s="1">
        <v>45418</v>
      </c>
      <c r="E174" s="1">
        <v>45455</v>
      </c>
      <c r="F174" s="1">
        <v>45570</v>
      </c>
      <c r="G174" t="s">
        <v>2164</v>
      </c>
      <c r="H174" t="s">
        <v>2170</v>
      </c>
      <c r="I174" t="s">
        <v>2174</v>
      </c>
      <c r="J174">
        <v>26098</v>
      </c>
      <c r="K174">
        <v>783</v>
      </c>
      <c r="L174">
        <v>6.9</v>
      </c>
      <c r="M174">
        <v>7.7</v>
      </c>
      <c r="N174">
        <v>3</v>
      </c>
      <c r="O174">
        <v>1415</v>
      </c>
      <c r="P174" t="s">
        <v>2176</v>
      </c>
      <c r="Q174">
        <v>14</v>
      </c>
      <c r="R174">
        <v>20</v>
      </c>
      <c r="S174">
        <v>43</v>
      </c>
      <c r="T174">
        <v>610</v>
      </c>
      <c r="U174" t="s">
        <v>2185</v>
      </c>
      <c r="W174" t="s">
        <v>2209</v>
      </c>
      <c r="X174" t="s">
        <v>2211</v>
      </c>
      <c r="Y174" t="s">
        <v>2213</v>
      </c>
      <c r="Z174" s="1">
        <v>45555</v>
      </c>
      <c r="AA174" s="1">
        <v>45557</v>
      </c>
      <c r="AB174" t="s">
        <v>2214</v>
      </c>
      <c r="AC174" t="s">
        <v>2209</v>
      </c>
      <c r="AD174" t="s">
        <v>2219</v>
      </c>
      <c r="AE174" t="s">
        <v>2163</v>
      </c>
      <c r="AF174" t="s">
        <v>2161</v>
      </c>
      <c r="AG174" t="s">
        <v>2222</v>
      </c>
      <c r="AH174">
        <v>77</v>
      </c>
      <c r="AI174">
        <v>100</v>
      </c>
      <c r="AJ174">
        <v>23</v>
      </c>
      <c r="AK174">
        <v>6</v>
      </c>
      <c r="AL174" t="s">
        <v>2223</v>
      </c>
      <c r="AM174">
        <v>0</v>
      </c>
      <c r="AN174" t="s">
        <v>2177</v>
      </c>
      <c r="AO174" t="s">
        <v>2176</v>
      </c>
      <c r="AP174" t="s">
        <v>2176</v>
      </c>
      <c r="AQ174">
        <v>53.13</v>
      </c>
      <c r="AR174">
        <v>1</v>
      </c>
      <c r="AS174">
        <v>2</v>
      </c>
      <c r="AT174">
        <v>1</v>
      </c>
      <c r="AU174">
        <v>1</v>
      </c>
      <c r="AV174">
        <v>1.333333333333333</v>
      </c>
      <c r="AW174">
        <v>4.4000000000000004</v>
      </c>
      <c r="AX174">
        <v>4.3</v>
      </c>
      <c r="AY174">
        <v>4.5</v>
      </c>
      <c r="AZ174">
        <v>3</v>
      </c>
      <c r="BA174">
        <v>2</v>
      </c>
      <c r="BB174">
        <v>30</v>
      </c>
      <c r="BC174">
        <v>25</v>
      </c>
      <c r="BD174">
        <v>26.48</v>
      </c>
      <c r="BE174">
        <v>121</v>
      </c>
      <c r="BF174">
        <v>88.3</v>
      </c>
      <c r="BG174">
        <v>33</v>
      </c>
      <c r="BH174">
        <v>25</v>
      </c>
      <c r="BI174">
        <v>28.64</v>
      </c>
      <c r="BJ174">
        <v>133</v>
      </c>
      <c r="BK174">
        <v>86.8</v>
      </c>
      <c r="BL174">
        <v>270</v>
      </c>
      <c r="BM174">
        <v>8.6245999999999992</v>
      </c>
    </row>
    <row r="175" spans="1:65" x14ac:dyDescent="0.25">
      <c r="A175" t="s">
        <v>238</v>
      </c>
      <c r="B175" t="s">
        <v>1329</v>
      </c>
      <c r="C175" t="s">
        <v>2157</v>
      </c>
      <c r="D175" s="1">
        <v>45369</v>
      </c>
      <c r="E175" s="1">
        <v>45413</v>
      </c>
      <c r="F175" s="1">
        <v>45531</v>
      </c>
      <c r="G175" t="s">
        <v>2166</v>
      </c>
      <c r="H175" t="s">
        <v>2172</v>
      </c>
      <c r="I175" t="s">
        <v>2175</v>
      </c>
      <c r="J175">
        <v>42629</v>
      </c>
      <c r="K175">
        <v>1279</v>
      </c>
      <c r="L175">
        <v>12.5</v>
      </c>
      <c r="M175">
        <v>11</v>
      </c>
      <c r="N175">
        <v>8</v>
      </c>
      <c r="O175">
        <v>16658</v>
      </c>
      <c r="P175" t="s">
        <v>2178</v>
      </c>
      <c r="Q175">
        <v>18</v>
      </c>
      <c r="R175">
        <v>30</v>
      </c>
      <c r="S175">
        <v>46</v>
      </c>
      <c r="T175">
        <v>933</v>
      </c>
      <c r="U175" t="s">
        <v>2184</v>
      </c>
      <c r="W175" t="s">
        <v>2209</v>
      </c>
      <c r="X175" t="s">
        <v>2211</v>
      </c>
      <c r="Y175" t="s">
        <v>2213</v>
      </c>
      <c r="Z175" s="1">
        <v>45533</v>
      </c>
      <c r="AA175" s="1">
        <v>45536</v>
      </c>
      <c r="AB175" t="s">
        <v>2215</v>
      </c>
      <c r="AC175" t="s">
        <v>2208</v>
      </c>
      <c r="AD175" t="s">
        <v>2219</v>
      </c>
      <c r="AE175" t="s">
        <v>2163</v>
      </c>
      <c r="AF175" t="s">
        <v>2162</v>
      </c>
      <c r="AG175" t="s">
        <v>2222</v>
      </c>
      <c r="AH175">
        <v>94</v>
      </c>
      <c r="AI175">
        <v>120</v>
      </c>
      <c r="AJ175">
        <v>26</v>
      </c>
      <c r="AK175">
        <v>5</v>
      </c>
      <c r="AL175" t="s">
        <v>2224</v>
      </c>
      <c r="AM175">
        <v>0</v>
      </c>
      <c r="AN175" t="s">
        <v>2175</v>
      </c>
      <c r="AO175" t="s">
        <v>2175</v>
      </c>
      <c r="AP175" t="s">
        <v>2175</v>
      </c>
      <c r="AQ175">
        <v>137.5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4.4000000000000004</v>
      </c>
      <c r="AX175">
        <v>4.2</v>
      </c>
      <c r="AY175">
        <v>4.8</v>
      </c>
      <c r="AZ175">
        <v>1</v>
      </c>
      <c r="BA175">
        <v>0</v>
      </c>
      <c r="BB175">
        <v>38</v>
      </c>
      <c r="BC175">
        <v>27</v>
      </c>
      <c r="BD175">
        <v>33.33</v>
      </c>
      <c r="BE175">
        <v>171</v>
      </c>
      <c r="BF175">
        <v>87.7</v>
      </c>
      <c r="BG175">
        <v>43</v>
      </c>
      <c r="BH175">
        <v>27</v>
      </c>
      <c r="BI175">
        <v>37.299999999999997</v>
      </c>
      <c r="BJ175">
        <v>193</v>
      </c>
      <c r="BK175">
        <v>86.7</v>
      </c>
      <c r="BL175">
        <v>279</v>
      </c>
      <c r="BM175">
        <v>9.2310999999999996</v>
      </c>
    </row>
    <row r="176" spans="1:65" x14ac:dyDescent="0.25">
      <c r="A176" t="s">
        <v>239</v>
      </c>
      <c r="B176" t="s">
        <v>1197</v>
      </c>
      <c r="C176" t="s">
        <v>2159</v>
      </c>
      <c r="D176" s="1">
        <v>45376</v>
      </c>
      <c r="E176" s="1">
        <v>45419</v>
      </c>
      <c r="F176" s="1">
        <v>45519</v>
      </c>
      <c r="G176" t="s">
        <v>2163</v>
      </c>
      <c r="H176" t="s">
        <v>2169</v>
      </c>
      <c r="I176" t="s">
        <v>2176</v>
      </c>
      <c r="J176">
        <v>27163</v>
      </c>
      <c r="K176">
        <v>815</v>
      </c>
      <c r="L176">
        <v>5</v>
      </c>
      <c r="M176">
        <v>6.6</v>
      </c>
      <c r="N176">
        <v>5</v>
      </c>
      <c r="O176">
        <v>9722</v>
      </c>
      <c r="P176" t="s">
        <v>2176</v>
      </c>
      <c r="Q176">
        <v>14</v>
      </c>
      <c r="R176">
        <v>20</v>
      </c>
      <c r="S176">
        <v>38</v>
      </c>
      <c r="T176">
        <v>715</v>
      </c>
      <c r="U176" t="s">
        <v>2184</v>
      </c>
      <c r="W176" t="s">
        <v>2209</v>
      </c>
      <c r="X176" t="s">
        <v>2211</v>
      </c>
      <c r="Y176" t="s">
        <v>2213</v>
      </c>
      <c r="Z176" s="1">
        <v>45513</v>
      </c>
      <c r="AA176" s="1">
        <v>45515</v>
      </c>
      <c r="AB176" t="s">
        <v>2214</v>
      </c>
      <c r="AC176" t="s">
        <v>2209</v>
      </c>
      <c r="AD176" t="s">
        <v>2219</v>
      </c>
      <c r="AE176" t="s">
        <v>2163</v>
      </c>
      <c r="AF176" t="s">
        <v>2162</v>
      </c>
      <c r="AG176" t="s">
        <v>2222</v>
      </c>
      <c r="AH176">
        <v>72</v>
      </c>
      <c r="AI176">
        <v>94</v>
      </c>
      <c r="AJ176">
        <v>22</v>
      </c>
      <c r="AK176">
        <v>5</v>
      </c>
      <c r="AL176" t="s">
        <v>2224</v>
      </c>
      <c r="AM176">
        <v>0</v>
      </c>
      <c r="AN176" t="s">
        <v>2176</v>
      </c>
      <c r="AO176" t="s">
        <v>2177</v>
      </c>
      <c r="AP176" t="s">
        <v>2177</v>
      </c>
      <c r="AQ176">
        <v>33</v>
      </c>
      <c r="AR176">
        <v>1</v>
      </c>
      <c r="AS176">
        <v>1</v>
      </c>
      <c r="AT176">
        <v>2</v>
      </c>
      <c r="AU176">
        <v>2</v>
      </c>
      <c r="AV176">
        <v>1.666666666666667</v>
      </c>
      <c r="AW176">
        <v>4.4000000000000004</v>
      </c>
      <c r="AX176">
        <v>4.2</v>
      </c>
      <c r="AY176">
        <v>4.4000000000000004</v>
      </c>
      <c r="AZ176">
        <v>3</v>
      </c>
      <c r="BA176">
        <v>1</v>
      </c>
      <c r="BB176">
        <v>38</v>
      </c>
      <c r="BC176">
        <v>27</v>
      </c>
      <c r="BD176">
        <v>33.33</v>
      </c>
      <c r="BE176">
        <v>171</v>
      </c>
      <c r="BF176">
        <v>87.7</v>
      </c>
      <c r="BG176">
        <v>38</v>
      </c>
      <c r="BH176">
        <v>27</v>
      </c>
      <c r="BI176">
        <v>33.33</v>
      </c>
      <c r="BJ176">
        <v>171</v>
      </c>
      <c r="BK176">
        <v>87.7</v>
      </c>
      <c r="BL176">
        <v>279</v>
      </c>
      <c r="BM176">
        <v>5.8819999999999997</v>
      </c>
    </row>
    <row r="177" spans="1:65" x14ac:dyDescent="0.25">
      <c r="A177" t="s">
        <v>240</v>
      </c>
      <c r="B177" t="s">
        <v>1330</v>
      </c>
      <c r="C177" t="s">
        <v>2160</v>
      </c>
      <c r="D177" s="1">
        <v>45418</v>
      </c>
      <c r="E177" s="1">
        <v>45453</v>
      </c>
      <c r="F177" s="1">
        <v>45517</v>
      </c>
      <c r="G177" t="s">
        <v>2163</v>
      </c>
      <c r="H177" t="s">
        <v>2169</v>
      </c>
      <c r="I177" t="s">
        <v>2173</v>
      </c>
      <c r="J177">
        <v>17878</v>
      </c>
      <c r="K177">
        <v>537</v>
      </c>
      <c r="L177">
        <v>8</v>
      </c>
      <c r="M177">
        <v>9.1</v>
      </c>
      <c r="N177">
        <v>7</v>
      </c>
      <c r="O177">
        <v>12786</v>
      </c>
      <c r="P177" t="s">
        <v>2177</v>
      </c>
      <c r="Q177">
        <v>10</v>
      </c>
      <c r="R177">
        <v>14</v>
      </c>
      <c r="S177">
        <v>22</v>
      </c>
      <c r="T177">
        <v>843</v>
      </c>
      <c r="U177" t="s">
        <v>2189</v>
      </c>
      <c r="W177" t="s">
        <v>2209</v>
      </c>
      <c r="X177" t="s">
        <v>2211</v>
      </c>
      <c r="Y177" t="s">
        <v>2213</v>
      </c>
      <c r="Z177" s="1">
        <v>45517</v>
      </c>
      <c r="AA177" s="1">
        <v>45522</v>
      </c>
      <c r="AB177" t="s">
        <v>2214</v>
      </c>
      <c r="AC177" t="s">
        <v>2209</v>
      </c>
      <c r="AD177" t="s">
        <v>2219</v>
      </c>
      <c r="AE177" t="s">
        <v>2165</v>
      </c>
      <c r="AF177" t="s">
        <v>2166</v>
      </c>
      <c r="AG177" t="s">
        <v>2222</v>
      </c>
      <c r="AH177">
        <v>46</v>
      </c>
      <c r="AI177">
        <v>64</v>
      </c>
      <c r="AJ177">
        <v>18</v>
      </c>
      <c r="AK177">
        <v>6</v>
      </c>
      <c r="AL177" t="s">
        <v>2223</v>
      </c>
      <c r="AM177">
        <v>0</v>
      </c>
      <c r="AN177" t="s">
        <v>2177</v>
      </c>
      <c r="AO177" t="s">
        <v>2175</v>
      </c>
      <c r="AP177" t="s">
        <v>2177</v>
      </c>
      <c r="AQ177">
        <v>72.8</v>
      </c>
      <c r="AR177">
        <v>2</v>
      </c>
      <c r="AS177">
        <v>2</v>
      </c>
      <c r="AT177">
        <v>3</v>
      </c>
      <c r="AU177">
        <v>2</v>
      </c>
      <c r="AV177">
        <v>2.333333333333333</v>
      </c>
      <c r="AW177">
        <v>4.5999999999999996</v>
      </c>
      <c r="AX177">
        <v>4.8</v>
      </c>
      <c r="AY177">
        <v>4.4000000000000004</v>
      </c>
      <c r="AZ177">
        <v>0</v>
      </c>
      <c r="BA177">
        <v>3</v>
      </c>
      <c r="BB177">
        <v>40</v>
      </c>
      <c r="BC177">
        <v>25</v>
      </c>
      <c r="BD177">
        <v>34.72</v>
      </c>
      <c r="BE177">
        <v>161</v>
      </c>
      <c r="BF177">
        <v>86.8</v>
      </c>
      <c r="BG177">
        <v>30</v>
      </c>
      <c r="BH177">
        <v>25</v>
      </c>
      <c r="BI177">
        <v>26.48</v>
      </c>
      <c r="BJ177">
        <v>121</v>
      </c>
      <c r="BK177">
        <v>88.3</v>
      </c>
      <c r="BL177">
        <v>347</v>
      </c>
      <c r="BM177">
        <v>4.4405999999999999</v>
      </c>
    </row>
    <row r="178" spans="1:65" x14ac:dyDescent="0.25">
      <c r="A178" t="s">
        <v>241</v>
      </c>
      <c r="B178" t="s">
        <v>1331</v>
      </c>
      <c r="C178" t="s">
        <v>2160</v>
      </c>
      <c r="D178" s="1">
        <v>45446</v>
      </c>
      <c r="E178" s="1">
        <v>45476</v>
      </c>
      <c r="F178" s="1">
        <v>45539</v>
      </c>
      <c r="G178" t="s">
        <v>2166</v>
      </c>
      <c r="H178" t="s">
        <v>2172</v>
      </c>
      <c r="I178" t="s">
        <v>2173</v>
      </c>
      <c r="J178">
        <v>15213</v>
      </c>
      <c r="K178">
        <v>457</v>
      </c>
      <c r="L178">
        <v>12.3</v>
      </c>
      <c r="M178">
        <v>13.9</v>
      </c>
      <c r="N178">
        <v>6</v>
      </c>
      <c r="O178">
        <v>8126</v>
      </c>
      <c r="P178" t="s">
        <v>2177</v>
      </c>
      <c r="Q178">
        <v>10</v>
      </c>
      <c r="R178">
        <v>14</v>
      </c>
      <c r="S178">
        <v>18</v>
      </c>
      <c r="T178">
        <v>847</v>
      </c>
      <c r="U178" t="s">
        <v>2190</v>
      </c>
      <c r="W178" t="s">
        <v>2209</v>
      </c>
      <c r="X178" t="s">
        <v>2211</v>
      </c>
      <c r="Y178" t="s">
        <v>2213</v>
      </c>
      <c r="Z178" s="1">
        <v>45536</v>
      </c>
      <c r="AA178" s="1">
        <v>45536</v>
      </c>
      <c r="AB178" t="s">
        <v>2214</v>
      </c>
      <c r="AC178" t="s">
        <v>2209</v>
      </c>
      <c r="AD178" t="s">
        <v>2219</v>
      </c>
      <c r="AE178" t="s">
        <v>2164</v>
      </c>
      <c r="AF178" t="s">
        <v>2166</v>
      </c>
      <c r="AG178" t="s">
        <v>2222</v>
      </c>
      <c r="AH178">
        <v>42</v>
      </c>
      <c r="AI178">
        <v>60</v>
      </c>
      <c r="AJ178">
        <v>18</v>
      </c>
      <c r="AK178">
        <v>7</v>
      </c>
      <c r="AL178" t="s">
        <v>2226</v>
      </c>
      <c r="AM178">
        <v>0</v>
      </c>
      <c r="AN178" t="s">
        <v>2175</v>
      </c>
      <c r="AO178" t="s">
        <v>2177</v>
      </c>
      <c r="AP178" t="s">
        <v>2177</v>
      </c>
      <c r="AQ178">
        <v>170.97</v>
      </c>
      <c r="AR178">
        <v>2</v>
      </c>
      <c r="AS178">
        <v>3</v>
      </c>
      <c r="AT178">
        <v>2</v>
      </c>
      <c r="AU178">
        <v>2</v>
      </c>
      <c r="AV178">
        <v>2.333333333333333</v>
      </c>
      <c r="AW178">
        <v>4.5</v>
      </c>
      <c r="AX178">
        <v>4.8</v>
      </c>
      <c r="AY178">
        <v>4.8</v>
      </c>
      <c r="AZ178">
        <v>0</v>
      </c>
      <c r="BA178">
        <v>3</v>
      </c>
      <c r="BB178">
        <v>29</v>
      </c>
      <c r="BC178">
        <v>27</v>
      </c>
      <c r="BD178">
        <v>25.96</v>
      </c>
      <c r="BE178">
        <v>130</v>
      </c>
      <c r="BF178">
        <v>89.5</v>
      </c>
      <c r="BG178">
        <v>48</v>
      </c>
      <c r="BH178">
        <v>27</v>
      </c>
      <c r="BI178">
        <v>42.33</v>
      </c>
      <c r="BJ178">
        <v>216</v>
      </c>
      <c r="BK178">
        <v>88.2</v>
      </c>
      <c r="BL178">
        <v>346</v>
      </c>
      <c r="BM178">
        <v>4.3330000000000002</v>
      </c>
    </row>
    <row r="179" spans="1:65" x14ac:dyDescent="0.25">
      <c r="A179" t="s">
        <v>242</v>
      </c>
      <c r="B179" t="s">
        <v>1231</v>
      </c>
      <c r="C179" t="s">
        <v>2157</v>
      </c>
      <c r="D179" s="1">
        <v>45348</v>
      </c>
      <c r="E179" s="1">
        <v>45383</v>
      </c>
      <c r="F179" s="1">
        <v>45533</v>
      </c>
      <c r="G179" t="s">
        <v>2162</v>
      </c>
      <c r="H179" t="s">
        <v>2168</v>
      </c>
      <c r="I179" t="s">
        <v>2173</v>
      </c>
      <c r="J179">
        <v>57530</v>
      </c>
      <c r="K179">
        <v>1726</v>
      </c>
      <c r="L179">
        <v>13.7</v>
      </c>
      <c r="M179">
        <v>9.1</v>
      </c>
      <c r="N179">
        <v>7</v>
      </c>
      <c r="O179">
        <v>12740</v>
      </c>
      <c r="P179" t="s">
        <v>2177</v>
      </c>
      <c r="Q179">
        <v>18</v>
      </c>
      <c r="R179">
        <v>30</v>
      </c>
      <c r="S179">
        <v>70</v>
      </c>
      <c r="T179">
        <v>833</v>
      </c>
      <c r="U179" t="s">
        <v>2188</v>
      </c>
      <c r="W179" t="s">
        <v>2209</v>
      </c>
      <c r="X179" t="s">
        <v>2211</v>
      </c>
      <c r="Y179" t="s">
        <v>2213</v>
      </c>
      <c r="Z179" s="1">
        <v>45531</v>
      </c>
      <c r="AA179" s="1">
        <v>45535</v>
      </c>
      <c r="AB179" t="s">
        <v>2214</v>
      </c>
      <c r="AC179" t="s">
        <v>2209</v>
      </c>
      <c r="AD179" t="s">
        <v>2219</v>
      </c>
      <c r="AE179" t="s">
        <v>2162</v>
      </c>
      <c r="AF179" t="s">
        <v>2165</v>
      </c>
      <c r="AG179" t="s">
        <v>2222</v>
      </c>
      <c r="AH179">
        <v>118</v>
      </c>
      <c r="AI179">
        <v>148</v>
      </c>
      <c r="AJ179">
        <v>30</v>
      </c>
      <c r="AK179">
        <v>4</v>
      </c>
      <c r="AL179" t="s">
        <v>2225</v>
      </c>
      <c r="AM179">
        <v>0</v>
      </c>
      <c r="AN179" t="s">
        <v>2177</v>
      </c>
      <c r="AO179" t="s">
        <v>2175</v>
      </c>
      <c r="AP179" t="s">
        <v>2177</v>
      </c>
      <c r="AQ179">
        <v>124.67</v>
      </c>
      <c r="AR179">
        <v>2</v>
      </c>
      <c r="AS179">
        <v>2</v>
      </c>
      <c r="AT179">
        <v>3</v>
      </c>
      <c r="AU179">
        <v>2</v>
      </c>
      <c r="AV179">
        <v>2.333333333333333</v>
      </c>
      <c r="AW179">
        <v>4.2</v>
      </c>
      <c r="AX179">
        <v>4.5999999999999996</v>
      </c>
      <c r="AY179">
        <v>4.2</v>
      </c>
      <c r="AZ179">
        <v>1</v>
      </c>
      <c r="BA179">
        <v>3</v>
      </c>
      <c r="BB179">
        <v>25</v>
      </c>
      <c r="BC179">
        <v>26</v>
      </c>
      <c r="BD179">
        <v>21.81</v>
      </c>
      <c r="BE179">
        <v>104</v>
      </c>
      <c r="BF179">
        <v>87.2</v>
      </c>
      <c r="BG179">
        <v>25</v>
      </c>
      <c r="BH179">
        <v>26</v>
      </c>
      <c r="BI179">
        <v>21.81</v>
      </c>
      <c r="BJ179">
        <v>104</v>
      </c>
      <c r="BK179">
        <v>87.2</v>
      </c>
      <c r="BL179">
        <v>307</v>
      </c>
      <c r="BM179">
        <v>21.268000000000001</v>
      </c>
    </row>
    <row r="180" spans="1:65" x14ac:dyDescent="0.25">
      <c r="A180" t="s">
        <v>243</v>
      </c>
      <c r="B180" t="s">
        <v>1332</v>
      </c>
      <c r="C180" t="s">
        <v>2158</v>
      </c>
      <c r="D180" s="1">
        <v>45383</v>
      </c>
      <c r="E180" s="1">
        <v>45415</v>
      </c>
      <c r="F180" s="1">
        <v>45489</v>
      </c>
      <c r="G180" t="s">
        <v>2166</v>
      </c>
      <c r="H180" t="s">
        <v>2172</v>
      </c>
      <c r="I180" t="s">
        <v>2176</v>
      </c>
      <c r="J180">
        <v>16553</v>
      </c>
      <c r="K180">
        <v>497</v>
      </c>
      <c r="L180">
        <v>3.2</v>
      </c>
      <c r="M180">
        <v>10.7</v>
      </c>
      <c r="N180">
        <v>5</v>
      </c>
      <c r="O180">
        <v>6657</v>
      </c>
      <c r="P180" t="s">
        <v>2176</v>
      </c>
      <c r="Q180">
        <v>10</v>
      </c>
      <c r="R180">
        <v>14</v>
      </c>
      <c r="S180">
        <v>23</v>
      </c>
      <c r="T180">
        <v>734</v>
      </c>
      <c r="U180" t="s">
        <v>2191</v>
      </c>
      <c r="W180" t="s">
        <v>2209</v>
      </c>
      <c r="X180" t="s">
        <v>2211</v>
      </c>
      <c r="Y180" t="s">
        <v>2213</v>
      </c>
      <c r="Z180" s="1">
        <v>45481</v>
      </c>
      <c r="AA180" s="1">
        <v>45487</v>
      </c>
      <c r="AB180" t="s">
        <v>2214</v>
      </c>
      <c r="AC180" t="s">
        <v>2209</v>
      </c>
      <c r="AD180" t="s">
        <v>2219</v>
      </c>
      <c r="AE180" t="s">
        <v>2161</v>
      </c>
      <c r="AF180" t="s">
        <v>2164</v>
      </c>
      <c r="AG180" t="s">
        <v>2222</v>
      </c>
      <c r="AH180">
        <v>47</v>
      </c>
      <c r="AI180">
        <v>66</v>
      </c>
      <c r="AJ180">
        <v>19</v>
      </c>
      <c r="AK180">
        <v>5</v>
      </c>
      <c r="AL180" t="s">
        <v>2224</v>
      </c>
      <c r="AM180">
        <v>0</v>
      </c>
      <c r="AN180" t="s">
        <v>2177</v>
      </c>
      <c r="AO180" t="s">
        <v>2177</v>
      </c>
      <c r="AP180" t="s">
        <v>2176</v>
      </c>
      <c r="AQ180">
        <v>34.24</v>
      </c>
      <c r="AR180">
        <v>1</v>
      </c>
      <c r="AS180">
        <v>2</v>
      </c>
      <c r="AT180">
        <v>2</v>
      </c>
      <c r="AU180">
        <v>1</v>
      </c>
      <c r="AV180">
        <v>1.666666666666667</v>
      </c>
      <c r="AW180">
        <v>4.3</v>
      </c>
      <c r="AX180">
        <v>4.5</v>
      </c>
      <c r="AY180">
        <v>4.8</v>
      </c>
      <c r="AZ180">
        <v>2</v>
      </c>
      <c r="BA180">
        <v>1</v>
      </c>
      <c r="BB180">
        <v>33</v>
      </c>
      <c r="BC180">
        <v>27</v>
      </c>
      <c r="BD180">
        <v>28.96</v>
      </c>
      <c r="BE180">
        <v>147</v>
      </c>
      <c r="BF180">
        <v>87.8</v>
      </c>
      <c r="BG180">
        <v>43</v>
      </c>
      <c r="BH180">
        <v>27</v>
      </c>
      <c r="BI180">
        <v>37.299999999999997</v>
      </c>
      <c r="BJ180">
        <v>193</v>
      </c>
      <c r="BK180">
        <v>86.7</v>
      </c>
      <c r="BL180">
        <v>305</v>
      </c>
      <c r="BM180">
        <v>4.1695000000000002</v>
      </c>
    </row>
    <row r="181" spans="1:65" x14ac:dyDescent="0.25">
      <c r="A181" t="s">
        <v>244</v>
      </c>
      <c r="B181" t="s">
        <v>1333</v>
      </c>
      <c r="C181" t="s">
        <v>2158</v>
      </c>
      <c r="D181" s="1">
        <v>45453</v>
      </c>
      <c r="E181" s="1">
        <v>45483</v>
      </c>
      <c r="F181" s="1">
        <v>45552</v>
      </c>
      <c r="G181" t="s">
        <v>2166</v>
      </c>
      <c r="H181" t="s">
        <v>2172</v>
      </c>
      <c r="I181" t="s">
        <v>2176</v>
      </c>
      <c r="J181">
        <v>10683</v>
      </c>
      <c r="K181">
        <v>321</v>
      </c>
      <c r="L181">
        <v>5.2</v>
      </c>
      <c r="M181">
        <v>7.9</v>
      </c>
      <c r="N181">
        <v>2</v>
      </c>
      <c r="O181">
        <v>7384</v>
      </c>
      <c r="P181" t="s">
        <v>2176</v>
      </c>
      <c r="Q181">
        <v>10</v>
      </c>
      <c r="R181">
        <v>14</v>
      </c>
      <c r="S181">
        <v>18</v>
      </c>
      <c r="T181">
        <v>619</v>
      </c>
      <c r="U181" t="s">
        <v>2192</v>
      </c>
      <c r="W181" t="s">
        <v>2209</v>
      </c>
      <c r="X181" t="s">
        <v>2211</v>
      </c>
      <c r="Y181" t="s">
        <v>2213</v>
      </c>
      <c r="Z181" s="1">
        <v>45543</v>
      </c>
      <c r="AA181" s="1">
        <v>45543</v>
      </c>
      <c r="AB181" t="s">
        <v>2214</v>
      </c>
      <c r="AC181" t="s">
        <v>2209</v>
      </c>
      <c r="AD181" t="s">
        <v>2219</v>
      </c>
      <c r="AE181" t="s">
        <v>2164</v>
      </c>
      <c r="AF181" t="s">
        <v>2165</v>
      </c>
      <c r="AG181" t="s">
        <v>2222</v>
      </c>
      <c r="AH181">
        <v>42</v>
      </c>
      <c r="AI181">
        <v>60</v>
      </c>
      <c r="AJ181">
        <v>18</v>
      </c>
      <c r="AK181">
        <v>7</v>
      </c>
      <c r="AL181" t="s">
        <v>2226</v>
      </c>
      <c r="AM181">
        <v>0</v>
      </c>
      <c r="AN181" t="s">
        <v>2177</v>
      </c>
      <c r="AO181" t="s">
        <v>2176</v>
      </c>
      <c r="AP181" t="s">
        <v>2177</v>
      </c>
      <c r="AQ181">
        <v>41.080000000000013</v>
      </c>
      <c r="AR181">
        <v>1</v>
      </c>
      <c r="AS181">
        <v>2</v>
      </c>
      <c r="AT181">
        <v>1</v>
      </c>
      <c r="AU181">
        <v>2</v>
      </c>
      <c r="AV181">
        <v>1.666666666666667</v>
      </c>
      <c r="AW181">
        <v>4.5</v>
      </c>
      <c r="AX181">
        <v>4.5999999999999996</v>
      </c>
      <c r="AY181">
        <v>4.8</v>
      </c>
      <c r="AZ181">
        <v>2</v>
      </c>
      <c r="BA181">
        <v>1</v>
      </c>
      <c r="BB181">
        <v>29</v>
      </c>
      <c r="BC181">
        <v>27</v>
      </c>
      <c r="BD181">
        <v>25.96</v>
      </c>
      <c r="BE181">
        <v>130</v>
      </c>
      <c r="BF181">
        <v>89.5</v>
      </c>
      <c r="BG181">
        <v>48</v>
      </c>
      <c r="BH181">
        <v>27</v>
      </c>
      <c r="BI181">
        <v>42.33</v>
      </c>
      <c r="BJ181">
        <v>216</v>
      </c>
      <c r="BK181">
        <v>88.2</v>
      </c>
      <c r="BL181">
        <v>304</v>
      </c>
      <c r="BM181">
        <v>3.0427</v>
      </c>
    </row>
    <row r="182" spans="1:65" x14ac:dyDescent="0.25">
      <c r="A182" t="s">
        <v>245</v>
      </c>
      <c r="B182" t="s">
        <v>1334</v>
      </c>
      <c r="C182" t="s">
        <v>2157</v>
      </c>
      <c r="D182" s="1">
        <v>45383</v>
      </c>
      <c r="E182" s="1">
        <v>45415</v>
      </c>
      <c r="F182" s="1">
        <v>45602</v>
      </c>
      <c r="G182" t="s">
        <v>2166</v>
      </c>
      <c r="H182" t="s">
        <v>2172</v>
      </c>
      <c r="I182" t="s">
        <v>2174</v>
      </c>
      <c r="J182">
        <v>45924</v>
      </c>
      <c r="K182">
        <v>1378</v>
      </c>
      <c r="L182">
        <v>5.0999999999999996</v>
      </c>
      <c r="M182">
        <v>4.5</v>
      </c>
      <c r="N182">
        <v>4</v>
      </c>
      <c r="O182">
        <v>1469</v>
      </c>
      <c r="P182" t="s">
        <v>2176</v>
      </c>
      <c r="Q182">
        <v>18</v>
      </c>
      <c r="R182">
        <v>30</v>
      </c>
      <c r="S182">
        <v>88</v>
      </c>
      <c r="T182">
        <v>526</v>
      </c>
      <c r="U182" t="s">
        <v>2183</v>
      </c>
      <c r="W182" t="s">
        <v>2209</v>
      </c>
      <c r="X182" t="s">
        <v>2211</v>
      </c>
      <c r="Y182" t="s">
        <v>2213</v>
      </c>
      <c r="Z182" s="1">
        <v>45585</v>
      </c>
      <c r="AA182" s="1">
        <v>45585</v>
      </c>
      <c r="AB182" t="s">
        <v>2214</v>
      </c>
      <c r="AC182" t="s">
        <v>2209</v>
      </c>
      <c r="AD182" t="s">
        <v>2219</v>
      </c>
      <c r="AE182" t="s">
        <v>2162</v>
      </c>
      <c r="AF182" t="s">
        <v>2163</v>
      </c>
      <c r="AG182" t="s">
        <v>2222</v>
      </c>
      <c r="AH182">
        <v>136</v>
      </c>
      <c r="AI182">
        <v>170</v>
      </c>
      <c r="AJ182">
        <v>34</v>
      </c>
      <c r="AK182">
        <v>5</v>
      </c>
      <c r="AL182" t="s">
        <v>2224</v>
      </c>
      <c r="AM182">
        <v>0</v>
      </c>
      <c r="AN182" t="s">
        <v>2176</v>
      </c>
      <c r="AO182" t="s">
        <v>2177</v>
      </c>
      <c r="AP182" t="s">
        <v>2176</v>
      </c>
      <c r="AQ182">
        <v>22.95</v>
      </c>
      <c r="AR182">
        <v>1</v>
      </c>
      <c r="AS182">
        <v>1</v>
      </c>
      <c r="AT182">
        <v>2</v>
      </c>
      <c r="AU182">
        <v>1</v>
      </c>
      <c r="AV182">
        <v>1.333333333333333</v>
      </c>
      <c r="AW182">
        <v>4.2</v>
      </c>
      <c r="AX182">
        <v>4.4000000000000004</v>
      </c>
      <c r="AY182">
        <v>4.8</v>
      </c>
      <c r="AZ182">
        <v>1</v>
      </c>
      <c r="BA182">
        <v>2</v>
      </c>
      <c r="BB182">
        <v>24</v>
      </c>
      <c r="BC182">
        <v>27</v>
      </c>
      <c r="BD182">
        <v>21.44</v>
      </c>
      <c r="BE182">
        <v>108</v>
      </c>
      <c r="BF182">
        <v>89.3</v>
      </c>
      <c r="BG182">
        <v>43</v>
      </c>
      <c r="BH182">
        <v>27</v>
      </c>
      <c r="BI182">
        <v>37.299999999999997</v>
      </c>
      <c r="BJ182">
        <v>193</v>
      </c>
      <c r="BK182">
        <v>86.7</v>
      </c>
      <c r="BL182">
        <v>279</v>
      </c>
      <c r="BM182">
        <v>15.743600000000001</v>
      </c>
    </row>
    <row r="183" spans="1:65" x14ac:dyDescent="0.25">
      <c r="A183" t="s">
        <v>246</v>
      </c>
      <c r="B183" t="s">
        <v>1335</v>
      </c>
      <c r="C183" t="s">
        <v>2159</v>
      </c>
      <c r="D183" s="1">
        <v>45348</v>
      </c>
      <c r="E183" s="1">
        <v>45389</v>
      </c>
      <c r="F183" s="1">
        <v>45467</v>
      </c>
      <c r="G183" t="s">
        <v>2162</v>
      </c>
      <c r="H183" t="s">
        <v>2168</v>
      </c>
      <c r="I183" t="s">
        <v>2176</v>
      </c>
      <c r="J183">
        <v>17989</v>
      </c>
      <c r="K183">
        <v>540</v>
      </c>
      <c r="L183">
        <v>4.9000000000000004</v>
      </c>
      <c r="M183">
        <v>9</v>
      </c>
      <c r="N183">
        <v>3</v>
      </c>
      <c r="O183">
        <v>3703</v>
      </c>
      <c r="P183" t="s">
        <v>2176</v>
      </c>
      <c r="Q183">
        <v>10</v>
      </c>
      <c r="R183">
        <v>14</v>
      </c>
      <c r="S183">
        <v>30</v>
      </c>
      <c r="T183">
        <v>605</v>
      </c>
      <c r="U183" t="s">
        <v>2193</v>
      </c>
      <c r="W183" t="s">
        <v>2209</v>
      </c>
      <c r="X183" t="s">
        <v>2211</v>
      </c>
      <c r="Y183" t="s">
        <v>2213</v>
      </c>
      <c r="Z183" s="1">
        <v>45462</v>
      </c>
      <c r="AA183" s="1">
        <v>45465</v>
      </c>
      <c r="AB183" t="s">
        <v>2214</v>
      </c>
      <c r="AC183" t="s">
        <v>2209</v>
      </c>
      <c r="AD183" t="s">
        <v>2219</v>
      </c>
      <c r="AE183" t="s">
        <v>2161</v>
      </c>
      <c r="AF183" t="s">
        <v>2165</v>
      </c>
      <c r="AG183" t="s">
        <v>2222</v>
      </c>
      <c r="AH183">
        <v>54</v>
      </c>
      <c r="AI183">
        <v>73</v>
      </c>
      <c r="AJ183">
        <v>19</v>
      </c>
      <c r="AK183">
        <v>4</v>
      </c>
      <c r="AL183" t="s">
        <v>2225</v>
      </c>
      <c r="AM183">
        <v>0</v>
      </c>
      <c r="AN183" t="s">
        <v>2176</v>
      </c>
      <c r="AO183" t="s">
        <v>2176</v>
      </c>
      <c r="AP183" t="s">
        <v>2176</v>
      </c>
      <c r="AQ183">
        <v>44.1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4.3</v>
      </c>
      <c r="AX183">
        <v>4.5999999999999996</v>
      </c>
      <c r="AY183">
        <v>4.2</v>
      </c>
      <c r="AZ183">
        <v>3</v>
      </c>
      <c r="BA183">
        <v>1</v>
      </c>
      <c r="BB183">
        <v>32</v>
      </c>
      <c r="BC183">
        <v>26</v>
      </c>
      <c r="BD183">
        <v>28.46</v>
      </c>
      <c r="BE183">
        <v>138</v>
      </c>
      <c r="BF183">
        <v>88.9</v>
      </c>
      <c r="BG183">
        <v>25</v>
      </c>
      <c r="BH183">
        <v>26</v>
      </c>
      <c r="BI183">
        <v>21.81</v>
      </c>
      <c r="BJ183">
        <v>104</v>
      </c>
      <c r="BK183">
        <v>87.2</v>
      </c>
      <c r="BL183">
        <v>341</v>
      </c>
      <c r="BM183">
        <v>5.0122999999999998</v>
      </c>
    </row>
    <row r="184" spans="1:65" x14ac:dyDescent="0.25">
      <c r="A184" t="s">
        <v>247</v>
      </c>
      <c r="B184" t="s">
        <v>1336</v>
      </c>
      <c r="C184" t="s">
        <v>2159</v>
      </c>
      <c r="D184" s="1">
        <v>45362</v>
      </c>
      <c r="E184" s="1">
        <v>45400</v>
      </c>
      <c r="F184" s="1">
        <v>45474</v>
      </c>
      <c r="G184" t="s">
        <v>2162</v>
      </c>
      <c r="H184" t="s">
        <v>2168</v>
      </c>
      <c r="I184" t="s">
        <v>2176</v>
      </c>
      <c r="J184">
        <v>17107</v>
      </c>
      <c r="K184">
        <v>514</v>
      </c>
      <c r="L184">
        <v>10.4</v>
      </c>
      <c r="M184">
        <v>5.0999999999999996</v>
      </c>
      <c r="N184">
        <v>5</v>
      </c>
      <c r="O184">
        <v>7924</v>
      </c>
      <c r="P184" t="s">
        <v>2177</v>
      </c>
      <c r="Q184">
        <v>10</v>
      </c>
      <c r="R184">
        <v>14</v>
      </c>
      <c r="S184">
        <v>25</v>
      </c>
      <c r="T184">
        <v>696</v>
      </c>
      <c r="U184" t="s">
        <v>2192</v>
      </c>
      <c r="W184" t="s">
        <v>2209</v>
      </c>
      <c r="X184" t="s">
        <v>2211</v>
      </c>
      <c r="Y184" t="s">
        <v>2213</v>
      </c>
      <c r="Z184" s="1">
        <v>45468</v>
      </c>
      <c r="AA184" s="1">
        <v>45473</v>
      </c>
      <c r="AB184" t="s">
        <v>2214</v>
      </c>
      <c r="AC184" t="s">
        <v>2209</v>
      </c>
      <c r="AD184" t="s">
        <v>2219</v>
      </c>
      <c r="AE184" t="s">
        <v>2164</v>
      </c>
      <c r="AF184" t="s">
        <v>2165</v>
      </c>
      <c r="AG184" t="s">
        <v>2222</v>
      </c>
      <c r="AH184">
        <v>49</v>
      </c>
      <c r="AI184">
        <v>68</v>
      </c>
      <c r="AJ184">
        <v>19</v>
      </c>
      <c r="AK184">
        <v>4</v>
      </c>
      <c r="AL184" t="s">
        <v>2225</v>
      </c>
      <c r="AM184">
        <v>0</v>
      </c>
      <c r="AN184" t="s">
        <v>2177</v>
      </c>
      <c r="AO184" t="s">
        <v>2177</v>
      </c>
      <c r="AP184" t="s">
        <v>2177</v>
      </c>
      <c r="AQ184">
        <v>53.04</v>
      </c>
      <c r="AR184">
        <v>2</v>
      </c>
      <c r="AS184">
        <v>2</v>
      </c>
      <c r="AT184">
        <v>2</v>
      </c>
      <c r="AU184">
        <v>2</v>
      </c>
      <c r="AV184">
        <v>2</v>
      </c>
      <c r="AW184">
        <v>4.5</v>
      </c>
      <c r="AX184">
        <v>4.5999999999999996</v>
      </c>
      <c r="AY184">
        <v>4.2</v>
      </c>
      <c r="AZ184">
        <v>3</v>
      </c>
      <c r="BA184">
        <v>1</v>
      </c>
      <c r="BB184">
        <v>30</v>
      </c>
      <c r="BC184">
        <v>26</v>
      </c>
      <c r="BD184">
        <v>26.42</v>
      </c>
      <c r="BE184">
        <v>126</v>
      </c>
      <c r="BF184">
        <v>88.1</v>
      </c>
      <c r="BG184">
        <v>25</v>
      </c>
      <c r="BH184">
        <v>26</v>
      </c>
      <c r="BI184">
        <v>21.81</v>
      </c>
      <c r="BJ184">
        <v>104</v>
      </c>
      <c r="BK184">
        <v>87.2</v>
      </c>
      <c r="BL184">
        <v>329</v>
      </c>
      <c r="BM184">
        <v>5.2202999999999999</v>
      </c>
    </row>
    <row r="185" spans="1:65" x14ac:dyDescent="0.25">
      <c r="A185" t="s">
        <v>248</v>
      </c>
      <c r="B185" t="s">
        <v>1337</v>
      </c>
      <c r="C185" t="s">
        <v>2157</v>
      </c>
      <c r="D185" s="1">
        <v>45362</v>
      </c>
      <c r="E185" s="1">
        <v>45393</v>
      </c>
      <c r="F185" s="1">
        <v>45573</v>
      </c>
      <c r="G185" t="s">
        <v>2166</v>
      </c>
      <c r="H185" t="s">
        <v>2172</v>
      </c>
      <c r="I185" t="s">
        <v>2176</v>
      </c>
      <c r="J185">
        <v>53774</v>
      </c>
      <c r="K185">
        <v>1614</v>
      </c>
      <c r="L185">
        <v>8.3000000000000007</v>
      </c>
      <c r="M185">
        <v>5.8</v>
      </c>
      <c r="N185">
        <v>2</v>
      </c>
      <c r="O185">
        <v>9035</v>
      </c>
      <c r="P185" t="s">
        <v>2176</v>
      </c>
      <c r="Q185">
        <v>18</v>
      </c>
      <c r="R185">
        <v>30</v>
      </c>
      <c r="S185">
        <v>92</v>
      </c>
      <c r="T185">
        <v>590</v>
      </c>
      <c r="U185" t="s">
        <v>2183</v>
      </c>
      <c r="W185" t="s">
        <v>2209</v>
      </c>
      <c r="X185" t="s">
        <v>2211</v>
      </c>
      <c r="Y185" t="s">
        <v>2213</v>
      </c>
      <c r="Z185" s="1">
        <v>45567</v>
      </c>
      <c r="AA185" s="1">
        <v>45571</v>
      </c>
      <c r="AB185" t="s">
        <v>2214</v>
      </c>
      <c r="AC185" t="s">
        <v>2209</v>
      </c>
      <c r="AD185" t="s">
        <v>2219</v>
      </c>
      <c r="AE185" t="s">
        <v>2162</v>
      </c>
      <c r="AF185" t="s">
        <v>2163</v>
      </c>
      <c r="AG185" t="s">
        <v>2222</v>
      </c>
      <c r="AH185">
        <v>140</v>
      </c>
      <c r="AI185">
        <v>174</v>
      </c>
      <c r="AJ185">
        <v>34</v>
      </c>
      <c r="AK185">
        <v>4</v>
      </c>
      <c r="AL185" t="s">
        <v>2225</v>
      </c>
      <c r="AM185">
        <v>0</v>
      </c>
      <c r="AN185" t="s">
        <v>2177</v>
      </c>
      <c r="AO185" t="s">
        <v>2176</v>
      </c>
      <c r="AP185" t="s">
        <v>2177</v>
      </c>
      <c r="AQ185">
        <v>48.14</v>
      </c>
      <c r="AR185">
        <v>1</v>
      </c>
      <c r="AS185">
        <v>2</v>
      </c>
      <c r="AT185">
        <v>1</v>
      </c>
      <c r="AU185">
        <v>2</v>
      </c>
      <c r="AV185">
        <v>1.666666666666667</v>
      </c>
      <c r="AW185">
        <v>4.2</v>
      </c>
      <c r="AX185">
        <v>4.4000000000000004</v>
      </c>
      <c r="AY185">
        <v>4.8</v>
      </c>
      <c r="AZ185">
        <v>1</v>
      </c>
      <c r="BA185">
        <v>1</v>
      </c>
      <c r="BB185">
        <v>25</v>
      </c>
      <c r="BC185">
        <v>26</v>
      </c>
      <c r="BD185">
        <v>21.81</v>
      </c>
      <c r="BE185">
        <v>104</v>
      </c>
      <c r="BF185">
        <v>87.2</v>
      </c>
      <c r="BG185">
        <v>45</v>
      </c>
      <c r="BH185">
        <v>26</v>
      </c>
      <c r="BI185">
        <v>40.270000000000003</v>
      </c>
      <c r="BJ185">
        <v>199</v>
      </c>
      <c r="BK185">
        <v>89.5</v>
      </c>
      <c r="BL185">
        <v>236</v>
      </c>
      <c r="BM185">
        <v>19.8795</v>
      </c>
    </row>
    <row r="186" spans="1:65" x14ac:dyDescent="0.25">
      <c r="A186" t="s">
        <v>249</v>
      </c>
      <c r="B186" t="s">
        <v>1329</v>
      </c>
      <c r="C186" t="s">
        <v>2157</v>
      </c>
      <c r="D186" s="1">
        <v>45369</v>
      </c>
      <c r="E186" s="1">
        <v>45412</v>
      </c>
      <c r="F186" s="1">
        <v>45532</v>
      </c>
      <c r="G186" t="s">
        <v>2166</v>
      </c>
      <c r="H186" t="s">
        <v>2172</v>
      </c>
      <c r="I186" t="s">
        <v>2175</v>
      </c>
      <c r="J186">
        <v>44633</v>
      </c>
      <c r="K186">
        <v>1339</v>
      </c>
      <c r="L186">
        <v>12.6</v>
      </c>
      <c r="M186">
        <v>12.6</v>
      </c>
      <c r="N186">
        <v>6</v>
      </c>
      <c r="O186">
        <v>18482</v>
      </c>
      <c r="P186" t="s">
        <v>2177</v>
      </c>
      <c r="Q186">
        <v>18</v>
      </c>
      <c r="R186">
        <v>30</v>
      </c>
      <c r="S186">
        <v>52</v>
      </c>
      <c r="T186">
        <v>867</v>
      </c>
      <c r="U186" t="s">
        <v>2183</v>
      </c>
      <c r="W186" t="s">
        <v>2209</v>
      </c>
      <c r="X186" t="s">
        <v>2211</v>
      </c>
      <c r="Y186" t="s">
        <v>2213</v>
      </c>
      <c r="Z186" s="1">
        <v>45539</v>
      </c>
      <c r="AA186" s="1">
        <v>45543</v>
      </c>
      <c r="AB186" t="s">
        <v>2215</v>
      </c>
      <c r="AC186" t="s">
        <v>2208</v>
      </c>
      <c r="AD186" t="s">
        <v>2219</v>
      </c>
      <c r="AE186" t="s">
        <v>2162</v>
      </c>
      <c r="AF186" t="s">
        <v>2163</v>
      </c>
      <c r="AG186" t="s">
        <v>2222</v>
      </c>
      <c r="AH186">
        <v>100</v>
      </c>
      <c r="AI186">
        <v>127</v>
      </c>
      <c r="AJ186">
        <v>27</v>
      </c>
      <c r="AK186">
        <v>4</v>
      </c>
      <c r="AL186" t="s">
        <v>2225</v>
      </c>
      <c r="AM186">
        <v>0</v>
      </c>
      <c r="AN186" t="s">
        <v>2175</v>
      </c>
      <c r="AO186" t="s">
        <v>2177</v>
      </c>
      <c r="AP186" t="s">
        <v>2175</v>
      </c>
      <c r="AQ186">
        <v>158.76</v>
      </c>
      <c r="AR186">
        <v>2</v>
      </c>
      <c r="AS186">
        <v>3</v>
      </c>
      <c r="AT186">
        <v>2</v>
      </c>
      <c r="AU186">
        <v>3</v>
      </c>
      <c r="AV186">
        <v>2.666666666666667</v>
      </c>
      <c r="AW186">
        <v>4.2</v>
      </c>
      <c r="AX186">
        <v>4.4000000000000004</v>
      </c>
      <c r="AY186">
        <v>4.8</v>
      </c>
      <c r="AZ186">
        <v>1</v>
      </c>
      <c r="BA186">
        <v>0</v>
      </c>
      <c r="BB186">
        <v>25</v>
      </c>
      <c r="BC186">
        <v>26</v>
      </c>
      <c r="BD186">
        <v>21.81</v>
      </c>
      <c r="BE186">
        <v>104</v>
      </c>
      <c r="BF186">
        <v>87.2</v>
      </c>
      <c r="BG186">
        <v>45</v>
      </c>
      <c r="BH186">
        <v>26</v>
      </c>
      <c r="BI186">
        <v>40.270000000000003</v>
      </c>
      <c r="BJ186">
        <v>199</v>
      </c>
      <c r="BK186">
        <v>89.5</v>
      </c>
      <c r="BL186">
        <v>236</v>
      </c>
      <c r="BM186">
        <v>16.5002</v>
      </c>
    </row>
    <row r="187" spans="1:65" x14ac:dyDescent="0.25">
      <c r="A187" t="s">
        <v>250</v>
      </c>
      <c r="B187" t="s">
        <v>1338</v>
      </c>
      <c r="C187" t="s">
        <v>2157</v>
      </c>
      <c r="D187" s="1">
        <v>45334</v>
      </c>
      <c r="E187" s="1">
        <v>45375</v>
      </c>
      <c r="F187" s="1">
        <v>45536</v>
      </c>
      <c r="G187" t="s">
        <v>2162</v>
      </c>
      <c r="H187" t="s">
        <v>2168</v>
      </c>
      <c r="I187" t="s">
        <v>2174</v>
      </c>
      <c r="J187">
        <v>45548</v>
      </c>
      <c r="K187">
        <v>1367</v>
      </c>
      <c r="L187">
        <v>8</v>
      </c>
      <c r="M187">
        <v>7.6</v>
      </c>
      <c r="N187">
        <v>3</v>
      </c>
      <c r="O187">
        <v>5012</v>
      </c>
      <c r="P187" t="s">
        <v>2176</v>
      </c>
      <c r="Q187">
        <v>18</v>
      </c>
      <c r="R187">
        <v>30</v>
      </c>
      <c r="S187">
        <v>73</v>
      </c>
      <c r="T187">
        <v>630</v>
      </c>
      <c r="U187" t="s">
        <v>2188</v>
      </c>
      <c r="W187" t="s">
        <v>2209</v>
      </c>
      <c r="X187" t="s">
        <v>2211</v>
      </c>
      <c r="Y187" t="s">
        <v>2213</v>
      </c>
      <c r="Z187" s="1">
        <v>45526</v>
      </c>
      <c r="AA187" s="1">
        <v>45528</v>
      </c>
      <c r="AB187" t="s">
        <v>2214</v>
      </c>
      <c r="AC187" t="s">
        <v>2209</v>
      </c>
      <c r="AD187" t="s">
        <v>2219</v>
      </c>
      <c r="AE187" t="s">
        <v>2162</v>
      </c>
      <c r="AF187" t="s">
        <v>2165</v>
      </c>
      <c r="AG187" t="s">
        <v>2222</v>
      </c>
      <c r="AH187">
        <v>121</v>
      </c>
      <c r="AI187">
        <v>151</v>
      </c>
      <c r="AJ187">
        <v>30</v>
      </c>
      <c r="AK187">
        <v>3</v>
      </c>
      <c r="AL187" t="s">
        <v>2227</v>
      </c>
      <c r="AM187">
        <v>0</v>
      </c>
      <c r="AN187" t="s">
        <v>2177</v>
      </c>
      <c r="AO187" t="s">
        <v>2176</v>
      </c>
      <c r="AP187" t="s">
        <v>2176</v>
      </c>
      <c r="AQ187">
        <v>60.8</v>
      </c>
      <c r="AR187">
        <v>1</v>
      </c>
      <c r="AS187">
        <v>2</v>
      </c>
      <c r="AT187">
        <v>1</v>
      </c>
      <c r="AU187">
        <v>1</v>
      </c>
      <c r="AV187">
        <v>1.333333333333333</v>
      </c>
      <c r="AW187">
        <v>4.2</v>
      </c>
      <c r="AX187">
        <v>4.5999999999999996</v>
      </c>
      <c r="AY187">
        <v>4.2</v>
      </c>
      <c r="AZ187">
        <v>1</v>
      </c>
      <c r="BA187">
        <v>2</v>
      </c>
      <c r="BB187">
        <v>31</v>
      </c>
      <c r="BC187">
        <v>26</v>
      </c>
      <c r="BD187">
        <v>27.27</v>
      </c>
      <c r="BE187">
        <v>130</v>
      </c>
      <c r="BF187">
        <v>88</v>
      </c>
      <c r="BG187">
        <v>31</v>
      </c>
      <c r="BH187">
        <v>26</v>
      </c>
      <c r="BI187">
        <v>27.27</v>
      </c>
      <c r="BJ187">
        <v>130</v>
      </c>
      <c r="BK187">
        <v>88</v>
      </c>
      <c r="BL187">
        <v>342</v>
      </c>
      <c r="BM187">
        <v>13.4718</v>
      </c>
    </row>
    <row r="188" spans="1:65" x14ac:dyDescent="0.25">
      <c r="A188" t="s">
        <v>251</v>
      </c>
      <c r="B188" t="s">
        <v>1242</v>
      </c>
      <c r="C188" t="s">
        <v>2159</v>
      </c>
      <c r="D188" s="1">
        <v>45418</v>
      </c>
      <c r="E188" s="1">
        <v>45454</v>
      </c>
      <c r="F188" s="1">
        <v>45565</v>
      </c>
      <c r="G188" t="s">
        <v>2166</v>
      </c>
      <c r="H188" t="s">
        <v>2172</v>
      </c>
      <c r="I188" t="s">
        <v>2174</v>
      </c>
      <c r="J188">
        <v>23354</v>
      </c>
      <c r="K188">
        <v>701</v>
      </c>
      <c r="L188">
        <v>7.5</v>
      </c>
      <c r="M188">
        <v>7.4</v>
      </c>
      <c r="N188">
        <v>1</v>
      </c>
      <c r="O188">
        <v>4145</v>
      </c>
      <c r="P188" t="s">
        <v>2176</v>
      </c>
      <c r="Q188">
        <v>14</v>
      </c>
      <c r="R188">
        <v>20</v>
      </c>
      <c r="S188">
        <v>37</v>
      </c>
      <c r="T188">
        <v>644</v>
      </c>
      <c r="U188" t="s">
        <v>2194</v>
      </c>
      <c r="W188" t="s">
        <v>2209</v>
      </c>
      <c r="X188" t="s">
        <v>2211</v>
      </c>
      <c r="Y188" t="s">
        <v>2213</v>
      </c>
      <c r="Z188" s="1">
        <v>45547</v>
      </c>
      <c r="AA188" s="1">
        <v>45550</v>
      </c>
      <c r="AB188" t="s">
        <v>2214</v>
      </c>
      <c r="AC188" t="s">
        <v>2209</v>
      </c>
      <c r="AD188" t="s">
        <v>2219</v>
      </c>
      <c r="AE188" t="s">
        <v>2166</v>
      </c>
      <c r="AF188" t="s">
        <v>2165</v>
      </c>
      <c r="AG188" t="s">
        <v>2222</v>
      </c>
      <c r="AH188">
        <v>71</v>
      </c>
      <c r="AI188">
        <v>93</v>
      </c>
      <c r="AJ188">
        <v>22</v>
      </c>
      <c r="AK188">
        <v>6</v>
      </c>
      <c r="AL188" t="s">
        <v>2223</v>
      </c>
      <c r="AM188">
        <v>0</v>
      </c>
      <c r="AN188" t="s">
        <v>2177</v>
      </c>
      <c r="AO188" t="s">
        <v>2176</v>
      </c>
      <c r="AP188" t="s">
        <v>2176</v>
      </c>
      <c r="AQ188">
        <v>55.5</v>
      </c>
      <c r="AR188">
        <v>1</v>
      </c>
      <c r="AS188">
        <v>2</v>
      </c>
      <c r="AT188">
        <v>1</v>
      </c>
      <c r="AU188">
        <v>1</v>
      </c>
      <c r="AV188">
        <v>1.333333333333333</v>
      </c>
      <c r="AW188">
        <v>4.8</v>
      </c>
      <c r="AX188">
        <v>4.5999999999999996</v>
      </c>
      <c r="AY188">
        <v>4.8</v>
      </c>
      <c r="AZ188">
        <v>3</v>
      </c>
      <c r="BA188">
        <v>2</v>
      </c>
      <c r="BB188">
        <v>45</v>
      </c>
      <c r="BC188">
        <v>25</v>
      </c>
      <c r="BD188">
        <v>39.200000000000003</v>
      </c>
      <c r="BE188">
        <v>186</v>
      </c>
      <c r="BF188">
        <v>87.1</v>
      </c>
      <c r="BG188">
        <v>45</v>
      </c>
      <c r="BH188">
        <v>25</v>
      </c>
      <c r="BI188">
        <v>39.200000000000003</v>
      </c>
      <c r="BJ188">
        <v>186</v>
      </c>
      <c r="BK188">
        <v>87.1</v>
      </c>
      <c r="BL188">
        <v>347</v>
      </c>
      <c r="BM188">
        <v>5.0213000000000001</v>
      </c>
    </row>
    <row r="189" spans="1:65" x14ac:dyDescent="0.25">
      <c r="A189" t="s">
        <v>252</v>
      </c>
      <c r="B189" t="s">
        <v>1312</v>
      </c>
      <c r="C189" t="s">
        <v>2160</v>
      </c>
      <c r="D189" s="1">
        <v>45432</v>
      </c>
      <c r="E189" s="1">
        <v>45476</v>
      </c>
      <c r="F189" s="1">
        <v>45553</v>
      </c>
      <c r="G189" t="s">
        <v>2164</v>
      </c>
      <c r="H189" t="s">
        <v>2170</v>
      </c>
      <c r="I189" t="s">
        <v>2174</v>
      </c>
      <c r="J189">
        <v>13778</v>
      </c>
      <c r="K189">
        <v>414</v>
      </c>
      <c r="L189">
        <v>1.3</v>
      </c>
      <c r="M189">
        <v>4.5999999999999996</v>
      </c>
      <c r="N189">
        <v>1</v>
      </c>
      <c r="O189">
        <v>3402</v>
      </c>
      <c r="P189" t="s">
        <v>2176</v>
      </c>
      <c r="Q189">
        <v>10</v>
      </c>
      <c r="R189">
        <v>14</v>
      </c>
      <c r="S189">
        <v>22</v>
      </c>
      <c r="T189">
        <v>645</v>
      </c>
      <c r="U189" t="s">
        <v>2195</v>
      </c>
      <c r="W189" t="s">
        <v>2209</v>
      </c>
      <c r="X189" t="s">
        <v>2211</v>
      </c>
      <c r="Y189" t="s">
        <v>2213</v>
      </c>
      <c r="Z189" s="1">
        <v>45540</v>
      </c>
      <c r="AA189" s="1">
        <v>45543</v>
      </c>
      <c r="AB189" t="s">
        <v>2214</v>
      </c>
      <c r="AC189" t="s">
        <v>2209</v>
      </c>
      <c r="AD189" t="s">
        <v>2219</v>
      </c>
      <c r="AE189" t="s">
        <v>2164</v>
      </c>
      <c r="AF189" t="s">
        <v>2161</v>
      </c>
      <c r="AG189" t="s">
        <v>2222</v>
      </c>
      <c r="AH189">
        <v>46</v>
      </c>
      <c r="AI189">
        <v>64</v>
      </c>
      <c r="AJ189">
        <v>18</v>
      </c>
      <c r="AK189">
        <v>7</v>
      </c>
      <c r="AL189" t="s">
        <v>2226</v>
      </c>
      <c r="AM189">
        <v>0</v>
      </c>
      <c r="AN189" t="s">
        <v>2176</v>
      </c>
      <c r="AO189" t="s">
        <v>2176</v>
      </c>
      <c r="AP189" t="s">
        <v>2176</v>
      </c>
      <c r="AQ189">
        <v>5.98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4.5</v>
      </c>
      <c r="AX189">
        <v>4.3</v>
      </c>
      <c r="AY189">
        <v>4.5</v>
      </c>
      <c r="AZ189">
        <v>0</v>
      </c>
      <c r="BA189">
        <v>2</v>
      </c>
      <c r="BB189">
        <v>29</v>
      </c>
      <c r="BC189">
        <v>27</v>
      </c>
      <c r="BD189">
        <v>25.96</v>
      </c>
      <c r="BE189">
        <v>130</v>
      </c>
      <c r="BF189">
        <v>89.5</v>
      </c>
      <c r="BG189">
        <v>29</v>
      </c>
      <c r="BH189">
        <v>27</v>
      </c>
      <c r="BI189">
        <v>25.96</v>
      </c>
      <c r="BJ189">
        <v>130</v>
      </c>
      <c r="BK189">
        <v>89.5</v>
      </c>
      <c r="BL189">
        <v>259</v>
      </c>
      <c r="BM189">
        <v>3.9241999999999999</v>
      </c>
    </row>
    <row r="190" spans="1:65" x14ac:dyDescent="0.25">
      <c r="A190" t="s">
        <v>253</v>
      </c>
      <c r="B190" t="s">
        <v>1315</v>
      </c>
      <c r="C190" t="s">
        <v>2158</v>
      </c>
      <c r="D190" s="1">
        <v>45369</v>
      </c>
      <c r="E190" s="1">
        <v>45411</v>
      </c>
      <c r="F190" s="1">
        <v>45487</v>
      </c>
      <c r="G190" t="s">
        <v>2163</v>
      </c>
      <c r="H190" t="s">
        <v>2169</v>
      </c>
      <c r="I190" t="s">
        <v>2176</v>
      </c>
      <c r="J190">
        <v>18829</v>
      </c>
      <c r="K190">
        <v>565</v>
      </c>
      <c r="L190">
        <v>3.4</v>
      </c>
      <c r="M190">
        <v>9.3000000000000007</v>
      </c>
      <c r="N190">
        <v>3</v>
      </c>
      <c r="O190">
        <v>8059</v>
      </c>
      <c r="P190" t="s">
        <v>2176</v>
      </c>
      <c r="Q190">
        <v>10</v>
      </c>
      <c r="R190">
        <v>14</v>
      </c>
      <c r="S190">
        <v>25</v>
      </c>
      <c r="T190">
        <v>778</v>
      </c>
      <c r="U190" t="s">
        <v>2187</v>
      </c>
      <c r="W190" t="s">
        <v>2209</v>
      </c>
      <c r="X190" t="s">
        <v>2211</v>
      </c>
      <c r="Y190" t="s">
        <v>2213</v>
      </c>
      <c r="Z190" s="1">
        <v>45478</v>
      </c>
      <c r="AA190" s="1">
        <v>45480</v>
      </c>
      <c r="AB190" t="s">
        <v>2214</v>
      </c>
      <c r="AC190" t="s">
        <v>2209</v>
      </c>
      <c r="AD190" t="s">
        <v>2219</v>
      </c>
      <c r="AE190" t="s">
        <v>2161</v>
      </c>
      <c r="AF190" t="s">
        <v>2162</v>
      </c>
      <c r="AG190" t="s">
        <v>2222</v>
      </c>
      <c r="AH190">
        <v>49</v>
      </c>
      <c r="AI190">
        <v>67</v>
      </c>
      <c r="AJ190">
        <v>18</v>
      </c>
      <c r="AK190">
        <v>4</v>
      </c>
      <c r="AL190" t="s">
        <v>2225</v>
      </c>
      <c r="AM190">
        <v>0</v>
      </c>
      <c r="AN190" t="s">
        <v>2176</v>
      </c>
      <c r="AO190" t="s">
        <v>2176</v>
      </c>
      <c r="AP190" t="s">
        <v>2177</v>
      </c>
      <c r="AQ190">
        <v>31.62</v>
      </c>
      <c r="AR190">
        <v>1</v>
      </c>
      <c r="AS190">
        <v>1</v>
      </c>
      <c r="AT190">
        <v>1</v>
      </c>
      <c r="AU190">
        <v>2</v>
      </c>
      <c r="AV190">
        <v>1.333333333333333</v>
      </c>
      <c r="AW190">
        <v>4.3</v>
      </c>
      <c r="AX190">
        <v>4.2</v>
      </c>
      <c r="AY190">
        <v>4.4000000000000004</v>
      </c>
      <c r="AZ190">
        <v>2</v>
      </c>
      <c r="BA190">
        <v>1</v>
      </c>
      <c r="BB190">
        <v>32</v>
      </c>
      <c r="BC190">
        <v>26</v>
      </c>
      <c r="BD190">
        <v>28.46</v>
      </c>
      <c r="BE190">
        <v>138</v>
      </c>
      <c r="BF190">
        <v>88.9</v>
      </c>
      <c r="BG190">
        <v>31</v>
      </c>
      <c r="BH190">
        <v>26</v>
      </c>
      <c r="BI190">
        <v>27.23</v>
      </c>
      <c r="BJ190">
        <v>132</v>
      </c>
      <c r="BK190">
        <v>87.8</v>
      </c>
      <c r="BL190">
        <v>242</v>
      </c>
      <c r="BM190">
        <v>5.2462999999999997</v>
      </c>
    </row>
    <row r="191" spans="1:65" x14ac:dyDescent="0.25">
      <c r="A191" t="s">
        <v>254</v>
      </c>
      <c r="B191" t="s">
        <v>1339</v>
      </c>
      <c r="C191" t="s">
        <v>2158</v>
      </c>
      <c r="D191" s="1">
        <v>45418</v>
      </c>
      <c r="E191" s="1">
        <v>45459</v>
      </c>
      <c r="F191" s="1">
        <v>45521</v>
      </c>
      <c r="G191" t="s">
        <v>2162</v>
      </c>
      <c r="H191" t="s">
        <v>2168</v>
      </c>
      <c r="I191" t="s">
        <v>2173</v>
      </c>
      <c r="J191">
        <v>15404</v>
      </c>
      <c r="K191">
        <v>463</v>
      </c>
      <c r="L191">
        <v>13</v>
      </c>
      <c r="M191">
        <v>14</v>
      </c>
      <c r="N191">
        <v>4</v>
      </c>
      <c r="O191">
        <v>11474</v>
      </c>
      <c r="P191" t="s">
        <v>2177</v>
      </c>
      <c r="Q191">
        <v>10</v>
      </c>
      <c r="R191">
        <v>14</v>
      </c>
      <c r="S191">
        <v>18</v>
      </c>
      <c r="T191">
        <v>896</v>
      </c>
      <c r="U191" t="s">
        <v>2181</v>
      </c>
      <c r="W191" t="s">
        <v>2209</v>
      </c>
      <c r="X191" t="s">
        <v>2211</v>
      </c>
      <c r="Y191" t="s">
        <v>2213</v>
      </c>
      <c r="Z191" s="1">
        <v>45518</v>
      </c>
      <c r="AA191" s="1">
        <v>45522</v>
      </c>
      <c r="AB191" t="s">
        <v>2214</v>
      </c>
      <c r="AC191" t="s">
        <v>2209</v>
      </c>
      <c r="AD191" t="s">
        <v>2219</v>
      </c>
      <c r="AE191" t="s">
        <v>2166</v>
      </c>
      <c r="AF191" t="s">
        <v>2163</v>
      </c>
      <c r="AG191" t="s">
        <v>2222</v>
      </c>
      <c r="AH191">
        <v>42</v>
      </c>
      <c r="AI191">
        <v>59</v>
      </c>
      <c r="AJ191">
        <v>17</v>
      </c>
      <c r="AK191">
        <v>6</v>
      </c>
      <c r="AL191" t="s">
        <v>2223</v>
      </c>
      <c r="AM191">
        <v>0</v>
      </c>
      <c r="AN191" t="s">
        <v>2175</v>
      </c>
      <c r="AO191" t="s">
        <v>2177</v>
      </c>
      <c r="AP191" t="s">
        <v>2177</v>
      </c>
      <c r="AQ191">
        <v>182</v>
      </c>
      <c r="AR191">
        <v>2</v>
      </c>
      <c r="AS191">
        <v>3</v>
      </c>
      <c r="AT191">
        <v>2</v>
      </c>
      <c r="AU191">
        <v>2</v>
      </c>
      <c r="AV191">
        <v>2.333333333333333</v>
      </c>
      <c r="AW191">
        <v>4.8</v>
      </c>
      <c r="AX191">
        <v>4.4000000000000004</v>
      </c>
      <c r="AY191">
        <v>4.2</v>
      </c>
      <c r="AZ191">
        <v>2</v>
      </c>
      <c r="BA191">
        <v>3</v>
      </c>
      <c r="BB191">
        <v>45</v>
      </c>
      <c r="BC191">
        <v>25</v>
      </c>
      <c r="BD191">
        <v>39.200000000000003</v>
      </c>
      <c r="BE191">
        <v>186</v>
      </c>
      <c r="BF191">
        <v>87.1</v>
      </c>
      <c r="BG191">
        <v>29</v>
      </c>
      <c r="BH191">
        <v>25</v>
      </c>
      <c r="BI191">
        <v>25.56</v>
      </c>
      <c r="BJ191">
        <v>117</v>
      </c>
      <c r="BK191">
        <v>88.1</v>
      </c>
      <c r="BL191">
        <v>307</v>
      </c>
      <c r="BM191">
        <v>3.3119999999999998</v>
      </c>
    </row>
    <row r="192" spans="1:65" x14ac:dyDescent="0.25">
      <c r="A192" t="s">
        <v>255</v>
      </c>
      <c r="B192" t="s">
        <v>1340</v>
      </c>
      <c r="C192" t="s">
        <v>2157</v>
      </c>
      <c r="D192" s="1">
        <v>45362</v>
      </c>
      <c r="E192" s="1">
        <v>45399</v>
      </c>
      <c r="F192" s="1">
        <v>45527</v>
      </c>
      <c r="G192" t="s">
        <v>2161</v>
      </c>
      <c r="H192" t="s">
        <v>2167</v>
      </c>
      <c r="I192" t="s">
        <v>2173</v>
      </c>
      <c r="J192">
        <v>42238</v>
      </c>
      <c r="K192">
        <v>1268</v>
      </c>
      <c r="L192">
        <v>8.3000000000000007</v>
      </c>
      <c r="M192">
        <v>10.4</v>
      </c>
      <c r="N192">
        <v>7</v>
      </c>
      <c r="O192">
        <v>14452</v>
      </c>
      <c r="P192" t="s">
        <v>2177</v>
      </c>
      <c r="Q192">
        <v>18</v>
      </c>
      <c r="R192">
        <v>30</v>
      </c>
      <c r="S192">
        <v>50</v>
      </c>
      <c r="T192">
        <v>855</v>
      </c>
      <c r="U192" t="s">
        <v>2183</v>
      </c>
      <c r="W192" t="s">
        <v>2209</v>
      </c>
      <c r="X192" t="s">
        <v>2211</v>
      </c>
      <c r="Y192" t="s">
        <v>2213</v>
      </c>
      <c r="Z192" s="1">
        <v>45524</v>
      </c>
      <c r="AA192" s="1">
        <v>45529</v>
      </c>
      <c r="AB192" t="s">
        <v>2214</v>
      </c>
      <c r="AC192" t="s">
        <v>2209</v>
      </c>
      <c r="AD192" t="s">
        <v>2219</v>
      </c>
      <c r="AE192" t="s">
        <v>2162</v>
      </c>
      <c r="AF192" t="s">
        <v>2163</v>
      </c>
      <c r="AG192" t="s">
        <v>2222</v>
      </c>
      <c r="AH192">
        <v>98</v>
      </c>
      <c r="AI192">
        <v>125</v>
      </c>
      <c r="AJ192">
        <v>27</v>
      </c>
      <c r="AK192">
        <v>4</v>
      </c>
      <c r="AL192" t="s">
        <v>2225</v>
      </c>
      <c r="AM192">
        <v>0</v>
      </c>
      <c r="AN192" t="s">
        <v>2177</v>
      </c>
      <c r="AO192" t="s">
        <v>2175</v>
      </c>
      <c r="AP192" t="s">
        <v>2177</v>
      </c>
      <c r="AQ192">
        <v>86.320000000000007</v>
      </c>
      <c r="AR192">
        <v>2</v>
      </c>
      <c r="AS192">
        <v>2</v>
      </c>
      <c r="AT192">
        <v>3</v>
      </c>
      <c r="AU192">
        <v>2</v>
      </c>
      <c r="AV192">
        <v>2.333333333333333</v>
      </c>
      <c r="AW192">
        <v>4.2</v>
      </c>
      <c r="AX192">
        <v>4.4000000000000004</v>
      </c>
      <c r="AY192">
        <v>4.3</v>
      </c>
      <c r="AZ192">
        <v>1</v>
      </c>
      <c r="BA192">
        <v>3</v>
      </c>
      <c r="BB192">
        <v>25</v>
      </c>
      <c r="BC192">
        <v>26</v>
      </c>
      <c r="BD192">
        <v>21.81</v>
      </c>
      <c r="BE192">
        <v>104</v>
      </c>
      <c r="BF192">
        <v>87.2</v>
      </c>
      <c r="BG192">
        <v>32</v>
      </c>
      <c r="BH192">
        <v>26</v>
      </c>
      <c r="BI192">
        <v>28.46</v>
      </c>
      <c r="BJ192">
        <v>138</v>
      </c>
      <c r="BK192">
        <v>88.9</v>
      </c>
      <c r="BL192">
        <v>236</v>
      </c>
      <c r="BM192">
        <v>15.614800000000001</v>
      </c>
    </row>
    <row r="193" spans="1:65" x14ac:dyDescent="0.25">
      <c r="A193" t="s">
        <v>256</v>
      </c>
      <c r="B193" t="s">
        <v>1341</v>
      </c>
      <c r="C193" t="s">
        <v>2160</v>
      </c>
      <c r="D193" s="1">
        <v>45411</v>
      </c>
      <c r="E193" s="1">
        <v>45445</v>
      </c>
      <c r="F193" s="1">
        <v>45506</v>
      </c>
      <c r="G193" t="s">
        <v>2164</v>
      </c>
      <c r="H193" t="s">
        <v>2170</v>
      </c>
      <c r="I193" t="s">
        <v>2175</v>
      </c>
      <c r="J193">
        <v>14577</v>
      </c>
      <c r="K193">
        <v>438</v>
      </c>
      <c r="L193">
        <v>18.399999999999999</v>
      </c>
      <c r="M193">
        <v>13.7</v>
      </c>
      <c r="N193">
        <v>6</v>
      </c>
      <c r="O193">
        <v>18320</v>
      </c>
      <c r="P193" t="s">
        <v>2178</v>
      </c>
      <c r="Q193">
        <v>10</v>
      </c>
      <c r="R193">
        <v>14</v>
      </c>
      <c r="S193">
        <v>18</v>
      </c>
      <c r="T193">
        <v>825</v>
      </c>
      <c r="U193" t="s">
        <v>2196</v>
      </c>
      <c r="W193" t="s">
        <v>2209</v>
      </c>
      <c r="X193" t="s">
        <v>2211</v>
      </c>
      <c r="Y193" t="s">
        <v>2213</v>
      </c>
      <c r="Z193" s="1">
        <v>45504</v>
      </c>
      <c r="AA193" s="1">
        <v>45508</v>
      </c>
      <c r="AB193" t="s">
        <v>2214</v>
      </c>
      <c r="AC193" t="s">
        <v>2209</v>
      </c>
      <c r="AD193" t="s">
        <v>2219</v>
      </c>
      <c r="AE193" t="s">
        <v>2165</v>
      </c>
      <c r="AF193" t="s">
        <v>2163</v>
      </c>
      <c r="AG193" t="s">
        <v>2222</v>
      </c>
      <c r="AH193">
        <v>42</v>
      </c>
      <c r="AI193">
        <v>59</v>
      </c>
      <c r="AJ193">
        <v>17</v>
      </c>
      <c r="AK193">
        <v>6</v>
      </c>
      <c r="AL193" t="s">
        <v>2223</v>
      </c>
      <c r="AM193">
        <v>0</v>
      </c>
      <c r="AN193" t="s">
        <v>2175</v>
      </c>
      <c r="AO193" t="s">
        <v>2177</v>
      </c>
      <c r="AP193" t="s">
        <v>2175</v>
      </c>
      <c r="AQ193">
        <v>252.08</v>
      </c>
      <c r="AR193">
        <v>3</v>
      </c>
      <c r="AS193">
        <v>3</v>
      </c>
      <c r="AT193">
        <v>2</v>
      </c>
      <c r="AU193">
        <v>3</v>
      </c>
      <c r="AV193">
        <v>2.666666666666667</v>
      </c>
      <c r="AW193">
        <v>4.5999999999999996</v>
      </c>
      <c r="AX193">
        <v>4.4000000000000004</v>
      </c>
      <c r="AY193">
        <v>4.5</v>
      </c>
      <c r="AZ193">
        <v>0</v>
      </c>
      <c r="BA193">
        <v>0</v>
      </c>
      <c r="BB193">
        <v>40</v>
      </c>
      <c r="BC193">
        <v>25</v>
      </c>
      <c r="BD193">
        <v>34.72</v>
      </c>
      <c r="BE193">
        <v>161</v>
      </c>
      <c r="BF193">
        <v>86.8</v>
      </c>
      <c r="BG193">
        <v>33</v>
      </c>
      <c r="BH193">
        <v>25</v>
      </c>
      <c r="BI193">
        <v>28.64</v>
      </c>
      <c r="BJ193">
        <v>133</v>
      </c>
      <c r="BK193">
        <v>86.8</v>
      </c>
      <c r="BL193">
        <v>282</v>
      </c>
      <c r="BM193">
        <v>3.6206999999999998</v>
      </c>
    </row>
    <row r="194" spans="1:65" x14ac:dyDescent="0.25">
      <c r="A194" t="s">
        <v>257</v>
      </c>
      <c r="B194" t="s">
        <v>1225</v>
      </c>
      <c r="C194" t="s">
        <v>2157</v>
      </c>
      <c r="D194" s="1">
        <v>45313</v>
      </c>
      <c r="E194" s="1">
        <v>45346</v>
      </c>
      <c r="F194" s="1">
        <v>45504</v>
      </c>
      <c r="G194" t="s">
        <v>2166</v>
      </c>
      <c r="H194" t="s">
        <v>2172</v>
      </c>
      <c r="I194" t="s">
        <v>2176</v>
      </c>
      <c r="J194">
        <v>59125</v>
      </c>
      <c r="K194">
        <v>1774</v>
      </c>
      <c r="L194">
        <v>7.9</v>
      </c>
      <c r="M194">
        <v>4</v>
      </c>
      <c r="N194">
        <v>3</v>
      </c>
      <c r="O194">
        <v>7661</v>
      </c>
      <c r="P194" t="s">
        <v>2176</v>
      </c>
      <c r="Q194">
        <v>18</v>
      </c>
      <c r="R194">
        <v>30</v>
      </c>
      <c r="S194">
        <v>75</v>
      </c>
      <c r="T194">
        <v>791</v>
      </c>
      <c r="U194" t="s">
        <v>2187</v>
      </c>
      <c r="W194" t="s">
        <v>2209</v>
      </c>
      <c r="X194" t="s">
        <v>2211</v>
      </c>
      <c r="Y194" t="s">
        <v>2213</v>
      </c>
      <c r="Z194" s="1">
        <v>45500</v>
      </c>
      <c r="AA194" s="1">
        <v>45500</v>
      </c>
      <c r="AB194" t="s">
        <v>2214</v>
      </c>
      <c r="AC194" t="s">
        <v>2209</v>
      </c>
      <c r="AD194" t="s">
        <v>2219</v>
      </c>
      <c r="AE194" t="s">
        <v>2161</v>
      </c>
      <c r="AF194" t="s">
        <v>2162</v>
      </c>
      <c r="AG194" t="s">
        <v>2222</v>
      </c>
      <c r="AH194">
        <v>123</v>
      </c>
      <c r="AI194">
        <v>154</v>
      </c>
      <c r="AJ194">
        <v>31</v>
      </c>
      <c r="AK194">
        <v>2</v>
      </c>
      <c r="AL194" t="s">
        <v>2228</v>
      </c>
      <c r="AM194">
        <v>0</v>
      </c>
      <c r="AN194" t="s">
        <v>2176</v>
      </c>
      <c r="AO194" t="s">
        <v>2176</v>
      </c>
      <c r="AP194" t="s">
        <v>2177</v>
      </c>
      <c r="AQ194">
        <v>31.6</v>
      </c>
      <c r="AR194">
        <v>1</v>
      </c>
      <c r="AS194">
        <v>1</v>
      </c>
      <c r="AT194">
        <v>1</v>
      </c>
      <c r="AU194">
        <v>2</v>
      </c>
      <c r="AV194">
        <v>1.333333333333333</v>
      </c>
      <c r="AW194">
        <v>4.3</v>
      </c>
      <c r="AX194">
        <v>4.2</v>
      </c>
      <c r="AY194">
        <v>4.8</v>
      </c>
      <c r="AZ194">
        <v>1</v>
      </c>
      <c r="BA194">
        <v>1</v>
      </c>
      <c r="BB194">
        <v>34</v>
      </c>
      <c r="BC194">
        <v>24</v>
      </c>
      <c r="BD194">
        <v>29.92</v>
      </c>
      <c r="BE194">
        <v>134</v>
      </c>
      <c r="BF194">
        <v>88</v>
      </c>
      <c r="BG194">
        <v>40</v>
      </c>
      <c r="BH194">
        <v>24</v>
      </c>
      <c r="BI194">
        <v>35.54</v>
      </c>
      <c r="BJ194">
        <v>160</v>
      </c>
      <c r="BK194">
        <v>88.8</v>
      </c>
      <c r="BL194">
        <v>270</v>
      </c>
      <c r="BM194">
        <v>18.378900000000002</v>
      </c>
    </row>
    <row r="195" spans="1:65" x14ac:dyDescent="0.25">
      <c r="A195" t="s">
        <v>258</v>
      </c>
      <c r="B195" t="s">
        <v>1342</v>
      </c>
      <c r="C195" t="s">
        <v>2157</v>
      </c>
      <c r="D195" s="1">
        <v>45327</v>
      </c>
      <c r="E195" s="1">
        <v>45370</v>
      </c>
      <c r="F195" s="1">
        <v>45529</v>
      </c>
      <c r="G195" t="s">
        <v>2164</v>
      </c>
      <c r="H195" t="s">
        <v>2170</v>
      </c>
      <c r="I195" t="s">
        <v>2176</v>
      </c>
      <c r="J195">
        <v>46159</v>
      </c>
      <c r="K195">
        <v>1385</v>
      </c>
      <c r="L195">
        <v>11.7</v>
      </c>
      <c r="M195">
        <v>6.6</v>
      </c>
      <c r="N195">
        <v>2</v>
      </c>
      <c r="O195">
        <v>7472</v>
      </c>
      <c r="P195" t="s">
        <v>2176</v>
      </c>
      <c r="Q195">
        <v>18</v>
      </c>
      <c r="R195">
        <v>30</v>
      </c>
      <c r="S195">
        <v>71</v>
      </c>
      <c r="T195">
        <v>651</v>
      </c>
      <c r="U195" t="s">
        <v>2197</v>
      </c>
      <c r="W195" t="s">
        <v>2209</v>
      </c>
      <c r="X195" t="s">
        <v>2211</v>
      </c>
      <c r="Y195" t="s">
        <v>2213</v>
      </c>
      <c r="Z195" s="1">
        <v>45519</v>
      </c>
      <c r="AA195" s="1">
        <v>45521</v>
      </c>
      <c r="AB195" t="s">
        <v>2214</v>
      </c>
      <c r="AC195" t="s">
        <v>2209</v>
      </c>
      <c r="AD195" t="s">
        <v>2219</v>
      </c>
      <c r="AE195" t="s">
        <v>2162</v>
      </c>
      <c r="AF195" t="s">
        <v>2161</v>
      </c>
      <c r="AG195" t="s">
        <v>2222</v>
      </c>
      <c r="AH195">
        <v>119</v>
      </c>
      <c r="AI195">
        <v>149</v>
      </c>
      <c r="AJ195">
        <v>30</v>
      </c>
      <c r="AK195">
        <v>3</v>
      </c>
      <c r="AL195" t="s">
        <v>2227</v>
      </c>
      <c r="AM195">
        <v>0</v>
      </c>
      <c r="AN195" t="s">
        <v>2177</v>
      </c>
      <c r="AO195" t="s">
        <v>2176</v>
      </c>
      <c r="AP195" t="s">
        <v>2177</v>
      </c>
      <c r="AQ195">
        <v>77.219999999999985</v>
      </c>
      <c r="AR195">
        <v>1</v>
      </c>
      <c r="AS195">
        <v>2</v>
      </c>
      <c r="AT195">
        <v>1</v>
      </c>
      <c r="AU195">
        <v>2</v>
      </c>
      <c r="AV195">
        <v>1.666666666666667</v>
      </c>
      <c r="AW195">
        <v>4.2</v>
      </c>
      <c r="AX195">
        <v>4.3</v>
      </c>
      <c r="AY195">
        <v>4.5</v>
      </c>
      <c r="AZ195">
        <v>1</v>
      </c>
      <c r="BA195">
        <v>1</v>
      </c>
      <c r="BB195">
        <v>31</v>
      </c>
      <c r="BC195">
        <v>26</v>
      </c>
      <c r="BD195">
        <v>27.27</v>
      </c>
      <c r="BE195">
        <v>130</v>
      </c>
      <c r="BF195">
        <v>88</v>
      </c>
      <c r="BG195">
        <v>30</v>
      </c>
      <c r="BH195">
        <v>26</v>
      </c>
      <c r="BI195">
        <v>26.31</v>
      </c>
      <c r="BJ195">
        <v>128</v>
      </c>
      <c r="BK195">
        <v>87.7</v>
      </c>
      <c r="BL195">
        <v>294</v>
      </c>
      <c r="BM195">
        <v>13.6525</v>
      </c>
    </row>
    <row r="196" spans="1:65" x14ac:dyDescent="0.25">
      <c r="A196" t="s">
        <v>259</v>
      </c>
      <c r="B196" t="s">
        <v>1343</v>
      </c>
      <c r="C196" t="s">
        <v>2159</v>
      </c>
      <c r="D196" s="1">
        <v>45425</v>
      </c>
      <c r="E196" s="1">
        <v>45464</v>
      </c>
      <c r="F196" s="1">
        <v>45535</v>
      </c>
      <c r="G196" t="s">
        <v>2161</v>
      </c>
      <c r="H196" t="s">
        <v>2167</v>
      </c>
      <c r="I196" t="s">
        <v>2174</v>
      </c>
      <c r="J196">
        <v>12047</v>
      </c>
      <c r="K196">
        <v>362</v>
      </c>
      <c r="L196">
        <v>7.1</v>
      </c>
      <c r="M196">
        <v>7.8</v>
      </c>
      <c r="N196">
        <v>3</v>
      </c>
      <c r="O196">
        <v>2622</v>
      </c>
      <c r="P196" t="s">
        <v>2176</v>
      </c>
      <c r="Q196">
        <v>10</v>
      </c>
      <c r="R196">
        <v>14</v>
      </c>
      <c r="S196">
        <v>21</v>
      </c>
      <c r="T196">
        <v>577</v>
      </c>
      <c r="U196" t="s">
        <v>2198</v>
      </c>
      <c r="W196" t="s">
        <v>2209</v>
      </c>
      <c r="X196" t="s">
        <v>2211</v>
      </c>
      <c r="Y196" t="s">
        <v>2213</v>
      </c>
      <c r="Z196" s="1">
        <v>45527</v>
      </c>
      <c r="AA196" s="1">
        <v>45529</v>
      </c>
      <c r="AB196" t="s">
        <v>2214</v>
      </c>
      <c r="AC196" t="s">
        <v>2209</v>
      </c>
      <c r="AD196" t="s">
        <v>2219</v>
      </c>
      <c r="AE196" t="s">
        <v>2166</v>
      </c>
      <c r="AF196" t="s">
        <v>2161</v>
      </c>
      <c r="AG196" t="s">
        <v>2222</v>
      </c>
      <c r="AH196">
        <v>45</v>
      </c>
      <c r="AI196">
        <v>63</v>
      </c>
      <c r="AJ196">
        <v>18</v>
      </c>
      <c r="AK196">
        <v>6</v>
      </c>
      <c r="AL196" t="s">
        <v>2223</v>
      </c>
      <c r="AM196">
        <v>0</v>
      </c>
      <c r="AN196" t="s">
        <v>2177</v>
      </c>
      <c r="AO196" t="s">
        <v>2176</v>
      </c>
      <c r="AP196" t="s">
        <v>2176</v>
      </c>
      <c r="AQ196">
        <v>55.38</v>
      </c>
      <c r="AR196">
        <v>1</v>
      </c>
      <c r="AS196">
        <v>2</v>
      </c>
      <c r="AT196">
        <v>1</v>
      </c>
      <c r="AU196">
        <v>1</v>
      </c>
      <c r="AV196">
        <v>1.333333333333333</v>
      </c>
      <c r="AW196">
        <v>4.8</v>
      </c>
      <c r="AX196">
        <v>4.3</v>
      </c>
      <c r="AY196">
        <v>4.3</v>
      </c>
      <c r="AZ196">
        <v>3</v>
      </c>
      <c r="BA196">
        <v>2</v>
      </c>
      <c r="BB196">
        <v>45</v>
      </c>
      <c r="BC196">
        <v>25</v>
      </c>
      <c r="BD196">
        <v>39.200000000000003</v>
      </c>
      <c r="BE196">
        <v>186</v>
      </c>
      <c r="BF196">
        <v>87.1</v>
      </c>
      <c r="BG196">
        <v>36</v>
      </c>
      <c r="BH196">
        <v>25</v>
      </c>
      <c r="BI196">
        <v>31.92</v>
      </c>
      <c r="BJ196">
        <v>149</v>
      </c>
      <c r="BK196">
        <v>88.7</v>
      </c>
      <c r="BL196">
        <v>335</v>
      </c>
      <c r="BM196">
        <v>2.5901999999999998</v>
      </c>
    </row>
    <row r="197" spans="1:65" x14ac:dyDescent="0.25">
      <c r="A197" t="s">
        <v>260</v>
      </c>
      <c r="B197" t="s">
        <v>1344</v>
      </c>
      <c r="C197" t="s">
        <v>2160</v>
      </c>
      <c r="D197" s="1">
        <v>45404</v>
      </c>
      <c r="E197" s="1">
        <v>45441</v>
      </c>
      <c r="F197" s="1">
        <v>45505</v>
      </c>
      <c r="G197" t="s">
        <v>2165</v>
      </c>
      <c r="H197" t="s">
        <v>2171</v>
      </c>
      <c r="I197" t="s">
        <v>2173</v>
      </c>
      <c r="J197">
        <v>17482</v>
      </c>
      <c r="K197">
        <v>525</v>
      </c>
      <c r="L197">
        <v>13.9</v>
      </c>
      <c r="M197">
        <v>7.4</v>
      </c>
      <c r="N197">
        <v>5</v>
      </c>
      <c r="O197">
        <v>15392</v>
      </c>
      <c r="P197" t="s">
        <v>2177</v>
      </c>
      <c r="Q197">
        <v>10</v>
      </c>
      <c r="R197">
        <v>14</v>
      </c>
      <c r="S197">
        <v>22</v>
      </c>
      <c r="T197">
        <v>824</v>
      </c>
      <c r="U197" t="s">
        <v>2196</v>
      </c>
      <c r="W197" t="s">
        <v>2209</v>
      </c>
      <c r="X197" t="s">
        <v>2211</v>
      </c>
      <c r="Y197" t="s">
        <v>2213</v>
      </c>
      <c r="Z197" s="1">
        <v>45505</v>
      </c>
      <c r="AA197" s="1">
        <v>45508</v>
      </c>
      <c r="AB197" t="s">
        <v>2214</v>
      </c>
      <c r="AC197" t="s">
        <v>2209</v>
      </c>
      <c r="AD197" t="s">
        <v>2219</v>
      </c>
      <c r="AE197" t="s">
        <v>2165</v>
      </c>
      <c r="AF197" t="s">
        <v>2163</v>
      </c>
      <c r="AG197" t="s">
        <v>2222</v>
      </c>
      <c r="AH197">
        <v>46</v>
      </c>
      <c r="AI197">
        <v>64</v>
      </c>
      <c r="AJ197">
        <v>18</v>
      </c>
      <c r="AK197">
        <v>5</v>
      </c>
      <c r="AL197" t="s">
        <v>2224</v>
      </c>
      <c r="AM197">
        <v>0</v>
      </c>
      <c r="AN197" t="s">
        <v>2177</v>
      </c>
      <c r="AO197" t="s">
        <v>2177</v>
      </c>
      <c r="AP197" t="s">
        <v>2175</v>
      </c>
      <c r="AQ197">
        <v>102.86</v>
      </c>
      <c r="AR197">
        <v>2</v>
      </c>
      <c r="AS197">
        <v>2</v>
      </c>
      <c r="AT197">
        <v>2</v>
      </c>
      <c r="AU197">
        <v>3</v>
      </c>
      <c r="AV197">
        <v>2.333333333333333</v>
      </c>
      <c r="AW197">
        <v>4.5999999999999996</v>
      </c>
      <c r="AX197">
        <v>4.4000000000000004</v>
      </c>
      <c r="AY197">
        <v>4.5999999999999996</v>
      </c>
      <c r="AZ197">
        <v>0</v>
      </c>
      <c r="BA197">
        <v>3</v>
      </c>
      <c r="BB197">
        <v>36</v>
      </c>
      <c r="BC197">
        <v>27</v>
      </c>
      <c r="BD197">
        <v>31.37</v>
      </c>
      <c r="BE197">
        <v>158</v>
      </c>
      <c r="BF197">
        <v>87.1</v>
      </c>
      <c r="BG197">
        <v>36</v>
      </c>
      <c r="BH197">
        <v>27</v>
      </c>
      <c r="BI197">
        <v>31.37</v>
      </c>
      <c r="BJ197">
        <v>158</v>
      </c>
      <c r="BK197">
        <v>87.1</v>
      </c>
      <c r="BL197">
        <v>329</v>
      </c>
      <c r="BM197">
        <v>4.0970000000000004</v>
      </c>
    </row>
    <row r="198" spans="1:65" x14ac:dyDescent="0.25">
      <c r="A198" t="s">
        <v>261</v>
      </c>
      <c r="B198" t="s">
        <v>1294</v>
      </c>
      <c r="C198" t="s">
        <v>2160</v>
      </c>
      <c r="D198" s="1">
        <v>45390</v>
      </c>
      <c r="E198" s="1">
        <v>45425</v>
      </c>
      <c r="F198" s="1">
        <v>45502</v>
      </c>
      <c r="G198" t="s">
        <v>2166</v>
      </c>
      <c r="H198" t="s">
        <v>2172</v>
      </c>
      <c r="I198" t="s">
        <v>2174</v>
      </c>
      <c r="J198">
        <v>11506</v>
      </c>
      <c r="K198">
        <v>346</v>
      </c>
      <c r="L198">
        <v>5.5</v>
      </c>
      <c r="M198">
        <v>6</v>
      </c>
      <c r="N198">
        <v>2</v>
      </c>
      <c r="O198">
        <v>5147</v>
      </c>
      <c r="P198" t="s">
        <v>2176</v>
      </c>
      <c r="Q198">
        <v>10</v>
      </c>
      <c r="R198">
        <v>14</v>
      </c>
      <c r="S198">
        <v>20</v>
      </c>
      <c r="T198">
        <v>581</v>
      </c>
      <c r="U198" t="s">
        <v>2183</v>
      </c>
      <c r="W198" t="s">
        <v>2209</v>
      </c>
      <c r="X198" t="s">
        <v>2211</v>
      </c>
      <c r="Y198" t="s">
        <v>2213</v>
      </c>
      <c r="Z198" s="1">
        <v>45487</v>
      </c>
      <c r="AA198" s="1">
        <v>45487</v>
      </c>
      <c r="AB198" t="s">
        <v>2214</v>
      </c>
      <c r="AC198" t="s">
        <v>2209</v>
      </c>
      <c r="AD198" t="s">
        <v>2219</v>
      </c>
      <c r="AE198" t="s">
        <v>2162</v>
      </c>
      <c r="AF198" t="s">
        <v>2163</v>
      </c>
      <c r="AG198" t="s">
        <v>2222</v>
      </c>
      <c r="AH198">
        <v>44</v>
      </c>
      <c r="AI198">
        <v>62</v>
      </c>
      <c r="AJ198">
        <v>18</v>
      </c>
      <c r="AK198">
        <v>5</v>
      </c>
      <c r="AL198" t="s">
        <v>2224</v>
      </c>
      <c r="AM198">
        <v>0</v>
      </c>
      <c r="AN198" t="s">
        <v>2177</v>
      </c>
      <c r="AO198" t="s">
        <v>2176</v>
      </c>
      <c r="AP198" t="s">
        <v>2176</v>
      </c>
      <c r="AQ198">
        <v>33</v>
      </c>
      <c r="AR198">
        <v>1</v>
      </c>
      <c r="AS198">
        <v>2</v>
      </c>
      <c r="AT198">
        <v>1</v>
      </c>
      <c r="AU198">
        <v>1</v>
      </c>
      <c r="AV198">
        <v>1.333333333333333</v>
      </c>
      <c r="AW198">
        <v>4.2</v>
      </c>
      <c r="AX198">
        <v>4.4000000000000004</v>
      </c>
      <c r="AY198">
        <v>4.8</v>
      </c>
      <c r="AZ198">
        <v>0</v>
      </c>
      <c r="BA198">
        <v>2</v>
      </c>
      <c r="BB198">
        <v>24</v>
      </c>
      <c r="BC198">
        <v>27</v>
      </c>
      <c r="BD198">
        <v>21.44</v>
      </c>
      <c r="BE198">
        <v>108</v>
      </c>
      <c r="BF198">
        <v>89.3</v>
      </c>
      <c r="BG198">
        <v>43</v>
      </c>
      <c r="BH198">
        <v>27</v>
      </c>
      <c r="BI198">
        <v>37.299999999999997</v>
      </c>
      <c r="BJ198">
        <v>193</v>
      </c>
      <c r="BK198">
        <v>86.7</v>
      </c>
      <c r="BL198">
        <v>279</v>
      </c>
      <c r="BM198">
        <v>3.9445000000000001</v>
      </c>
    </row>
    <row r="199" spans="1:65" x14ac:dyDescent="0.25">
      <c r="A199" t="s">
        <v>262</v>
      </c>
      <c r="B199" t="s">
        <v>1334</v>
      </c>
      <c r="C199" t="s">
        <v>2157</v>
      </c>
      <c r="D199" s="1">
        <v>45362</v>
      </c>
      <c r="E199" s="1">
        <v>45403</v>
      </c>
      <c r="F199" s="1">
        <v>45541</v>
      </c>
      <c r="G199" t="s">
        <v>2166</v>
      </c>
      <c r="H199" t="s">
        <v>2172</v>
      </c>
      <c r="I199" t="s">
        <v>2173</v>
      </c>
      <c r="J199">
        <v>41935</v>
      </c>
      <c r="K199">
        <v>1259</v>
      </c>
      <c r="L199">
        <v>9.6999999999999993</v>
      </c>
      <c r="M199">
        <v>6.7</v>
      </c>
      <c r="N199">
        <v>7</v>
      </c>
      <c r="O199">
        <v>15166</v>
      </c>
      <c r="P199" t="s">
        <v>2177</v>
      </c>
      <c r="Q199">
        <v>18</v>
      </c>
      <c r="R199">
        <v>30</v>
      </c>
      <c r="S199">
        <v>59</v>
      </c>
      <c r="T199">
        <v>712</v>
      </c>
      <c r="U199" t="s">
        <v>2183</v>
      </c>
      <c r="W199" t="s">
        <v>2209</v>
      </c>
      <c r="X199" t="s">
        <v>2211</v>
      </c>
      <c r="Y199" t="s">
        <v>2213</v>
      </c>
      <c r="Z199" s="1">
        <v>45538</v>
      </c>
      <c r="AA199" s="1">
        <v>45543</v>
      </c>
      <c r="AB199" t="s">
        <v>2214</v>
      </c>
      <c r="AC199" t="s">
        <v>2209</v>
      </c>
      <c r="AD199" t="s">
        <v>2219</v>
      </c>
      <c r="AE199" t="s">
        <v>2162</v>
      </c>
      <c r="AF199" t="s">
        <v>2163</v>
      </c>
      <c r="AG199" t="s">
        <v>2222</v>
      </c>
      <c r="AH199">
        <v>107</v>
      </c>
      <c r="AI199">
        <v>135</v>
      </c>
      <c r="AJ199">
        <v>28</v>
      </c>
      <c r="AK199">
        <v>4</v>
      </c>
      <c r="AL199" t="s">
        <v>2225</v>
      </c>
      <c r="AM199">
        <v>0</v>
      </c>
      <c r="AN199" t="s">
        <v>2177</v>
      </c>
      <c r="AO199" t="s">
        <v>2175</v>
      </c>
      <c r="AP199" t="s">
        <v>2175</v>
      </c>
      <c r="AQ199">
        <v>64.989999999999995</v>
      </c>
      <c r="AR199">
        <v>2</v>
      </c>
      <c r="AS199">
        <v>2</v>
      </c>
      <c r="AT199">
        <v>3</v>
      </c>
      <c r="AU199">
        <v>3</v>
      </c>
      <c r="AV199">
        <v>2.666666666666667</v>
      </c>
      <c r="AW199">
        <v>4.2</v>
      </c>
      <c r="AX199">
        <v>4.4000000000000004</v>
      </c>
      <c r="AY199">
        <v>4.8</v>
      </c>
      <c r="AZ199">
        <v>1</v>
      </c>
      <c r="BA199">
        <v>3</v>
      </c>
      <c r="BB199">
        <v>25</v>
      </c>
      <c r="BC199">
        <v>26</v>
      </c>
      <c r="BD199">
        <v>21.81</v>
      </c>
      <c r="BE199">
        <v>104</v>
      </c>
      <c r="BF199">
        <v>87.2</v>
      </c>
      <c r="BG199">
        <v>45</v>
      </c>
      <c r="BH199">
        <v>26</v>
      </c>
      <c r="BI199">
        <v>40.270000000000003</v>
      </c>
      <c r="BJ199">
        <v>199</v>
      </c>
      <c r="BK199">
        <v>89.5</v>
      </c>
      <c r="BL199">
        <v>236</v>
      </c>
      <c r="BM199">
        <v>15.502800000000001</v>
      </c>
    </row>
    <row r="200" spans="1:65" x14ac:dyDescent="0.25">
      <c r="A200" t="s">
        <v>263</v>
      </c>
      <c r="B200" t="s">
        <v>1345</v>
      </c>
      <c r="C200" t="s">
        <v>2160</v>
      </c>
      <c r="D200" s="1">
        <v>45327</v>
      </c>
      <c r="E200" s="1">
        <v>45361</v>
      </c>
      <c r="F200" s="1">
        <v>45402</v>
      </c>
      <c r="G200" t="s">
        <v>2165</v>
      </c>
      <c r="H200" t="s">
        <v>2171</v>
      </c>
      <c r="I200" t="s">
        <v>2174</v>
      </c>
      <c r="J200">
        <v>2820</v>
      </c>
      <c r="K200">
        <v>85</v>
      </c>
      <c r="L200">
        <v>5.6</v>
      </c>
      <c r="M200">
        <v>5.4</v>
      </c>
      <c r="N200">
        <v>2</v>
      </c>
      <c r="O200">
        <v>3918</v>
      </c>
      <c r="P200" t="s">
        <v>2176</v>
      </c>
      <c r="Q200">
        <v>5</v>
      </c>
      <c r="R200">
        <v>8</v>
      </c>
      <c r="S200">
        <v>5</v>
      </c>
      <c r="T200">
        <v>623</v>
      </c>
      <c r="U200" t="s">
        <v>2165</v>
      </c>
      <c r="V200" t="s">
        <v>2171</v>
      </c>
      <c r="W200" t="s">
        <v>2208</v>
      </c>
      <c r="X200" t="s">
        <v>2210</v>
      </c>
      <c r="Y200" t="s">
        <v>2212</v>
      </c>
      <c r="Z200" s="1">
        <v>45392</v>
      </c>
      <c r="AA200" s="1">
        <v>45395</v>
      </c>
      <c r="AB200" t="s">
        <v>2214</v>
      </c>
      <c r="AC200" t="s">
        <v>2209</v>
      </c>
      <c r="AD200" t="s">
        <v>2216</v>
      </c>
      <c r="AE200" t="s">
        <v>2165</v>
      </c>
      <c r="AG200" t="s">
        <v>2220</v>
      </c>
      <c r="AH200">
        <v>18</v>
      </c>
      <c r="AI200">
        <v>31</v>
      </c>
      <c r="AJ200">
        <v>13</v>
      </c>
      <c r="AK200">
        <v>3</v>
      </c>
      <c r="AL200" t="s">
        <v>2227</v>
      </c>
      <c r="AM200">
        <v>0</v>
      </c>
      <c r="AN200" t="s">
        <v>2177</v>
      </c>
      <c r="AO200" t="s">
        <v>2176</v>
      </c>
      <c r="AP200" t="s">
        <v>2176</v>
      </c>
      <c r="AQ200">
        <v>30.24</v>
      </c>
      <c r="AR200">
        <v>1</v>
      </c>
      <c r="AS200">
        <v>2</v>
      </c>
      <c r="AT200">
        <v>1</v>
      </c>
      <c r="AU200">
        <v>1</v>
      </c>
      <c r="AV200">
        <v>1.333333333333333</v>
      </c>
      <c r="AW200">
        <v>4.5999999999999996</v>
      </c>
      <c r="AY200">
        <v>4.5999999999999996</v>
      </c>
      <c r="AZ200">
        <v>0</v>
      </c>
      <c r="BA200">
        <v>2</v>
      </c>
      <c r="BB200">
        <v>48</v>
      </c>
      <c r="BC200">
        <v>26</v>
      </c>
      <c r="BD200">
        <v>42.38</v>
      </c>
      <c r="BE200">
        <v>212</v>
      </c>
      <c r="BF200">
        <v>88.3</v>
      </c>
      <c r="BG200">
        <v>48</v>
      </c>
      <c r="BH200">
        <v>26</v>
      </c>
      <c r="BI200">
        <v>42.38</v>
      </c>
      <c r="BJ200">
        <v>212</v>
      </c>
      <c r="BK200">
        <v>88.3</v>
      </c>
      <c r="BL200">
        <v>212</v>
      </c>
      <c r="BM200">
        <v>0.51149999999999995</v>
      </c>
    </row>
    <row r="201" spans="1:65" x14ac:dyDescent="0.25">
      <c r="A201" t="s">
        <v>264</v>
      </c>
      <c r="B201" t="s">
        <v>1346</v>
      </c>
      <c r="C201" t="s">
        <v>2157</v>
      </c>
      <c r="D201" s="1">
        <v>45313</v>
      </c>
      <c r="E201" s="1">
        <v>45358</v>
      </c>
      <c r="F201" s="1">
        <v>45544</v>
      </c>
      <c r="G201" t="s">
        <v>2161</v>
      </c>
      <c r="H201" t="s">
        <v>2167</v>
      </c>
      <c r="I201" t="s">
        <v>2174</v>
      </c>
      <c r="J201">
        <v>53788</v>
      </c>
      <c r="K201">
        <v>1614</v>
      </c>
      <c r="L201">
        <v>4.5999999999999996</v>
      </c>
      <c r="M201">
        <v>3.9</v>
      </c>
      <c r="N201">
        <v>2</v>
      </c>
      <c r="O201">
        <v>5404</v>
      </c>
      <c r="P201" t="s">
        <v>2176</v>
      </c>
      <c r="Q201">
        <v>18</v>
      </c>
      <c r="R201">
        <v>30</v>
      </c>
      <c r="S201">
        <v>91</v>
      </c>
      <c r="T201">
        <v>597</v>
      </c>
      <c r="U201" t="s">
        <v>2197</v>
      </c>
      <c r="W201" t="s">
        <v>2209</v>
      </c>
      <c r="X201" t="s">
        <v>2211</v>
      </c>
      <c r="Y201" t="s">
        <v>2213</v>
      </c>
      <c r="Z201" s="1">
        <v>45531</v>
      </c>
      <c r="AA201" s="1">
        <v>45535</v>
      </c>
      <c r="AB201" t="s">
        <v>2214</v>
      </c>
      <c r="AC201" t="s">
        <v>2209</v>
      </c>
      <c r="AD201" t="s">
        <v>2219</v>
      </c>
      <c r="AE201" t="s">
        <v>2162</v>
      </c>
      <c r="AF201" t="s">
        <v>2161</v>
      </c>
      <c r="AG201" t="s">
        <v>2222</v>
      </c>
      <c r="AH201">
        <v>139</v>
      </c>
      <c r="AI201">
        <v>173</v>
      </c>
      <c r="AJ201">
        <v>34</v>
      </c>
      <c r="AK201">
        <v>3</v>
      </c>
      <c r="AL201" t="s">
        <v>2227</v>
      </c>
      <c r="AM201">
        <v>0</v>
      </c>
      <c r="AN201" t="s">
        <v>2176</v>
      </c>
      <c r="AO201" t="s">
        <v>2176</v>
      </c>
      <c r="AP201" t="s">
        <v>2176</v>
      </c>
      <c r="AQ201">
        <v>17.940000000000001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4.2</v>
      </c>
      <c r="AX201">
        <v>4.3</v>
      </c>
      <c r="AY201">
        <v>4.3</v>
      </c>
      <c r="AZ201">
        <v>1</v>
      </c>
      <c r="BA201">
        <v>2</v>
      </c>
      <c r="BB201">
        <v>31</v>
      </c>
      <c r="BC201">
        <v>26</v>
      </c>
      <c r="BD201">
        <v>27.27</v>
      </c>
      <c r="BE201">
        <v>130</v>
      </c>
      <c r="BF201">
        <v>88</v>
      </c>
      <c r="BG201">
        <v>38</v>
      </c>
      <c r="BH201">
        <v>26</v>
      </c>
      <c r="BI201">
        <v>33.729999999999997</v>
      </c>
      <c r="BJ201">
        <v>164</v>
      </c>
      <c r="BK201">
        <v>88.8</v>
      </c>
      <c r="BL201">
        <v>294</v>
      </c>
      <c r="BM201">
        <v>15.908899999999999</v>
      </c>
    </row>
    <row r="202" spans="1:65" x14ac:dyDescent="0.25">
      <c r="A202" t="s">
        <v>265</v>
      </c>
      <c r="B202" t="s">
        <v>1347</v>
      </c>
      <c r="C202" t="s">
        <v>2157</v>
      </c>
      <c r="D202" s="1">
        <v>45425</v>
      </c>
      <c r="E202" s="1">
        <v>45460</v>
      </c>
      <c r="F202" s="1">
        <v>45606</v>
      </c>
      <c r="G202" t="s">
        <v>2165</v>
      </c>
      <c r="H202" t="s">
        <v>2171</v>
      </c>
      <c r="I202" t="s">
        <v>2173</v>
      </c>
      <c r="J202">
        <v>47653</v>
      </c>
      <c r="K202">
        <v>1430</v>
      </c>
      <c r="L202">
        <v>6.6</v>
      </c>
      <c r="M202">
        <v>9.3000000000000007</v>
      </c>
      <c r="N202">
        <v>6</v>
      </c>
      <c r="O202">
        <v>8889</v>
      </c>
      <c r="P202" t="s">
        <v>2176</v>
      </c>
      <c r="Q202">
        <v>18</v>
      </c>
      <c r="R202">
        <v>30</v>
      </c>
      <c r="S202">
        <v>67</v>
      </c>
      <c r="T202">
        <v>712</v>
      </c>
      <c r="U202" t="s">
        <v>2161</v>
      </c>
      <c r="V202" t="s">
        <v>2167</v>
      </c>
      <c r="W202" t="s">
        <v>2209</v>
      </c>
      <c r="X202" t="s">
        <v>2211</v>
      </c>
      <c r="Y202" t="s">
        <v>2212</v>
      </c>
      <c r="Z202" s="1">
        <v>45604</v>
      </c>
      <c r="AA202" s="1">
        <v>45606</v>
      </c>
      <c r="AB202" t="s">
        <v>2214</v>
      </c>
      <c r="AC202" t="s">
        <v>2209</v>
      </c>
      <c r="AD202" t="s">
        <v>2218</v>
      </c>
      <c r="AE202" t="s">
        <v>2161</v>
      </c>
      <c r="AG202" t="s">
        <v>2221</v>
      </c>
      <c r="AH202">
        <v>115</v>
      </c>
      <c r="AI202">
        <v>144</v>
      </c>
      <c r="AJ202">
        <v>29</v>
      </c>
      <c r="AK202">
        <v>6</v>
      </c>
      <c r="AL202" t="s">
        <v>2223</v>
      </c>
      <c r="AM202">
        <v>0</v>
      </c>
      <c r="AN202" t="s">
        <v>2177</v>
      </c>
      <c r="AO202" t="s">
        <v>2177</v>
      </c>
      <c r="AP202" t="s">
        <v>2177</v>
      </c>
      <c r="AQ202">
        <v>61.38</v>
      </c>
      <c r="AR202">
        <v>1</v>
      </c>
      <c r="AS202">
        <v>2</v>
      </c>
      <c r="AT202">
        <v>2</v>
      </c>
      <c r="AU202">
        <v>2</v>
      </c>
      <c r="AV202">
        <v>2</v>
      </c>
      <c r="AW202">
        <v>4.3</v>
      </c>
      <c r="AY202">
        <v>4.5999999999999996</v>
      </c>
      <c r="AZ202">
        <v>1</v>
      </c>
      <c r="BA202">
        <v>3</v>
      </c>
      <c r="BB202">
        <v>36</v>
      </c>
      <c r="BC202">
        <v>25</v>
      </c>
      <c r="BD202">
        <v>31.92</v>
      </c>
      <c r="BE202">
        <v>149</v>
      </c>
      <c r="BF202">
        <v>88.7</v>
      </c>
      <c r="BG202">
        <v>40</v>
      </c>
      <c r="BH202">
        <v>25</v>
      </c>
      <c r="BI202">
        <v>34.72</v>
      </c>
      <c r="BJ202">
        <v>161</v>
      </c>
      <c r="BK202">
        <v>86.8</v>
      </c>
      <c r="BL202">
        <v>149</v>
      </c>
      <c r="BM202">
        <v>12.789300000000001</v>
      </c>
    </row>
    <row r="203" spans="1:65" x14ac:dyDescent="0.25">
      <c r="A203" t="s">
        <v>266</v>
      </c>
      <c r="B203" t="s">
        <v>1348</v>
      </c>
      <c r="C203" t="s">
        <v>2160</v>
      </c>
      <c r="D203" s="1">
        <v>45341</v>
      </c>
      <c r="E203" s="1">
        <v>45385</v>
      </c>
      <c r="F203" s="1">
        <v>45464</v>
      </c>
      <c r="G203" t="s">
        <v>2163</v>
      </c>
      <c r="H203" t="s">
        <v>2169</v>
      </c>
      <c r="I203" t="s">
        <v>2174</v>
      </c>
      <c r="J203">
        <v>10512</v>
      </c>
      <c r="K203">
        <v>316</v>
      </c>
      <c r="L203">
        <v>4.5</v>
      </c>
      <c r="M203">
        <v>3.5</v>
      </c>
      <c r="N203">
        <v>4</v>
      </c>
      <c r="O203">
        <v>3797</v>
      </c>
      <c r="P203" t="s">
        <v>2176</v>
      </c>
      <c r="Q203">
        <v>10</v>
      </c>
      <c r="R203">
        <v>14</v>
      </c>
      <c r="S203">
        <v>20</v>
      </c>
      <c r="T203">
        <v>540</v>
      </c>
      <c r="U203" t="s">
        <v>2193</v>
      </c>
      <c r="W203" t="s">
        <v>2209</v>
      </c>
      <c r="X203" t="s">
        <v>2211</v>
      </c>
      <c r="Y203" t="s">
        <v>2213</v>
      </c>
      <c r="Z203" s="1">
        <v>45447</v>
      </c>
      <c r="AA203" s="1">
        <v>45451</v>
      </c>
      <c r="AB203" t="s">
        <v>2214</v>
      </c>
      <c r="AC203" t="s">
        <v>2209</v>
      </c>
      <c r="AD203" t="s">
        <v>2219</v>
      </c>
      <c r="AE203" t="s">
        <v>2161</v>
      </c>
      <c r="AF203" t="s">
        <v>2165</v>
      </c>
      <c r="AG203" t="s">
        <v>2222</v>
      </c>
      <c r="AH203">
        <v>44</v>
      </c>
      <c r="AI203">
        <v>62</v>
      </c>
      <c r="AJ203">
        <v>18</v>
      </c>
      <c r="AK203">
        <v>4</v>
      </c>
      <c r="AL203" t="s">
        <v>2225</v>
      </c>
      <c r="AM203">
        <v>0</v>
      </c>
      <c r="AN203" t="s">
        <v>2176</v>
      </c>
      <c r="AO203" t="s">
        <v>2177</v>
      </c>
      <c r="AP203" t="s">
        <v>2176</v>
      </c>
      <c r="AQ203">
        <v>15.75</v>
      </c>
      <c r="AR203">
        <v>1</v>
      </c>
      <c r="AS203">
        <v>1</v>
      </c>
      <c r="AT203">
        <v>2</v>
      </c>
      <c r="AU203">
        <v>1</v>
      </c>
      <c r="AV203">
        <v>1.333333333333333</v>
      </c>
      <c r="AW203">
        <v>4.3</v>
      </c>
      <c r="AX203">
        <v>4.5999999999999996</v>
      </c>
      <c r="AY203">
        <v>4.4000000000000004</v>
      </c>
      <c r="AZ203">
        <v>0</v>
      </c>
      <c r="BA203">
        <v>2</v>
      </c>
      <c r="BB203">
        <v>32</v>
      </c>
      <c r="BC203">
        <v>26</v>
      </c>
      <c r="BD203">
        <v>28.46</v>
      </c>
      <c r="BE203">
        <v>138</v>
      </c>
      <c r="BF203">
        <v>88.9</v>
      </c>
      <c r="BG203">
        <v>31</v>
      </c>
      <c r="BH203">
        <v>26</v>
      </c>
      <c r="BI203">
        <v>27.23</v>
      </c>
      <c r="BJ203">
        <v>132</v>
      </c>
      <c r="BK203">
        <v>87.8</v>
      </c>
      <c r="BL203">
        <v>341</v>
      </c>
      <c r="BM203">
        <v>2.9289000000000001</v>
      </c>
    </row>
    <row r="204" spans="1:65" x14ac:dyDescent="0.25">
      <c r="A204" t="s">
        <v>267</v>
      </c>
      <c r="B204" t="s">
        <v>1349</v>
      </c>
      <c r="C204" t="s">
        <v>2160</v>
      </c>
      <c r="D204" s="1">
        <v>45404</v>
      </c>
      <c r="E204" s="1">
        <v>45449</v>
      </c>
      <c r="F204" s="1">
        <v>45528</v>
      </c>
      <c r="G204" t="s">
        <v>2161</v>
      </c>
      <c r="H204" t="s">
        <v>2167</v>
      </c>
      <c r="I204" t="s">
        <v>2176</v>
      </c>
      <c r="J204">
        <v>17506</v>
      </c>
      <c r="K204">
        <v>526</v>
      </c>
      <c r="L204">
        <v>10.199999999999999</v>
      </c>
      <c r="M204">
        <v>7.1</v>
      </c>
      <c r="N204">
        <v>4</v>
      </c>
      <c r="O204">
        <v>3557</v>
      </c>
      <c r="P204" t="s">
        <v>2176</v>
      </c>
      <c r="Q204">
        <v>10</v>
      </c>
      <c r="R204">
        <v>14</v>
      </c>
      <c r="S204">
        <v>28</v>
      </c>
      <c r="T204">
        <v>631</v>
      </c>
      <c r="U204" t="s">
        <v>2189</v>
      </c>
      <c r="W204" t="s">
        <v>2209</v>
      </c>
      <c r="X204" t="s">
        <v>2211</v>
      </c>
      <c r="Y204" t="s">
        <v>2213</v>
      </c>
      <c r="Z204" s="1">
        <v>45520</v>
      </c>
      <c r="AA204" s="1">
        <v>45522</v>
      </c>
      <c r="AB204" t="s">
        <v>2214</v>
      </c>
      <c r="AC204" t="s">
        <v>2209</v>
      </c>
      <c r="AD204" t="s">
        <v>2219</v>
      </c>
      <c r="AE204" t="s">
        <v>2165</v>
      </c>
      <c r="AF204" t="s">
        <v>2166</v>
      </c>
      <c r="AG204" t="s">
        <v>2222</v>
      </c>
      <c r="AH204">
        <v>52</v>
      </c>
      <c r="AI204">
        <v>71</v>
      </c>
      <c r="AJ204">
        <v>19</v>
      </c>
      <c r="AK204">
        <v>6</v>
      </c>
      <c r="AL204" t="s">
        <v>2223</v>
      </c>
      <c r="AM204">
        <v>0</v>
      </c>
      <c r="AN204" t="s">
        <v>2177</v>
      </c>
      <c r="AO204" t="s">
        <v>2177</v>
      </c>
      <c r="AP204" t="s">
        <v>2176</v>
      </c>
      <c r="AQ204">
        <v>72.419999999999987</v>
      </c>
      <c r="AR204">
        <v>1</v>
      </c>
      <c r="AS204">
        <v>2</v>
      </c>
      <c r="AT204">
        <v>2</v>
      </c>
      <c r="AU204">
        <v>1</v>
      </c>
      <c r="AV204">
        <v>1.666666666666667</v>
      </c>
      <c r="AW204">
        <v>4.5999999999999996</v>
      </c>
      <c r="AX204">
        <v>4.8</v>
      </c>
      <c r="AY204">
        <v>4.3</v>
      </c>
      <c r="AZ204">
        <v>0</v>
      </c>
      <c r="BA204">
        <v>1</v>
      </c>
      <c r="BB204">
        <v>40</v>
      </c>
      <c r="BC204">
        <v>25</v>
      </c>
      <c r="BD204">
        <v>34.72</v>
      </c>
      <c r="BE204">
        <v>161</v>
      </c>
      <c r="BF204">
        <v>86.8</v>
      </c>
      <c r="BG204">
        <v>36</v>
      </c>
      <c r="BH204">
        <v>25</v>
      </c>
      <c r="BI204">
        <v>31.92</v>
      </c>
      <c r="BJ204">
        <v>149</v>
      </c>
      <c r="BK204">
        <v>88.7</v>
      </c>
      <c r="BL204">
        <v>347</v>
      </c>
      <c r="BM204">
        <v>4.3482000000000003</v>
      </c>
    </row>
    <row r="205" spans="1:65" x14ac:dyDescent="0.25">
      <c r="A205" t="s">
        <v>268</v>
      </c>
      <c r="B205" t="s">
        <v>1186</v>
      </c>
      <c r="C205" t="s">
        <v>2158</v>
      </c>
      <c r="D205" s="1">
        <v>45411</v>
      </c>
      <c r="E205" s="1">
        <v>45448</v>
      </c>
      <c r="F205" s="1">
        <v>45494</v>
      </c>
      <c r="G205" t="s">
        <v>2162</v>
      </c>
      <c r="H205" t="s">
        <v>2168</v>
      </c>
      <c r="I205" t="s">
        <v>2173</v>
      </c>
      <c r="J205">
        <v>8104</v>
      </c>
      <c r="K205">
        <v>244</v>
      </c>
      <c r="L205">
        <v>8.1999999999999993</v>
      </c>
      <c r="M205">
        <v>11.4</v>
      </c>
      <c r="N205">
        <v>4</v>
      </c>
      <c r="O205">
        <v>10643</v>
      </c>
      <c r="P205" t="s">
        <v>2177</v>
      </c>
      <c r="Q205">
        <v>7</v>
      </c>
      <c r="R205">
        <v>10</v>
      </c>
      <c r="S205">
        <v>12</v>
      </c>
      <c r="T205">
        <v>695</v>
      </c>
      <c r="U205" t="s">
        <v>2188</v>
      </c>
      <c r="W205" t="s">
        <v>2209</v>
      </c>
      <c r="X205" t="s">
        <v>2211</v>
      </c>
      <c r="Y205" t="s">
        <v>2213</v>
      </c>
      <c r="Z205" s="1">
        <v>45492</v>
      </c>
      <c r="AA205" s="1">
        <v>45494</v>
      </c>
      <c r="AB205" t="s">
        <v>2214</v>
      </c>
      <c r="AC205" t="s">
        <v>2209</v>
      </c>
      <c r="AD205" t="s">
        <v>2219</v>
      </c>
      <c r="AE205" t="s">
        <v>2162</v>
      </c>
      <c r="AF205" t="s">
        <v>2165</v>
      </c>
      <c r="AG205" t="s">
        <v>2222</v>
      </c>
      <c r="AH205">
        <v>29</v>
      </c>
      <c r="AI205">
        <v>44</v>
      </c>
      <c r="AJ205">
        <v>15</v>
      </c>
      <c r="AK205">
        <v>6</v>
      </c>
      <c r="AL205" t="s">
        <v>2223</v>
      </c>
      <c r="AM205">
        <v>0</v>
      </c>
      <c r="AN205" t="s">
        <v>2177</v>
      </c>
      <c r="AO205" t="s">
        <v>2177</v>
      </c>
      <c r="AP205" t="s">
        <v>2177</v>
      </c>
      <c r="AQ205">
        <v>93.47999999999999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4.2</v>
      </c>
      <c r="AX205">
        <v>4.5999999999999996</v>
      </c>
      <c r="AY205">
        <v>4.2</v>
      </c>
      <c r="AZ205">
        <v>2</v>
      </c>
      <c r="BA205">
        <v>3</v>
      </c>
      <c r="BB205">
        <v>29</v>
      </c>
      <c r="BC205">
        <v>25</v>
      </c>
      <c r="BD205">
        <v>25.56</v>
      </c>
      <c r="BE205">
        <v>117</v>
      </c>
      <c r="BF205">
        <v>88.1</v>
      </c>
      <c r="BG205">
        <v>29</v>
      </c>
      <c r="BH205">
        <v>25</v>
      </c>
      <c r="BI205">
        <v>25.56</v>
      </c>
      <c r="BJ205">
        <v>117</v>
      </c>
      <c r="BK205">
        <v>88.1</v>
      </c>
      <c r="BL205">
        <v>278</v>
      </c>
      <c r="BM205">
        <v>2.7696999999999998</v>
      </c>
    </row>
    <row r="206" spans="1:65" x14ac:dyDescent="0.25">
      <c r="A206" t="s">
        <v>269</v>
      </c>
      <c r="B206" t="s">
        <v>1244</v>
      </c>
      <c r="C206" t="s">
        <v>2158</v>
      </c>
      <c r="D206" s="1">
        <v>45320</v>
      </c>
      <c r="E206" s="1">
        <v>45350</v>
      </c>
      <c r="F206" s="1">
        <v>45386</v>
      </c>
      <c r="G206" t="s">
        <v>2163</v>
      </c>
      <c r="H206" t="s">
        <v>2169</v>
      </c>
      <c r="I206" t="s">
        <v>2175</v>
      </c>
      <c r="J206">
        <v>9016</v>
      </c>
      <c r="K206">
        <v>271</v>
      </c>
      <c r="L206">
        <v>16.600000000000001</v>
      </c>
      <c r="M206">
        <v>19</v>
      </c>
      <c r="N206">
        <v>5</v>
      </c>
      <c r="O206">
        <v>14290</v>
      </c>
      <c r="P206" t="s">
        <v>2177</v>
      </c>
      <c r="Q206">
        <v>7</v>
      </c>
      <c r="R206">
        <v>10</v>
      </c>
      <c r="S206">
        <v>11</v>
      </c>
      <c r="T206">
        <v>851</v>
      </c>
      <c r="U206" t="s">
        <v>2163</v>
      </c>
      <c r="V206" t="s">
        <v>2169</v>
      </c>
      <c r="W206" t="s">
        <v>2208</v>
      </c>
      <c r="X206" t="s">
        <v>2210</v>
      </c>
      <c r="Y206" t="s">
        <v>2212</v>
      </c>
      <c r="Z206" s="1">
        <v>45393</v>
      </c>
      <c r="AA206" s="1">
        <v>45395</v>
      </c>
      <c r="AB206" t="s">
        <v>2215</v>
      </c>
      <c r="AC206" t="s">
        <v>2208</v>
      </c>
      <c r="AD206" t="s">
        <v>2217</v>
      </c>
      <c r="AE206" t="s">
        <v>2163</v>
      </c>
      <c r="AG206" t="s">
        <v>2220</v>
      </c>
      <c r="AH206">
        <v>28</v>
      </c>
      <c r="AI206">
        <v>43</v>
      </c>
      <c r="AJ206">
        <v>15</v>
      </c>
      <c r="AK206">
        <v>2</v>
      </c>
      <c r="AL206" t="s">
        <v>2228</v>
      </c>
      <c r="AM206">
        <v>0</v>
      </c>
      <c r="AN206" t="s">
        <v>2175</v>
      </c>
      <c r="AO206" t="s">
        <v>2177</v>
      </c>
      <c r="AP206" t="s">
        <v>2177</v>
      </c>
      <c r="AQ206">
        <v>315.39999999999998</v>
      </c>
      <c r="AR206">
        <v>2</v>
      </c>
      <c r="AS206">
        <v>3</v>
      </c>
      <c r="AT206">
        <v>2</v>
      </c>
      <c r="AU206">
        <v>2</v>
      </c>
      <c r="AV206">
        <v>2.333333333333333</v>
      </c>
      <c r="AW206">
        <v>4.4000000000000004</v>
      </c>
      <c r="AY206">
        <v>4.4000000000000004</v>
      </c>
      <c r="AZ206">
        <v>2</v>
      </c>
      <c r="BA206">
        <v>0</v>
      </c>
      <c r="BB206">
        <v>30</v>
      </c>
      <c r="BC206">
        <v>24</v>
      </c>
      <c r="BD206">
        <v>26.21</v>
      </c>
      <c r="BE206">
        <v>116</v>
      </c>
      <c r="BF206">
        <v>87.4</v>
      </c>
      <c r="BG206">
        <v>30</v>
      </c>
      <c r="BH206">
        <v>24</v>
      </c>
      <c r="BI206">
        <v>26.21</v>
      </c>
      <c r="BJ206">
        <v>116</v>
      </c>
      <c r="BK206">
        <v>87.4</v>
      </c>
      <c r="BL206">
        <v>116</v>
      </c>
      <c r="BM206">
        <v>3.2372999999999998</v>
      </c>
    </row>
    <row r="207" spans="1:65" x14ac:dyDescent="0.25">
      <c r="A207" t="s">
        <v>270</v>
      </c>
      <c r="B207" t="s">
        <v>1350</v>
      </c>
      <c r="C207" t="s">
        <v>2157</v>
      </c>
      <c r="D207" s="1">
        <v>45306</v>
      </c>
      <c r="E207" s="1">
        <v>45341</v>
      </c>
      <c r="F207" s="1">
        <v>45481</v>
      </c>
      <c r="G207" t="s">
        <v>2164</v>
      </c>
      <c r="H207" t="s">
        <v>2170</v>
      </c>
      <c r="I207" t="s">
        <v>2175</v>
      </c>
      <c r="J207">
        <v>56615</v>
      </c>
      <c r="K207">
        <v>1699</v>
      </c>
      <c r="L207">
        <v>19.7</v>
      </c>
      <c r="M207">
        <v>15.3</v>
      </c>
      <c r="N207">
        <v>8</v>
      </c>
      <c r="O207">
        <v>15053</v>
      </c>
      <c r="P207" t="s">
        <v>2178</v>
      </c>
      <c r="Q207">
        <v>18</v>
      </c>
      <c r="R207">
        <v>30</v>
      </c>
      <c r="S207">
        <v>69</v>
      </c>
      <c r="T207">
        <v>822</v>
      </c>
      <c r="U207" t="s">
        <v>2193</v>
      </c>
      <c r="W207" t="s">
        <v>2209</v>
      </c>
      <c r="X207" t="s">
        <v>2211</v>
      </c>
      <c r="Y207" t="s">
        <v>2213</v>
      </c>
      <c r="Z207" s="1">
        <v>45488</v>
      </c>
      <c r="AA207" s="1">
        <v>45493</v>
      </c>
      <c r="AB207" t="s">
        <v>2215</v>
      </c>
      <c r="AC207" t="s">
        <v>2208</v>
      </c>
      <c r="AD207" t="s">
        <v>2219</v>
      </c>
      <c r="AE207" t="s">
        <v>2161</v>
      </c>
      <c r="AF207" t="s">
        <v>2165</v>
      </c>
      <c r="AG207" t="s">
        <v>2222</v>
      </c>
      <c r="AH207">
        <v>117</v>
      </c>
      <c r="AI207">
        <v>147</v>
      </c>
      <c r="AJ207">
        <v>30</v>
      </c>
      <c r="AK207">
        <v>2</v>
      </c>
      <c r="AL207" t="s">
        <v>2228</v>
      </c>
      <c r="AM207">
        <v>0</v>
      </c>
      <c r="AN207" t="s">
        <v>2175</v>
      </c>
      <c r="AO207" t="s">
        <v>2175</v>
      </c>
      <c r="AP207" t="s">
        <v>2175</v>
      </c>
      <c r="AQ207">
        <v>301.41000000000003</v>
      </c>
      <c r="AR207">
        <v>3</v>
      </c>
      <c r="AS207">
        <v>3</v>
      </c>
      <c r="AT207">
        <v>3</v>
      </c>
      <c r="AU207">
        <v>3</v>
      </c>
      <c r="AV207">
        <v>3</v>
      </c>
      <c r="AW207">
        <v>4.3</v>
      </c>
      <c r="AX207">
        <v>4.5999999999999996</v>
      </c>
      <c r="AY207">
        <v>4.5</v>
      </c>
      <c r="AZ207">
        <v>1</v>
      </c>
      <c r="BA207">
        <v>0</v>
      </c>
      <c r="BB207">
        <v>34</v>
      </c>
      <c r="BC207">
        <v>24</v>
      </c>
      <c r="BD207">
        <v>29.92</v>
      </c>
      <c r="BE207">
        <v>134</v>
      </c>
      <c r="BF207">
        <v>88</v>
      </c>
      <c r="BG207">
        <v>27</v>
      </c>
      <c r="BH207">
        <v>24</v>
      </c>
      <c r="BI207">
        <v>24.04</v>
      </c>
      <c r="BJ207">
        <v>106</v>
      </c>
      <c r="BK207">
        <v>89</v>
      </c>
      <c r="BL207">
        <v>276</v>
      </c>
      <c r="BM207">
        <v>17.598700000000001</v>
      </c>
    </row>
    <row r="208" spans="1:65" x14ac:dyDescent="0.25">
      <c r="A208" t="s">
        <v>271</v>
      </c>
      <c r="B208" t="s">
        <v>1351</v>
      </c>
      <c r="C208" t="s">
        <v>2158</v>
      </c>
      <c r="D208" s="1">
        <v>45299</v>
      </c>
      <c r="E208" s="1">
        <v>45330</v>
      </c>
      <c r="F208" s="1">
        <v>45431</v>
      </c>
      <c r="G208" t="s">
        <v>2166</v>
      </c>
      <c r="H208" t="s">
        <v>2172</v>
      </c>
      <c r="I208" t="s">
        <v>2174</v>
      </c>
      <c r="J208">
        <v>19243</v>
      </c>
      <c r="K208">
        <v>578</v>
      </c>
      <c r="L208">
        <v>2.8</v>
      </c>
      <c r="M208">
        <v>6</v>
      </c>
      <c r="N208">
        <v>1</v>
      </c>
      <c r="O208">
        <v>6106</v>
      </c>
      <c r="P208" t="s">
        <v>2176</v>
      </c>
      <c r="Q208">
        <v>10</v>
      </c>
      <c r="R208">
        <v>14</v>
      </c>
      <c r="S208">
        <v>39</v>
      </c>
      <c r="T208">
        <v>506</v>
      </c>
      <c r="U208" t="s">
        <v>2166</v>
      </c>
      <c r="V208" t="s">
        <v>2172</v>
      </c>
      <c r="W208" t="s">
        <v>2208</v>
      </c>
      <c r="X208" t="s">
        <v>2210</v>
      </c>
      <c r="Y208" t="s">
        <v>2212</v>
      </c>
      <c r="Z208" s="1">
        <v>45414</v>
      </c>
      <c r="AA208" s="1">
        <v>45416</v>
      </c>
      <c r="AB208" t="s">
        <v>2214</v>
      </c>
      <c r="AC208" t="s">
        <v>2209</v>
      </c>
      <c r="AD208" t="s">
        <v>2216</v>
      </c>
      <c r="AE208" t="s">
        <v>2166</v>
      </c>
      <c r="AG208" t="s">
        <v>2220</v>
      </c>
      <c r="AH208">
        <v>63</v>
      </c>
      <c r="AI208">
        <v>84</v>
      </c>
      <c r="AJ208">
        <v>21</v>
      </c>
      <c r="AK208">
        <v>2</v>
      </c>
      <c r="AL208" t="s">
        <v>2228</v>
      </c>
      <c r="AM208">
        <v>0</v>
      </c>
      <c r="AN208" t="s">
        <v>2176</v>
      </c>
      <c r="AO208" t="s">
        <v>2176</v>
      </c>
      <c r="AP208" t="s">
        <v>2176</v>
      </c>
      <c r="AQ208">
        <v>16.8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4.8</v>
      </c>
      <c r="AY208">
        <v>4.8</v>
      </c>
      <c r="AZ208">
        <v>2</v>
      </c>
      <c r="BA208">
        <v>2</v>
      </c>
      <c r="BB208">
        <v>40</v>
      </c>
      <c r="BC208">
        <v>24</v>
      </c>
      <c r="BD208">
        <v>35.54</v>
      </c>
      <c r="BE208">
        <v>160</v>
      </c>
      <c r="BF208">
        <v>88.8</v>
      </c>
      <c r="BG208">
        <v>40</v>
      </c>
      <c r="BH208">
        <v>24</v>
      </c>
      <c r="BI208">
        <v>35.54</v>
      </c>
      <c r="BJ208">
        <v>160</v>
      </c>
      <c r="BK208">
        <v>88.8</v>
      </c>
      <c r="BL208">
        <v>160</v>
      </c>
      <c r="BM208">
        <v>5.0099</v>
      </c>
    </row>
    <row r="209" spans="1:65" x14ac:dyDescent="0.25">
      <c r="A209" t="s">
        <v>272</v>
      </c>
      <c r="B209" t="s">
        <v>1308</v>
      </c>
      <c r="C209" t="s">
        <v>2159</v>
      </c>
      <c r="D209" s="1">
        <v>45425</v>
      </c>
      <c r="E209" s="1">
        <v>45464</v>
      </c>
      <c r="F209" s="1">
        <v>45551</v>
      </c>
      <c r="G209" t="s">
        <v>2164</v>
      </c>
      <c r="H209" t="s">
        <v>2170</v>
      </c>
      <c r="I209" t="s">
        <v>2175</v>
      </c>
      <c r="J209">
        <v>26511</v>
      </c>
      <c r="K209">
        <v>796</v>
      </c>
      <c r="L209">
        <v>13.7</v>
      </c>
      <c r="M209">
        <v>17.399999999999999</v>
      </c>
      <c r="N209">
        <v>6</v>
      </c>
      <c r="O209">
        <v>15735</v>
      </c>
      <c r="P209" t="s">
        <v>2178</v>
      </c>
      <c r="Q209">
        <v>14</v>
      </c>
      <c r="R209">
        <v>20</v>
      </c>
      <c r="S209">
        <v>33</v>
      </c>
      <c r="T209">
        <v>824</v>
      </c>
      <c r="U209" t="s">
        <v>2199</v>
      </c>
      <c r="W209" t="s">
        <v>2209</v>
      </c>
      <c r="X209" t="s">
        <v>2211</v>
      </c>
      <c r="Y209" t="s">
        <v>2213</v>
      </c>
      <c r="Z209" s="1">
        <v>45553</v>
      </c>
      <c r="AA209" s="1">
        <v>45557</v>
      </c>
      <c r="AB209" t="s">
        <v>2215</v>
      </c>
      <c r="AC209" t="s">
        <v>2208</v>
      </c>
      <c r="AD209" t="s">
        <v>2219</v>
      </c>
      <c r="AE209" t="s">
        <v>2164</v>
      </c>
      <c r="AF209" t="s">
        <v>2163</v>
      </c>
      <c r="AG209" t="s">
        <v>2222</v>
      </c>
      <c r="AH209">
        <v>67</v>
      </c>
      <c r="AI209">
        <v>89</v>
      </c>
      <c r="AJ209">
        <v>22</v>
      </c>
      <c r="AK209">
        <v>6</v>
      </c>
      <c r="AL209" t="s">
        <v>2223</v>
      </c>
      <c r="AM209">
        <v>0</v>
      </c>
      <c r="AN209" t="s">
        <v>2175</v>
      </c>
      <c r="AO209" t="s">
        <v>2177</v>
      </c>
      <c r="AP209" t="s">
        <v>2175</v>
      </c>
      <c r="AQ209">
        <v>238.38</v>
      </c>
      <c r="AR209">
        <v>3</v>
      </c>
      <c r="AS209">
        <v>3</v>
      </c>
      <c r="AT209">
        <v>2</v>
      </c>
      <c r="AU209">
        <v>3</v>
      </c>
      <c r="AV209">
        <v>2.666666666666667</v>
      </c>
      <c r="AW209">
        <v>4.5</v>
      </c>
      <c r="AX209">
        <v>4.4000000000000004</v>
      </c>
      <c r="AY209">
        <v>4.5</v>
      </c>
      <c r="AZ209">
        <v>3</v>
      </c>
      <c r="BA209">
        <v>0</v>
      </c>
      <c r="BB209">
        <v>33</v>
      </c>
      <c r="BC209">
        <v>25</v>
      </c>
      <c r="BD209">
        <v>28.64</v>
      </c>
      <c r="BE209">
        <v>133</v>
      </c>
      <c r="BF209">
        <v>86.8</v>
      </c>
      <c r="BG209">
        <v>33</v>
      </c>
      <c r="BH209">
        <v>25</v>
      </c>
      <c r="BI209">
        <v>28.64</v>
      </c>
      <c r="BJ209">
        <v>133</v>
      </c>
      <c r="BK209">
        <v>86.8</v>
      </c>
      <c r="BL209">
        <v>254</v>
      </c>
      <c r="BM209">
        <v>7.9707999999999997</v>
      </c>
    </row>
    <row r="210" spans="1:65" x14ac:dyDescent="0.25">
      <c r="A210" t="s">
        <v>273</v>
      </c>
      <c r="B210" t="s">
        <v>1328</v>
      </c>
      <c r="C210" t="s">
        <v>2159</v>
      </c>
      <c r="D210" s="1">
        <v>45418</v>
      </c>
      <c r="E210" s="1">
        <v>45462</v>
      </c>
      <c r="F210" s="1">
        <v>45573</v>
      </c>
      <c r="G210" t="s">
        <v>2164</v>
      </c>
      <c r="H210" t="s">
        <v>2170</v>
      </c>
      <c r="I210" t="s">
        <v>2174</v>
      </c>
      <c r="J210">
        <v>25896</v>
      </c>
      <c r="K210">
        <v>777</v>
      </c>
      <c r="L210">
        <v>2.5</v>
      </c>
      <c r="M210">
        <v>4.3</v>
      </c>
      <c r="N210">
        <v>4</v>
      </c>
      <c r="O210">
        <v>3835</v>
      </c>
      <c r="P210" t="s">
        <v>2176</v>
      </c>
      <c r="Q210">
        <v>14</v>
      </c>
      <c r="R210">
        <v>20</v>
      </c>
      <c r="S210">
        <v>41</v>
      </c>
      <c r="T210">
        <v>646</v>
      </c>
      <c r="U210" t="s">
        <v>2183</v>
      </c>
      <c r="W210" t="s">
        <v>2209</v>
      </c>
      <c r="X210" t="s">
        <v>2211</v>
      </c>
      <c r="Y210" t="s">
        <v>2213</v>
      </c>
      <c r="Z210" s="1">
        <v>45560</v>
      </c>
      <c r="AA210" s="1">
        <v>45564</v>
      </c>
      <c r="AB210" t="s">
        <v>2214</v>
      </c>
      <c r="AC210" t="s">
        <v>2209</v>
      </c>
      <c r="AD210" t="s">
        <v>2219</v>
      </c>
      <c r="AE210" t="s">
        <v>2162</v>
      </c>
      <c r="AF210" t="s">
        <v>2163</v>
      </c>
      <c r="AG210" t="s">
        <v>2222</v>
      </c>
      <c r="AH210">
        <v>75</v>
      </c>
      <c r="AI210">
        <v>98</v>
      </c>
      <c r="AJ210">
        <v>23</v>
      </c>
      <c r="AK210">
        <v>6</v>
      </c>
      <c r="AL210" t="s">
        <v>2223</v>
      </c>
      <c r="AM210">
        <v>0</v>
      </c>
      <c r="AN210" t="s">
        <v>2176</v>
      </c>
      <c r="AO210" t="s">
        <v>2177</v>
      </c>
      <c r="AP210" t="s">
        <v>2176</v>
      </c>
      <c r="AQ210">
        <v>10.75</v>
      </c>
      <c r="AR210">
        <v>1</v>
      </c>
      <c r="AS210">
        <v>1</v>
      </c>
      <c r="AT210">
        <v>2</v>
      </c>
      <c r="AU210">
        <v>1</v>
      </c>
      <c r="AV210">
        <v>1.333333333333333</v>
      </c>
      <c r="AW210">
        <v>4.2</v>
      </c>
      <c r="AX210">
        <v>4.4000000000000004</v>
      </c>
      <c r="AY210">
        <v>4.5</v>
      </c>
      <c r="AZ210">
        <v>3</v>
      </c>
      <c r="BA210">
        <v>2</v>
      </c>
      <c r="BB210">
        <v>29</v>
      </c>
      <c r="BC210">
        <v>25</v>
      </c>
      <c r="BD210">
        <v>25.56</v>
      </c>
      <c r="BE210">
        <v>117</v>
      </c>
      <c r="BF210">
        <v>88.1</v>
      </c>
      <c r="BG210">
        <v>33</v>
      </c>
      <c r="BH210">
        <v>25</v>
      </c>
      <c r="BI210">
        <v>28.64</v>
      </c>
      <c r="BJ210">
        <v>133</v>
      </c>
      <c r="BK210">
        <v>86.8</v>
      </c>
      <c r="BL210">
        <v>238</v>
      </c>
      <c r="BM210">
        <v>8.8503000000000007</v>
      </c>
    </row>
    <row r="211" spans="1:65" x14ac:dyDescent="0.25">
      <c r="A211" t="s">
        <v>274</v>
      </c>
      <c r="B211" t="s">
        <v>1352</v>
      </c>
      <c r="C211" t="s">
        <v>2157</v>
      </c>
      <c r="D211" s="1">
        <v>45397</v>
      </c>
      <c r="E211" s="1">
        <v>45437</v>
      </c>
      <c r="F211" s="1">
        <v>45603</v>
      </c>
      <c r="G211" t="s">
        <v>2166</v>
      </c>
      <c r="H211" t="s">
        <v>2172</v>
      </c>
      <c r="I211" t="s">
        <v>2174</v>
      </c>
      <c r="J211">
        <v>49321</v>
      </c>
      <c r="K211">
        <v>1480</v>
      </c>
      <c r="L211">
        <v>6.4</v>
      </c>
      <c r="M211">
        <v>3.8</v>
      </c>
      <c r="N211">
        <v>3</v>
      </c>
      <c r="O211">
        <v>6099</v>
      </c>
      <c r="P211" t="s">
        <v>2176</v>
      </c>
      <c r="Q211">
        <v>18</v>
      </c>
      <c r="R211">
        <v>30</v>
      </c>
      <c r="S211">
        <v>77</v>
      </c>
      <c r="T211">
        <v>648</v>
      </c>
      <c r="U211" t="s">
        <v>2196</v>
      </c>
      <c r="W211" t="s">
        <v>2209</v>
      </c>
      <c r="X211" t="s">
        <v>2211</v>
      </c>
      <c r="Y211" t="s">
        <v>2213</v>
      </c>
      <c r="Z211" s="1">
        <v>45594</v>
      </c>
      <c r="AA211" s="1">
        <v>45599</v>
      </c>
      <c r="AB211" t="s">
        <v>2214</v>
      </c>
      <c r="AC211" t="s">
        <v>2209</v>
      </c>
      <c r="AD211" t="s">
        <v>2219</v>
      </c>
      <c r="AE211" t="s">
        <v>2165</v>
      </c>
      <c r="AF211" t="s">
        <v>2163</v>
      </c>
      <c r="AG211" t="s">
        <v>2222</v>
      </c>
      <c r="AH211">
        <v>125</v>
      </c>
      <c r="AI211">
        <v>157</v>
      </c>
      <c r="AJ211">
        <v>32</v>
      </c>
      <c r="AK211">
        <v>5</v>
      </c>
      <c r="AL211" t="s">
        <v>2224</v>
      </c>
      <c r="AM211">
        <v>0</v>
      </c>
      <c r="AN211" t="s">
        <v>2176</v>
      </c>
      <c r="AO211" t="s">
        <v>2176</v>
      </c>
      <c r="AP211" t="s">
        <v>2176</v>
      </c>
      <c r="AQ211">
        <v>24.32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4.5999999999999996</v>
      </c>
      <c r="AX211">
        <v>4.4000000000000004</v>
      </c>
      <c r="AY211">
        <v>4.8</v>
      </c>
      <c r="AZ211">
        <v>1</v>
      </c>
      <c r="BA211">
        <v>2</v>
      </c>
      <c r="BB211">
        <v>36</v>
      </c>
      <c r="BC211">
        <v>27</v>
      </c>
      <c r="BD211">
        <v>31.37</v>
      </c>
      <c r="BE211">
        <v>158</v>
      </c>
      <c r="BF211">
        <v>87.1</v>
      </c>
      <c r="BG211">
        <v>43</v>
      </c>
      <c r="BH211">
        <v>27</v>
      </c>
      <c r="BI211">
        <v>37.299999999999997</v>
      </c>
      <c r="BJ211">
        <v>193</v>
      </c>
      <c r="BK211">
        <v>86.7</v>
      </c>
      <c r="BL211">
        <v>329</v>
      </c>
      <c r="BM211">
        <v>11.5587</v>
      </c>
    </row>
    <row r="212" spans="1:65" x14ac:dyDescent="0.25">
      <c r="A212" t="s">
        <v>275</v>
      </c>
      <c r="B212" t="s">
        <v>1271</v>
      </c>
      <c r="C212" t="s">
        <v>2160</v>
      </c>
      <c r="D212" s="1">
        <v>45383</v>
      </c>
      <c r="E212" s="1">
        <v>45414</v>
      </c>
      <c r="F212" s="1">
        <v>45480</v>
      </c>
      <c r="G212" t="s">
        <v>2164</v>
      </c>
      <c r="H212" t="s">
        <v>2170</v>
      </c>
      <c r="I212" t="s">
        <v>2174</v>
      </c>
      <c r="J212">
        <v>9814</v>
      </c>
      <c r="K212">
        <v>295</v>
      </c>
      <c r="L212">
        <v>2.7</v>
      </c>
      <c r="M212">
        <v>2.9</v>
      </c>
      <c r="N212">
        <v>3</v>
      </c>
      <c r="O212">
        <v>6949</v>
      </c>
      <c r="P212" t="s">
        <v>2176</v>
      </c>
      <c r="Q212">
        <v>7</v>
      </c>
      <c r="R212">
        <v>10</v>
      </c>
      <c r="S212">
        <v>18</v>
      </c>
      <c r="T212">
        <v>564</v>
      </c>
      <c r="U212" t="s">
        <v>2164</v>
      </c>
      <c r="V212" t="s">
        <v>2170</v>
      </c>
      <c r="W212" t="s">
        <v>2209</v>
      </c>
      <c r="X212" t="s">
        <v>2211</v>
      </c>
      <c r="Y212" t="s">
        <v>2212</v>
      </c>
      <c r="Z212" s="1">
        <v>45466</v>
      </c>
      <c r="AA212" s="1">
        <v>45466</v>
      </c>
      <c r="AB212" t="s">
        <v>2214</v>
      </c>
      <c r="AC212" t="s">
        <v>2209</v>
      </c>
      <c r="AD212" t="s">
        <v>2218</v>
      </c>
      <c r="AE212" t="s">
        <v>2164</v>
      </c>
      <c r="AG212" t="s">
        <v>2221</v>
      </c>
      <c r="AH212">
        <v>35</v>
      </c>
      <c r="AI212">
        <v>52</v>
      </c>
      <c r="AJ212">
        <v>17</v>
      </c>
      <c r="AK212">
        <v>5</v>
      </c>
      <c r="AL212" t="s">
        <v>2224</v>
      </c>
      <c r="AM212">
        <v>0</v>
      </c>
      <c r="AN212" t="s">
        <v>2176</v>
      </c>
      <c r="AO212" t="s">
        <v>2176</v>
      </c>
      <c r="AP212" t="s">
        <v>2176</v>
      </c>
      <c r="AQ212">
        <v>7.83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4.5</v>
      </c>
      <c r="AY212">
        <v>4.5</v>
      </c>
      <c r="AZ212">
        <v>0</v>
      </c>
      <c r="BA212">
        <v>2</v>
      </c>
      <c r="BB212">
        <v>35</v>
      </c>
      <c r="BC212">
        <v>27</v>
      </c>
      <c r="BD212">
        <v>30.96</v>
      </c>
      <c r="BE212">
        <v>158</v>
      </c>
      <c r="BF212">
        <v>88.5</v>
      </c>
      <c r="BG212">
        <v>35</v>
      </c>
      <c r="BH212">
        <v>27</v>
      </c>
      <c r="BI212">
        <v>30.96</v>
      </c>
      <c r="BJ212">
        <v>158</v>
      </c>
      <c r="BK212">
        <v>88.5</v>
      </c>
      <c r="BL212">
        <v>158</v>
      </c>
      <c r="BM212">
        <v>2.2999999999999998</v>
      </c>
    </row>
    <row r="213" spans="1:65" x14ac:dyDescent="0.25">
      <c r="A213" t="s">
        <v>276</v>
      </c>
      <c r="B213" t="s">
        <v>1323</v>
      </c>
      <c r="C213" t="s">
        <v>2158</v>
      </c>
      <c r="D213" s="1">
        <v>45327</v>
      </c>
      <c r="E213" s="1">
        <v>45359</v>
      </c>
      <c r="F213" s="1">
        <v>45434</v>
      </c>
      <c r="G213" t="s">
        <v>2164</v>
      </c>
      <c r="H213" t="s">
        <v>2170</v>
      </c>
      <c r="I213" t="s">
        <v>2176</v>
      </c>
      <c r="J213">
        <v>15732</v>
      </c>
      <c r="K213">
        <v>472</v>
      </c>
      <c r="L213">
        <v>3.5</v>
      </c>
      <c r="M213">
        <v>11.4</v>
      </c>
      <c r="N213">
        <v>2</v>
      </c>
      <c r="O213">
        <v>3376</v>
      </c>
      <c r="P213" t="s">
        <v>2176</v>
      </c>
      <c r="Q213">
        <v>10</v>
      </c>
      <c r="R213">
        <v>14</v>
      </c>
      <c r="S213">
        <v>24</v>
      </c>
      <c r="T213">
        <v>668</v>
      </c>
      <c r="U213" t="s">
        <v>2162</v>
      </c>
      <c r="V213" t="s">
        <v>2168</v>
      </c>
      <c r="W213" t="s">
        <v>2209</v>
      </c>
      <c r="X213" t="s">
        <v>2211</v>
      </c>
      <c r="Y213" t="s">
        <v>2212</v>
      </c>
      <c r="Z213" s="1">
        <v>45426</v>
      </c>
      <c r="AA213" s="1">
        <v>45430</v>
      </c>
      <c r="AB213" t="s">
        <v>2214</v>
      </c>
      <c r="AC213" t="s">
        <v>2209</v>
      </c>
      <c r="AD213" t="s">
        <v>2218</v>
      </c>
      <c r="AE213" t="s">
        <v>2162</v>
      </c>
      <c r="AG213" t="s">
        <v>2221</v>
      </c>
      <c r="AH213">
        <v>48</v>
      </c>
      <c r="AI213">
        <v>67</v>
      </c>
      <c r="AJ213">
        <v>19</v>
      </c>
      <c r="AK213">
        <v>3</v>
      </c>
      <c r="AL213" t="s">
        <v>2227</v>
      </c>
      <c r="AM213">
        <v>0</v>
      </c>
      <c r="AN213" t="s">
        <v>2177</v>
      </c>
      <c r="AO213" t="s">
        <v>2176</v>
      </c>
      <c r="AP213" t="s">
        <v>2176</v>
      </c>
      <c r="AQ213">
        <v>39.9</v>
      </c>
      <c r="AR213">
        <v>1</v>
      </c>
      <c r="AS213">
        <v>2</v>
      </c>
      <c r="AT213">
        <v>1</v>
      </c>
      <c r="AU213">
        <v>1</v>
      </c>
      <c r="AV213">
        <v>1.333333333333333</v>
      </c>
      <c r="AW213">
        <v>4.2</v>
      </c>
      <c r="AY213">
        <v>4.5</v>
      </c>
      <c r="AZ213">
        <v>2</v>
      </c>
      <c r="BA213">
        <v>1</v>
      </c>
      <c r="BB213">
        <v>31</v>
      </c>
      <c r="BC213">
        <v>26</v>
      </c>
      <c r="BD213">
        <v>27.27</v>
      </c>
      <c r="BE213">
        <v>130</v>
      </c>
      <c r="BF213">
        <v>88</v>
      </c>
      <c r="BG213">
        <v>30</v>
      </c>
      <c r="BH213">
        <v>26</v>
      </c>
      <c r="BI213">
        <v>26.31</v>
      </c>
      <c r="BJ213">
        <v>128</v>
      </c>
      <c r="BK213">
        <v>87.7</v>
      </c>
      <c r="BL213">
        <v>130</v>
      </c>
      <c r="BM213">
        <v>4.6531000000000002</v>
      </c>
    </row>
    <row r="214" spans="1:65" x14ac:dyDescent="0.25">
      <c r="A214" t="s">
        <v>277</v>
      </c>
      <c r="B214" t="s">
        <v>1353</v>
      </c>
      <c r="C214" t="s">
        <v>2160</v>
      </c>
      <c r="D214" s="1">
        <v>45418</v>
      </c>
      <c r="E214" s="1">
        <v>45457</v>
      </c>
      <c r="F214" s="1">
        <v>45531</v>
      </c>
      <c r="G214" t="s">
        <v>2163</v>
      </c>
      <c r="H214" t="s">
        <v>2169</v>
      </c>
      <c r="I214" t="s">
        <v>2176</v>
      </c>
      <c r="J214">
        <v>17638</v>
      </c>
      <c r="K214">
        <v>530</v>
      </c>
      <c r="L214">
        <v>11.6</v>
      </c>
      <c r="M214">
        <v>3.3</v>
      </c>
      <c r="N214">
        <v>4</v>
      </c>
      <c r="O214">
        <v>9120</v>
      </c>
      <c r="P214" t="s">
        <v>2177</v>
      </c>
      <c r="Q214">
        <v>10</v>
      </c>
      <c r="R214">
        <v>14</v>
      </c>
      <c r="S214">
        <v>22</v>
      </c>
      <c r="T214">
        <v>838</v>
      </c>
      <c r="U214" t="s">
        <v>2194</v>
      </c>
      <c r="W214" t="s">
        <v>2209</v>
      </c>
      <c r="X214" t="s">
        <v>2211</v>
      </c>
      <c r="Y214" t="s">
        <v>2213</v>
      </c>
      <c r="Z214" s="1">
        <v>45522</v>
      </c>
      <c r="AA214" s="1">
        <v>45522</v>
      </c>
      <c r="AB214" t="s">
        <v>2214</v>
      </c>
      <c r="AC214" t="s">
        <v>2209</v>
      </c>
      <c r="AD214" t="s">
        <v>2219</v>
      </c>
      <c r="AE214" t="s">
        <v>2166</v>
      </c>
      <c r="AF214" t="s">
        <v>2165</v>
      </c>
      <c r="AG214" t="s">
        <v>2222</v>
      </c>
      <c r="AH214">
        <v>46</v>
      </c>
      <c r="AI214">
        <v>65</v>
      </c>
      <c r="AJ214">
        <v>19</v>
      </c>
      <c r="AK214">
        <v>6</v>
      </c>
      <c r="AL214" t="s">
        <v>2223</v>
      </c>
      <c r="AM214">
        <v>0</v>
      </c>
      <c r="AN214" t="s">
        <v>2177</v>
      </c>
      <c r="AO214" t="s">
        <v>2177</v>
      </c>
      <c r="AP214" t="s">
        <v>2177</v>
      </c>
      <c r="AQ214">
        <v>38.279999999999987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4.8</v>
      </c>
      <c r="AX214">
        <v>4.5999999999999996</v>
      </c>
      <c r="AY214">
        <v>4.4000000000000004</v>
      </c>
      <c r="AZ214">
        <v>0</v>
      </c>
      <c r="BA214">
        <v>1</v>
      </c>
      <c r="BB214">
        <v>45</v>
      </c>
      <c r="BC214">
        <v>25</v>
      </c>
      <c r="BD214">
        <v>39.200000000000003</v>
      </c>
      <c r="BE214">
        <v>186</v>
      </c>
      <c r="BF214">
        <v>87.1</v>
      </c>
      <c r="BG214">
        <v>30</v>
      </c>
      <c r="BH214">
        <v>25</v>
      </c>
      <c r="BI214">
        <v>26.48</v>
      </c>
      <c r="BJ214">
        <v>121</v>
      </c>
      <c r="BK214">
        <v>88.3</v>
      </c>
      <c r="BL214">
        <v>347</v>
      </c>
      <c r="BM214">
        <v>3.7923</v>
      </c>
    </row>
    <row r="215" spans="1:65" x14ac:dyDescent="0.25">
      <c r="A215" t="s">
        <v>278</v>
      </c>
      <c r="B215" t="s">
        <v>1354</v>
      </c>
      <c r="C215" t="s">
        <v>2160</v>
      </c>
      <c r="D215" s="1">
        <v>45586</v>
      </c>
      <c r="E215" s="1">
        <v>45630</v>
      </c>
      <c r="F215" s="1">
        <v>45696</v>
      </c>
      <c r="G215" t="s">
        <v>2165</v>
      </c>
      <c r="H215" t="s">
        <v>2171</v>
      </c>
      <c r="I215" t="s">
        <v>2176</v>
      </c>
      <c r="J215">
        <v>14771</v>
      </c>
      <c r="K215">
        <v>444</v>
      </c>
      <c r="L215">
        <v>6.2</v>
      </c>
      <c r="M215">
        <v>9.6999999999999993</v>
      </c>
      <c r="N215">
        <v>3</v>
      </c>
      <c r="O215">
        <v>8852</v>
      </c>
      <c r="P215" t="s">
        <v>2176</v>
      </c>
      <c r="Q215">
        <v>10</v>
      </c>
      <c r="R215">
        <v>14</v>
      </c>
      <c r="S215">
        <v>19</v>
      </c>
      <c r="T215">
        <v>792</v>
      </c>
      <c r="U215" t="s">
        <v>2200</v>
      </c>
      <c r="W215" t="s">
        <v>2209</v>
      </c>
      <c r="X215" t="s">
        <v>2211</v>
      </c>
      <c r="Y215" t="s">
        <v>2213</v>
      </c>
      <c r="Z215" s="1">
        <v>45691</v>
      </c>
      <c r="AA215" s="1">
        <v>45696</v>
      </c>
      <c r="AB215" t="s">
        <v>2214</v>
      </c>
      <c r="AC215" t="s">
        <v>2209</v>
      </c>
      <c r="AD215" t="s">
        <v>2219</v>
      </c>
      <c r="AE215" t="s">
        <v>2161</v>
      </c>
      <c r="AF215" t="s">
        <v>2166</v>
      </c>
      <c r="AG215" t="s">
        <v>2222</v>
      </c>
      <c r="AH215">
        <v>43</v>
      </c>
      <c r="AI215">
        <v>61</v>
      </c>
      <c r="AJ215">
        <v>18</v>
      </c>
      <c r="AK215">
        <v>12</v>
      </c>
      <c r="AL215" t="s">
        <v>2229</v>
      </c>
      <c r="AM215">
        <v>1</v>
      </c>
      <c r="AN215" t="s">
        <v>2177</v>
      </c>
      <c r="AO215" t="s">
        <v>2176</v>
      </c>
      <c r="AP215" t="s">
        <v>2177</v>
      </c>
      <c r="AQ215">
        <v>60.14</v>
      </c>
      <c r="AR215">
        <v>1</v>
      </c>
      <c r="AS215">
        <v>2</v>
      </c>
      <c r="AT215">
        <v>1</v>
      </c>
      <c r="AU215">
        <v>2</v>
      </c>
      <c r="AV215">
        <v>1.666666666666667</v>
      </c>
      <c r="AW215">
        <v>4.3</v>
      </c>
      <c r="AX215">
        <v>4.8</v>
      </c>
      <c r="AY215">
        <v>4.5999999999999996</v>
      </c>
      <c r="AZ215">
        <v>0</v>
      </c>
      <c r="BA215">
        <v>1</v>
      </c>
      <c r="BB215">
        <v>36</v>
      </c>
      <c r="BC215">
        <v>27</v>
      </c>
      <c r="BD215">
        <v>31.85</v>
      </c>
      <c r="BE215">
        <v>158</v>
      </c>
      <c r="BF215">
        <v>88.5</v>
      </c>
      <c r="BG215">
        <v>36</v>
      </c>
      <c r="BH215">
        <v>27</v>
      </c>
      <c r="BI215">
        <v>31.41</v>
      </c>
      <c r="BJ215">
        <v>155</v>
      </c>
      <c r="BK215">
        <v>87.2</v>
      </c>
      <c r="BL215">
        <v>366</v>
      </c>
      <c r="BM215">
        <v>3.4617</v>
      </c>
    </row>
    <row r="216" spans="1:65" x14ac:dyDescent="0.25">
      <c r="A216" t="s">
        <v>279</v>
      </c>
      <c r="B216" t="s">
        <v>1249</v>
      </c>
      <c r="C216" t="s">
        <v>2160</v>
      </c>
      <c r="D216" s="1">
        <v>45334</v>
      </c>
      <c r="E216" s="1">
        <v>45377</v>
      </c>
      <c r="F216" s="1">
        <v>45460</v>
      </c>
      <c r="G216" t="s">
        <v>2166</v>
      </c>
      <c r="H216" t="s">
        <v>2172</v>
      </c>
      <c r="I216" t="s">
        <v>2174</v>
      </c>
      <c r="J216">
        <v>15234</v>
      </c>
      <c r="K216">
        <v>458</v>
      </c>
      <c r="L216">
        <v>1.1000000000000001</v>
      </c>
      <c r="M216">
        <v>1.2</v>
      </c>
      <c r="N216">
        <v>1</v>
      </c>
      <c r="O216">
        <v>3717</v>
      </c>
      <c r="P216" t="s">
        <v>2176</v>
      </c>
      <c r="Q216">
        <v>10</v>
      </c>
      <c r="R216">
        <v>14</v>
      </c>
      <c r="S216">
        <v>24</v>
      </c>
      <c r="T216">
        <v>647</v>
      </c>
      <c r="U216" t="s">
        <v>2193</v>
      </c>
      <c r="W216" t="s">
        <v>2209</v>
      </c>
      <c r="X216" t="s">
        <v>2211</v>
      </c>
      <c r="Y216" t="s">
        <v>2213</v>
      </c>
      <c r="Z216" s="1">
        <v>45444</v>
      </c>
      <c r="AA216" s="1">
        <v>45444</v>
      </c>
      <c r="AB216" t="s">
        <v>2214</v>
      </c>
      <c r="AC216" t="s">
        <v>2209</v>
      </c>
      <c r="AD216" t="s">
        <v>2219</v>
      </c>
      <c r="AE216" t="s">
        <v>2161</v>
      </c>
      <c r="AF216" t="s">
        <v>2165</v>
      </c>
      <c r="AG216" t="s">
        <v>2222</v>
      </c>
      <c r="AH216">
        <v>48</v>
      </c>
      <c r="AI216">
        <v>67</v>
      </c>
      <c r="AJ216">
        <v>19</v>
      </c>
      <c r="AK216">
        <v>3</v>
      </c>
      <c r="AL216" t="s">
        <v>2227</v>
      </c>
      <c r="AM216">
        <v>0</v>
      </c>
      <c r="AN216" t="s">
        <v>2176</v>
      </c>
      <c r="AO216" t="s">
        <v>2176</v>
      </c>
      <c r="AP216" t="s">
        <v>2176</v>
      </c>
      <c r="AQ216">
        <v>1.32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4.3</v>
      </c>
      <c r="AX216">
        <v>4.5999999999999996</v>
      </c>
      <c r="AY216">
        <v>4.8</v>
      </c>
      <c r="AZ216">
        <v>0</v>
      </c>
      <c r="BA216">
        <v>2</v>
      </c>
      <c r="BB216">
        <v>38</v>
      </c>
      <c r="BC216">
        <v>26</v>
      </c>
      <c r="BD216">
        <v>33.729999999999997</v>
      </c>
      <c r="BE216">
        <v>164</v>
      </c>
      <c r="BF216">
        <v>88.8</v>
      </c>
      <c r="BG216">
        <v>49</v>
      </c>
      <c r="BH216">
        <v>26</v>
      </c>
      <c r="BI216">
        <v>43.12</v>
      </c>
      <c r="BJ216">
        <v>216</v>
      </c>
      <c r="BK216">
        <v>88</v>
      </c>
      <c r="BL216">
        <v>376</v>
      </c>
      <c r="BM216">
        <v>3.5718999999999999</v>
      </c>
    </row>
    <row r="217" spans="1:65" x14ac:dyDescent="0.25">
      <c r="A217" t="s">
        <v>280</v>
      </c>
      <c r="B217" t="s">
        <v>1307</v>
      </c>
      <c r="C217" t="s">
        <v>2157</v>
      </c>
      <c r="D217" s="1">
        <v>45425</v>
      </c>
      <c r="E217" s="1">
        <v>45470</v>
      </c>
      <c r="F217" s="1">
        <v>45611</v>
      </c>
      <c r="G217" t="s">
        <v>2162</v>
      </c>
      <c r="H217" t="s">
        <v>2168</v>
      </c>
      <c r="I217" t="s">
        <v>2175</v>
      </c>
      <c r="J217">
        <v>56198</v>
      </c>
      <c r="K217">
        <v>1686</v>
      </c>
      <c r="L217">
        <v>16.100000000000001</v>
      </c>
      <c r="M217">
        <v>19</v>
      </c>
      <c r="N217">
        <v>8</v>
      </c>
      <c r="O217">
        <v>19804</v>
      </c>
      <c r="P217" t="s">
        <v>2178</v>
      </c>
      <c r="Q217">
        <v>18</v>
      </c>
      <c r="R217">
        <v>30</v>
      </c>
      <c r="S217">
        <v>63</v>
      </c>
      <c r="T217">
        <v>895</v>
      </c>
      <c r="U217" t="s">
        <v>2164</v>
      </c>
      <c r="V217" t="s">
        <v>2170</v>
      </c>
      <c r="W217" t="s">
        <v>2209</v>
      </c>
      <c r="X217" t="s">
        <v>2211</v>
      </c>
      <c r="Y217" t="s">
        <v>2212</v>
      </c>
      <c r="Z217" s="1">
        <v>45610</v>
      </c>
      <c r="AA217" s="1">
        <v>45613</v>
      </c>
      <c r="AB217" t="s">
        <v>2214</v>
      </c>
      <c r="AC217" t="s">
        <v>2209</v>
      </c>
      <c r="AD217" t="s">
        <v>2218</v>
      </c>
      <c r="AE217" t="s">
        <v>2164</v>
      </c>
      <c r="AG217" t="s">
        <v>2221</v>
      </c>
      <c r="AH217">
        <v>111</v>
      </c>
      <c r="AI217">
        <v>140</v>
      </c>
      <c r="AJ217">
        <v>29</v>
      </c>
      <c r="AK217">
        <v>6</v>
      </c>
      <c r="AL217" t="s">
        <v>2223</v>
      </c>
      <c r="AM217">
        <v>0</v>
      </c>
      <c r="AN217" t="s">
        <v>2175</v>
      </c>
      <c r="AO217" t="s">
        <v>2175</v>
      </c>
      <c r="AP217" t="s">
        <v>2175</v>
      </c>
      <c r="AQ217">
        <v>305.89999999999998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4.5</v>
      </c>
      <c r="AY217">
        <v>4.2</v>
      </c>
      <c r="AZ217">
        <v>1</v>
      </c>
      <c r="BA217">
        <v>0</v>
      </c>
      <c r="BB217">
        <v>33</v>
      </c>
      <c r="BC217">
        <v>25</v>
      </c>
      <c r="BD217">
        <v>28.64</v>
      </c>
      <c r="BE217">
        <v>133</v>
      </c>
      <c r="BF217">
        <v>86.8</v>
      </c>
      <c r="BG217">
        <v>29</v>
      </c>
      <c r="BH217">
        <v>25</v>
      </c>
      <c r="BI217">
        <v>25.56</v>
      </c>
      <c r="BJ217">
        <v>117</v>
      </c>
      <c r="BK217">
        <v>88.1</v>
      </c>
      <c r="BL217">
        <v>133</v>
      </c>
      <c r="BM217">
        <v>16.896599999999999</v>
      </c>
    </row>
    <row r="218" spans="1:65" x14ac:dyDescent="0.25">
      <c r="A218" t="s">
        <v>281</v>
      </c>
      <c r="B218" t="s">
        <v>1267</v>
      </c>
      <c r="C218" t="s">
        <v>2159</v>
      </c>
      <c r="D218" s="1">
        <v>45320</v>
      </c>
      <c r="E218" s="1">
        <v>45364</v>
      </c>
      <c r="F218" s="1">
        <v>45468</v>
      </c>
      <c r="G218" t="s">
        <v>2165</v>
      </c>
      <c r="H218" t="s">
        <v>2171</v>
      </c>
      <c r="I218" t="s">
        <v>2176</v>
      </c>
      <c r="J218">
        <v>25715</v>
      </c>
      <c r="K218">
        <v>772</v>
      </c>
      <c r="L218">
        <v>4.2</v>
      </c>
      <c r="M218">
        <v>10.8</v>
      </c>
      <c r="N218">
        <v>4</v>
      </c>
      <c r="O218">
        <v>8059</v>
      </c>
      <c r="P218" t="s">
        <v>2177</v>
      </c>
      <c r="Q218">
        <v>14</v>
      </c>
      <c r="R218">
        <v>20</v>
      </c>
      <c r="S218">
        <v>37</v>
      </c>
      <c r="T218">
        <v>706</v>
      </c>
      <c r="U218" t="s">
        <v>2201</v>
      </c>
      <c r="W218" t="s">
        <v>2209</v>
      </c>
      <c r="X218" t="s">
        <v>2211</v>
      </c>
      <c r="Y218" t="s">
        <v>2213</v>
      </c>
      <c r="Z218" s="1">
        <v>45458</v>
      </c>
      <c r="AA218" s="1">
        <v>45458</v>
      </c>
      <c r="AB218" t="s">
        <v>2214</v>
      </c>
      <c r="AC218" t="s">
        <v>2209</v>
      </c>
      <c r="AD218" t="s">
        <v>2219</v>
      </c>
      <c r="AE218" t="s">
        <v>2165</v>
      </c>
      <c r="AF218" t="s">
        <v>2161</v>
      </c>
      <c r="AG218" t="s">
        <v>2222</v>
      </c>
      <c r="AH218">
        <v>71</v>
      </c>
      <c r="AI218">
        <v>94</v>
      </c>
      <c r="AJ218">
        <v>23</v>
      </c>
      <c r="AK218">
        <v>3</v>
      </c>
      <c r="AL218" t="s">
        <v>2227</v>
      </c>
      <c r="AM218">
        <v>0</v>
      </c>
      <c r="AN218" t="s">
        <v>2177</v>
      </c>
      <c r="AO218" t="s">
        <v>2177</v>
      </c>
      <c r="AP218" t="s">
        <v>2177</v>
      </c>
      <c r="AQ218">
        <v>45.360000000000007</v>
      </c>
      <c r="AR218">
        <v>2</v>
      </c>
      <c r="AS218">
        <v>2</v>
      </c>
      <c r="AT218">
        <v>2</v>
      </c>
      <c r="AU218">
        <v>2</v>
      </c>
      <c r="AV218">
        <v>2</v>
      </c>
      <c r="AW218">
        <v>4.5999999999999996</v>
      </c>
      <c r="AX218">
        <v>4.3</v>
      </c>
      <c r="AY218">
        <v>4.5999999999999996</v>
      </c>
      <c r="AZ218">
        <v>3</v>
      </c>
      <c r="BA218">
        <v>1</v>
      </c>
      <c r="BB218">
        <v>48</v>
      </c>
      <c r="BC218">
        <v>26</v>
      </c>
      <c r="BD218">
        <v>42.38</v>
      </c>
      <c r="BE218">
        <v>212</v>
      </c>
      <c r="BF218">
        <v>88.3</v>
      </c>
      <c r="BG218">
        <v>48</v>
      </c>
      <c r="BH218">
        <v>26</v>
      </c>
      <c r="BI218">
        <v>42.38</v>
      </c>
      <c r="BJ218">
        <v>212</v>
      </c>
      <c r="BK218">
        <v>88.3</v>
      </c>
      <c r="BL218">
        <v>376</v>
      </c>
      <c r="BM218">
        <v>4.6643999999999997</v>
      </c>
    </row>
    <row r="219" spans="1:65" x14ac:dyDescent="0.25">
      <c r="A219" t="s">
        <v>282</v>
      </c>
      <c r="B219" t="s">
        <v>1311</v>
      </c>
      <c r="C219" t="s">
        <v>2159</v>
      </c>
      <c r="D219" s="1">
        <v>45306</v>
      </c>
      <c r="E219" s="1">
        <v>45346</v>
      </c>
      <c r="F219" s="1">
        <v>45427</v>
      </c>
      <c r="G219" t="s">
        <v>2161</v>
      </c>
      <c r="H219" t="s">
        <v>2167</v>
      </c>
      <c r="I219" t="s">
        <v>2174</v>
      </c>
      <c r="J219">
        <v>18618</v>
      </c>
      <c r="K219">
        <v>559</v>
      </c>
      <c r="L219">
        <v>1.3</v>
      </c>
      <c r="M219">
        <v>6.6</v>
      </c>
      <c r="N219">
        <v>4</v>
      </c>
      <c r="O219">
        <v>6840</v>
      </c>
      <c r="P219" t="s">
        <v>2176</v>
      </c>
      <c r="Q219">
        <v>10</v>
      </c>
      <c r="R219">
        <v>14</v>
      </c>
      <c r="S219">
        <v>29</v>
      </c>
      <c r="T219">
        <v>644</v>
      </c>
      <c r="U219" t="s">
        <v>2161</v>
      </c>
      <c r="V219" t="s">
        <v>2167</v>
      </c>
      <c r="W219" t="s">
        <v>2208</v>
      </c>
      <c r="X219" t="s">
        <v>2210</v>
      </c>
      <c r="Y219" t="s">
        <v>2212</v>
      </c>
      <c r="Z219" s="1">
        <v>45418</v>
      </c>
      <c r="AA219" s="1">
        <v>45423</v>
      </c>
      <c r="AB219" t="s">
        <v>2214</v>
      </c>
      <c r="AC219" t="s">
        <v>2209</v>
      </c>
      <c r="AD219" t="s">
        <v>2216</v>
      </c>
      <c r="AE219" t="s">
        <v>2161</v>
      </c>
      <c r="AG219" t="s">
        <v>2220</v>
      </c>
      <c r="AH219">
        <v>53</v>
      </c>
      <c r="AI219">
        <v>72</v>
      </c>
      <c r="AJ219">
        <v>19</v>
      </c>
      <c r="AK219">
        <v>2</v>
      </c>
      <c r="AL219" t="s">
        <v>2228</v>
      </c>
      <c r="AM219">
        <v>0</v>
      </c>
      <c r="AN219" t="s">
        <v>2176</v>
      </c>
      <c r="AO219" t="s">
        <v>2177</v>
      </c>
      <c r="AP219" t="s">
        <v>2176</v>
      </c>
      <c r="AQ219">
        <v>8.58</v>
      </c>
      <c r="AR219">
        <v>1</v>
      </c>
      <c r="AS219">
        <v>1</v>
      </c>
      <c r="AT219">
        <v>2</v>
      </c>
      <c r="AU219">
        <v>1</v>
      </c>
      <c r="AV219">
        <v>1.333333333333333</v>
      </c>
      <c r="AW219">
        <v>4.3</v>
      </c>
      <c r="AY219">
        <v>4.3</v>
      </c>
      <c r="AZ219">
        <v>3</v>
      </c>
      <c r="BA219">
        <v>2</v>
      </c>
      <c r="BB219">
        <v>34</v>
      </c>
      <c r="BC219">
        <v>24</v>
      </c>
      <c r="BD219">
        <v>29.92</v>
      </c>
      <c r="BE219">
        <v>134</v>
      </c>
      <c r="BF219">
        <v>88</v>
      </c>
      <c r="BG219">
        <v>34</v>
      </c>
      <c r="BH219">
        <v>24</v>
      </c>
      <c r="BI219">
        <v>29.92</v>
      </c>
      <c r="BJ219">
        <v>134</v>
      </c>
      <c r="BK219">
        <v>88</v>
      </c>
      <c r="BL219">
        <v>134</v>
      </c>
      <c r="BM219">
        <v>5.7873999999999999</v>
      </c>
    </row>
    <row r="220" spans="1:65" x14ac:dyDescent="0.25">
      <c r="A220" t="s">
        <v>283</v>
      </c>
      <c r="B220" t="s">
        <v>1325</v>
      </c>
      <c r="C220" t="s">
        <v>2158</v>
      </c>
      <c r="D220" s="1">
        <v>45334</v>
      </c>
      <c r="E220" s="1">
        <v>45376</v>
      </c>
      <c r="F220" s="1">
        <v>45417</v>
      </c>
      <c r="G220" t="s">
        <v>2165</v>
      </c>
      <c r="H220" t="s">
        <v>2171</v>
      </c>
      <c r="I220" t="s">
        <v>2175</v>
      </c>
      <c r="J220">
        <v>7348</v>
      </c>
      <c r="K220">
        <v>221</v>
      </c>
      <c r="L220">
        <v>10.5</v>
      </c>
      <c r="M220">
        <v>13.9</v>
      </c>
      <c r="N220">
        <v>9</v>
      </c>
      <c r="O220">
        <v>17335</v>
      </c>
      <c r="P220" t="s">
        <v>2178</v>
      </c>
      <c r="Q220">
        <v>7</v>
      </c>
      <c r="R220">
        <v>10</v>
      </c>
      <c r="S220">
        <v>9</v>
      </c>
      <c r="T220">
        <v>887</v>
      </c>
      <c r="U220" t="s">
        <v>2165</v>
      </c>
      <c r="V220" t="s">
        <v>2171</v>
      </c>
      <c r="W220" t="s">
        <v>2208</v>
      </c>
      <c r="X220" t="s">
        <v>2210</v>
      </c>
      <c r="Y220" t="s">
        <v>2212</v>
      </c>
      <c r="Z220" s="1">
        <v>45417</v>
      </c>
      <c r="AA220" s="1">
        <v>45423</v>
      </c>
      <c r="AB220" t="s">
        <v>2214</v>
      </c>
      <c r="AC220" t="s">
        <v>2209</v>
      </c>
      <c r="AD220" t="s">
        <v>2216</v>
      </c>
      <c r="AE220" t="s">
        <v>2165</v>
      </c>
      <c r="AG220" t="s">
        <v>2220</v>
      </c>
      <c r="AH220">
        <v>26</v>
      </c>
      <c r="AI220">
        <v>41</v>
      </c>
      <c r="AJ220">
        <v>15</v>
      </c>
      <c r="AK220">
        <v>3</v>
      </c>
      <c r="AL220" t="s">
        <v>2227</v>
      </c>
      <c r="AM220">
        <v>0</v>
      </c>
      <c r="AN220" t="s">
        <v>2175</v>
      </c>
      <c r="AO220" t="s">
        <v>2175</v>
      </c>
      <c r="AP220" t="s">
        <v>2175</v>
      </c>
      <c r="AQ220">
        <v>145.94999999999999</v>
      </c>
      <c r="AR220">
        <v>3</v>
      </c>
      <c r="AS220">
        <v>3</v>
      </c>
      <c r="AT220">
        <v>3</v>
      </c>
      <c r="AU220">
        <v>3</v>
      </c>
      <c r="AV220">
        <v>3</v>
      </c>
      <c r="AW220">
        <v>4.5999999999999996</v>
      </c>
      <c r="AY220">
        <v>4.5999999999999996</v>
      </c>
      <c r="AZ220">
        <v>2</v>
      </c>
      <c r="BA220">
        <v>0</v>
      </c>
      <c r="BB220">
        <v>48</v>
      </c>
      <c r="BC220">
        <v>26</v>
      </c>
      <c r="BD220">
        <v>42.38</v>
      </c>
      <c r="BE220">
        <v>212</v>
      </c>
      <c r="BF220">
        <v>88.3</v>
      </c>
      <c r="BG220">
        <v>48</v>
      </c>
      <c r="BH220">
        <v>26</v>
      </c>
      <c r="BI220">
        <v>42.38</v>
      </c>
      <c r="BJ220">
        <v>212</v>
      </c>
      <c r="BK220">
        <v>88.3</v>
      </c>
      <c r="BL220">
        <v>212</v>
      </c>
      <c r="BM220">
        <v>1.3328</v>
      </c>
    </row>
    <row r="221" spans="1:65" x14ac:dyDescent="0.25">
      <c r="A221" t="s">
        <v>284</v>
      </c>
      <c r="B221" t="s">
        <v>1355</v>
      </c>
      <c r="C221" t="s">
        <v>2159</v>
      </c>
      <c r="D221" s="1">
        <v>45327</v>
      </c>
      <c r="E221" s="1">
        <v>45358</v>
      </c>
      <c r="F221" s="1">
        <v>45450</v>
      </c>
      <c r="G221" t="s">
        <v>2163</v>
      </c>
      <c r="H221" t="s">
        <v>2169</v>
      </c>
      <c r="I221" t="s">
        <v>2174</v>
      </c>
      <c r="J221">
        <v>19936</v>
      </c>
      <c r="K221">
        <v>599</v>
      </c>
      <c r="L221">
        <v>5.3</v>
      </c>
      <c r="M221">
        <v>4.9000000000000004</v>
      </c>
      <c r="N221">
        <v>3</v>
      </c>
      <c r="O221">
        <v>6448</v>
      </c>
      <c r="P221" t="s">
        <v>2176</v>
      </c>
      <c r="Q221">
        <v>10</v>
      </c>
      <c r="R221">
        <v>14</v>
      </c>
      <c r="S221">
        <v>38</v>
      </c>
      <c r="T221">
        <v>536</v>
      </c>
      <c r="U221" t="s">
        <v>2193</v>
      </c>
      <c r="W221" t="s">
        <v>2209</v>
      </c>
      <c r="X221" t="s">
        <v>2211</v>
      </c>
      <c r="Y221" t="s">
        <v>2213</v>
      </c>
      <c r="Z221" s="1">
        <v>45441</v>
      </c>
      <c r="AA221" s="1">
        <v>45444</v>
      </c>
      <c r="AB221" t="s">
        <v>2214</v>
      </c>
      <c r="AC221" t="s">
        <v>2209</v>
      </c>
      <c r="AD221" t="s">
        <v>2219</v>
      </c>
      <c r="AE221" t="s">
        <v>2161</v>
      </c>
      <c r="AF221" t="s">
        <v>2165</v>
      </c>
      <c r="AG221" t="s">
        <v>2222</v>
      </c>
      <c r="AH221">
        <v>62</v>
      </c>
      <c r="AI221">
        <v>83</v>
      </c>
      <c r="AJ221">
        <v>21</v>
      </c>
      <c r="AK221">
        <v>3</v>
      </c>
      <c r="AL221" t="s">
        <v>2227</v>
      </c>
      <c r="AM221">
        <v>0</v>
      </c>
      <c r="AN221" t="s">
        <v>2176</v>
      </c>
      <c r="AO221" t="s">
        <v>2176</v>
      </c>
      <c r="AP221" t="s">
        <v>2176</v>
      </c>
      <c r="AQ221">
        <v>25.97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4.3</v>
      </c>
      <c r="AX221">
        <v>4.5999999999999996</v>
      </c>
      <c r="AY221">
        <v>4.4000000000000004</v>
      </c>
      <c r="AZ221">
        <v>3</v>
      </c>
      <c r="BA221">
        <v>2</v>
      </c>
      <c r="BB221">
        <v>38</v>
      </c>
      <c r="BC221">
        <v>26</v>
      </c>
      <c r="BD221">
        <v>33.729999999999997</v>
      </c>
      <c r="BE221">
        <v>164</v>
      </c>
      <c r="BF221">
        <v>88.8</v>
      </c>
      <c r="BG221">
        <v>35</v>
      </c>
      <c r="BH221">
        <v>26</v>
      </c>
      <c r="BI221">
        <v>31.08</v>
      </c>
      <c r="BJ221">
        <v>149</v>
      </c>
      <c r="BK221">
        <v>88.8</v>
      </c>
      <c r="BL221">
        <v>376</v>
      </c>
      <c r="BM221">
        <v>4.6742999999999997</v>
      </c>
    </row>
    <row r="222" spans="1:65" x14ac:dyDescent="0.25">
      <c r="A222" t="s">
        <v>285</v>
      </c>
      <c r="B222" t="s">
        <v>1356</v>
      </c>
      <c r="C222" t="s">
        <v>2158</v>
      </c>
      <c r="D222" s="1">
        <v>45411</v>
      </c>
      <c r="E222" s="1">
        <v>45449</v>
      </c>
      <c r="F222" s="1">
        <v>45495</v>
      </c>
      <c r="G222" t="s">
        <v>2163</v>
      </c>
      <c r="H222" t="s">
        <v>2169</v>
      </c>
      <c r="I222" t="s">
        <v>2176</v>
      </c>
      <c r="J222">
        <v>7407</v>
      </c>
      <c r="K222">
        <v>223</v>
      </c>
      <c r="L222">
        <v>3.8</v>
      </c>
      <c r="M222">
        <v>3.9</v>
      </c>
      <c r="N222">
        <v>4</v>
      </c>
      <c r="O222">
        <v>4036</v>
      </c>
      <c r="P222" t="s">
        <v>2176</v>
      </c>
      <c r="Q222">
        <v>7</v>
      </c>
      <c r="R222">
        <v>10</v>
      </c>
      <c r="S222">
        <v>10</v>
      </c>
      <c r="T222">
        <v>752</v>
      </c>
      <c r="U222" t="s">
        <v>2188</v>
      </c>
      <c r="W222" t="s">
        <v>2209</v>
      </c>
      <c r="X222" t="s">
        <v>2211</v>
      </c>
      <c r="Y222" t="s">
        <v>2213</v>
      </c>
      <c r="Z222" s="1">
        <v>45491</v>
      </c>
      <c r="AA222" s="1">
        <v>45494</v>
      </c>
      <c r="AB222" t="s">
        <v>2214</v>
      </c>
      <c r="AC222" t="s">
        <v>2209</v>
      </c>
      <c r="AD222" t="s">
        <v>2219</v>
      </c>
      <c r="AE222" t="s">
        <v>2162</v>
      </c>
      <c r="AF222" t="s">
        <v>2165</v>
      </c>
      <c r="AG222" t="s">
        <v>2222</v>
      </c>
      <c r="AH222">
        <v>27</v>
      </c>
      <c r="AI222">
        <v>42</v>
      </c>
      <c r="AJ222">
        <v>15</v>
      </c>
      <c r="AK222">
        <v>6</v>
      </c>
      <c r="AL222" t="s">
        <v>2223</v>
      </c>
      <c r="AM222">
        <v>0</v>
      </c>
      <c r="AN222" t="s">
        <v>2176</v>
      </c>
      <c r="AO222" t="s">
        <v>2177</v>
      </c>
      <c r="AP222" t="s">
        <v>2176</v>
      </c>
      <c r="AQ222">
        <v>14.82</v>
      </c>
      <c r="AR222">
        <v>1</v>
      </c>
      <c r="AS222">
        <v>1</v>
      </c>
      <c r="AT222">
        <v>2</v>
      </c>
      <c r="AU222">
        <v>1</v>
      </c>
      <c r="AV222">
        <v>1.333333333333333</v>
      </c>
      <c r="AW222">
        <v>4.2</v>
      </c>
      <c r="AX222">
        <v>4.5999999999999996</v>
      </c>
      <c r="AY222">
        <v>4.4000000000000004</v>
      </c>
      <c r="AZ222">
        <v>2</v>
      </c>
      <c r="BA222">
        <v>1</v>
      </c>
      <c r="BB222">
        <v>29</v>
      </c>
      <c r="BC222">
        <v>25</v>
      </c>
      <c r="BD222">
        <v>25.56</v>
      </c>
      <c r="BE222">
        <v>117</v>
      </c>
      <c r="BF222">
        <v>88.1</v>
      </c>
      <c r="BG222">
        <v>30</v>
      </c>
      <c r="BH222">
        <v>25</v>
      </c>
      <c r="BI222">
        <v>26.48</v>
      </c>
      <c r="BJ222">
        <v>121</v>
      </c>
      <c r="BK222">
        <v>88.3</v>
      </c>
      <c r="BL222">
        <v>278</v>
      </c>
      <c r="BM222">
        <v>2.5314000000000001</v>
      </c>
    </row>
    <row r="223" spans="1:65" x14ac:dyDescent="0.25">
      <c r="A223" t="s">
        <v>286</v>
      </c>
      <c r="B223" t="s">
        <v>1357</v>
      </c>
      <c r="C223" t="s">
        <v>2160</v>
      </c>
      <c r="D223" s="1">
        <v>45376</v>
      </c>
      <c r="E223" s="1">
        <v>45406</v>
      </c>
      <c r="F223" s="1">
        <v>45496</v>
      </c>
      <c r="G223" t="s">
        <v>2166</v>
      </c>
      <c r="H223" t="s">
        <v>2172</v>
      </c>
      <c r="I223" t="s">
        <v>2174</v>
      </c>
      <c r="J223">
        <v>19839</v>
      </c>
      <c r="K223">
        <v>596</v>
      </c>
      <c r="L223">
        <v>5.3</v>
      </c>
      <c r="M223">
        <v>5.7</v>
      </c>
      <c r="N223">
        <v>3</v>
      </c>
      <c r="O223">
        <v>3448</v>
      </c>
      <c r="P223" t="s">
        <v>2176</v>
      </c>
      <c r="Q223">
        <v>10</v>
      </c>
      <c r="R223">
        <v>14</v>
      </c>
      <c r="S223">
        <v>35</v>
      </c>
      <c r="T223">
        <v>573</v>
      </c>
      <c r="U223" t="s">
        <v>2197</v>
      </c>
      <c r="W223" t="s">
        <v>2209</v>
      </c>
      <c r="X223" t="s">
        <v>2211</v>
      </c>
      <c r="Y223" t="s">
        <v>2213</v>
      </c>
      <c r="Z223" s="1">
        <v>45485</v>
      </c>
      <c r="AA223" s="1">
        <v>45487</v>
      </c>
      <c r="AB223" t="s">
        <v>2214</v>
      </c>
      <c r="AC223" t="s">
        <v>2209</v>
      </c>
      <c r="AD223" t="s">
        <v>2219</v>
      </c>
      <c r="AE223" t="s">
        <v>2162</v>
      </c>
      <c r="AF223" t="s">
        <v>2161</v>
      </c>
      <c r="AG223" t="s">
        <v>2222</v>
      </c>
      <c r="AH223">
        <v>59</v>
      </c>
      <c r="AI223">
        <v>79</v>
      </c>
      <c r="AJ223">
        <v>20</v>
      </c>
      <c r="AK223">
        <v>4</v>
      </c>
      <c r="AL223" t="s">
        <v>2225</v>
      </c>
      <c r="AM223">
        <v>0</v>
      </c>
      <c r="AN223" t="s">
        <v>2177</v>
      </c>
      <c r="AO223" t="s">
        <v>2176</v>
      </c>
      <c r="AP223" t="s">
        <v>2176</v>
      </c>
      <c r="AQ223">
        <v>30.21</v>
      </c>
      <c r="AR223">
        <v>1</v>
      </c>
      <c r="AS223">
        <v>2</v>
      </c>
      <c r="AT223">
        <v>1</v>
      </c>
      <c r="AU223">
        <v>1</v>
      </c>
      <c r="AV223">
        <v>1.333333333333333</v>
      </c>
      <c r="AW223">
        <v>4.2</v>
      </c>
      <c r="AX223">
        <v>4.3</v>
      </c>
      <c r="AY223">
        <v>4.8</v>
      </c>
      <c r="AZ223">
        <v>0</v>
      </c>
      <c r="BA223">
        <v>2</v>
      </c>
      <c r="BB223">
        <v>25</v>
      </c>
      <c r="BC223">
        <v>26</v>
      </c>
      <c r="BD223">
        <v>21.81</v>
      </c>
      <c r="BE223">
        <v>104</v>
      </c>
      <c r="BF223">
        <v>87.2</v>
      </c>
      <c r="BG223">
        <v>45</v>
      </c>
      <c r="BH223">
        <v>26</v>
      </c>
      <c r="BI223">
        <v>40.270000000000003</v>
      </c>
      <c r="BJ223">
        <v>199</v>
      </c>
      <c r="BK223">
        <v>89.5</v>
      </c>
      <c r="BL223">
        <v>242</v>
      </c>
      <c r="BM223">
        <v>7.3342000000000001</v>
      </c>
    </row>
    <row r="224" spans="1:65" x14ac:dyDescent="0.25">
      <c r="A224" t="s">
        <v>287</v>
      </c>
      <c r="B224" t="s">
        <v>1222</v>
      </c>
      <c r="C224" t="s">
        <v>2158</v>
      </c>
      <c r="D224" s="1">
        <v>45439</v>
      </c>
      <c r="E224" s="1">
        <v>45478</v>
      </c>
      <c r="F224" s="1">
        <v>45519</v>
      </c>
      <c r="G224" t="s">
        <v>2162</v>
      </c>
      <c r="H224" t="s">
        <v>2168</v>
      </c>
      <c r="I224" t="s">
        <v>2173</v>
      </c>
      <c r="J224">
        <v>7178</v>
      </c>
      <c r="K224">
        <v>216</v>
      </c>
      <c r="L224">
        <v>13.8</v>
      </c>
      <c r="M224">
        <v>9.6999999999999993</v>
      </c>
      <c r="N224">
        <v>5</v>
      </c>
      <c r="O224">
        <v>15715</v>
      </c>
      <c r="P224" t="s">
        <v>2177</v>
      </c>
      <c r="Q224">
        <v>7</v>
      </c>
      <c r="R224">
        <v>10</v>
      </c>
      <c r="S224">
        <v>9</v>
      </c>
      <c r="T224">
        <v>878</v>
      </c>
      <c r="U224" t="s">
        <v>2188</v>
      </c>
      <c r="W224" t="s">
        <v>2209</v>
      </c>
      <c r="X224" t="s">
        <v>2211</v>
      </c>
      <c r="Y224" t="s">
        <v>2213</v>
      </c>
      <c r="Z224" s="1">
        <v>45519</v>
      </c>
      <c r="AA224" s="1">
        <v>45522</v>
      </c>
      <c r="AB224" t="s">
        <v>2214</v>
      </c>
      <c r="AC224" t="s">
        <v>2209</v>
      </c>
      <c r="AD224" t="s">
        <v>2219</v>
      </c>
      <c r="AE224" t="s">
        <v>2162</v>
      </c>
      <c r="AF224" t="s">
        <v>2165</v>
      </c>
      <c r="AG224" t="s">
        <v>2222</v>
      </c>
      <c r="AH224">
        <v>26</v>
      </c>
      <c r="AI224">
        <v>41</v>
      </c>
      <c r="AJ224">
        <v>15</v>
      </c>
      <c r="AK224">
        <v>7</v>
      </c>
      <c r="AL224" t="s">
        <v>2226</v>
      </c>
      <c r="AM224">
        <v>0</v>
      </c>
      <c r="AN224" t="s">
        <v>2177</v>
      </c>
      <c r="AO224" t="s">
        <v>2177</v>
      </c>
      <c r="AP224" t="s">
        <v>2175</v>
      </c>
      <c r="AQ224">
        <v>133.86000000000001</v>
      </c>
      <c r="AR224">
        <v>2</v>
      </c>
      <c r="AS224">
        <v>2</v>
      </c>
      <c r="AT224">
        <v>2</v>
      </c>
      <c r="AU224">
        <v>3</v>
      </c>
      <c r="AV224">
        <v>2.333333333333333</v>
      </c>
      <c r="AW224">
        <v>4.2</v>
      </c>
      <c r="AX224">
        <v>4.5999999999999996</v>
      </c>
      <c r="AY224">
        <v>4.2</v>
      </c>
      <c r="AZ224">
        <v>2</v>
      </c>
      <c r="BA224">
        <v>3</v>
      </c>
      <c r="BB224">
        <v>30</v>
      </c>
      <c r="BC224">
        <v>27</v>
      </c>
      <c r="BD224">
        <v>26.15</v>
      </c>
      <c r="BE224">
        <v>133</v>
      </c>
      <c r="BF224">
        <v>87.2</v>
      </c>
      <c r="BG224">
        <v>30</v>
      </c>
      <c r="BH224">
        <v>27</v>
      </c>
      <c r="BI224">
        <v>26.15</v>
      </c>
      <c r="BJ224">
        <v>133</v>
      </c>
      <c r="BK224">
        <v>87.2</v>
      </c>
      <c r="BL224">
        <v>307</v>
      </c>
      <c r="BM224">
        <v>1.9983</v>
      </c>
    </row>
    <row r="225" spans="1:65" x14ac:dyDescent="0.25">
      <c r="A225" t="s">
        <v>288</v>
      </c>
      <c r="B225" t="s">
        <v>1358</v>
      </c>
      <c r="C225" t="s">
        <v>2160</v>
      </c>
      <c r="D225" s="1">
        <v>45390</v>
      </c>
      <c r="E225" s="1">
        <v>45433</v>
      </c>
      <c r="F225" s="1">
        <v>45525</v>
      </c>
      <c r="G225" t="s">
        <v>2163</v>
      </c>
      <c r="H225" t="s">
        <v>2169</v>
      </c>
      <c r="I225" t="s">
        <v>2174</v>
      </c>
      <c r="J225">
        <v>19576</v>
      </c>
      <c r="K225">
        <v>588</v>
      </c>
      <c r="L225">
        <v>3.5</v>
      </c>
      <c r="M225">
        <v>5.7</v>
      </c>
      <c r="N225">
        <v>4</v>
      </c>
      <c r="O225">
        <v>4062</v>
      </c>
      <c r="P225" t="s">
        <v>2176</v>
      </c>
      <c r="Q225">
        <v>10</v>
      </c>
      <c r="R225">
        <v>14</v>
      </c>
      <c r="S225">
        <v>32</v>
      </c>
      <c r="T225">
        <v>621</v>
      </c>
      <c r="U225" t="s">
        <v>2188</v>
      </c>
      <c r="W225" t="s">
        <v>2209</v>
      </c>
      <c r="X225" t="s">
        <v>2211</v>
      </c>
      <c r="Y225" t="s">
        <v>2213</v>
      </c>
      <c r="Z225" s="1">
        <v>45509</v>
      </c>
      <c r="AA225" s="1">
        <v>45515</v>
      </c>
      <c r="AB225" t="s">
        <v>2214</v>
      </c>
      <c r="AC225" t="s">
        <v>2209</v>
      </c>
      <c r="AD225" t="s">
        <v>2219</v>
      </c>
      <c r="AE225" t="s">
        <v>2162</v>
      </c>
      <c r="AF225" t="s">
        <v>2165</v>
      </c>
      <c r="AG225" t="s">
        <v>2222</v>
      </c>
      <c r="AH225">
        <v>56</v>
      </c>
      <c r="AI225">
        <v>76</v>
      </c>
      <c r="AJ225">
        <v>20</v>
      </c>
      <c r="AK225">
        <v>5</v>
      </c>
      <c r="AL225" t="s">
        <v>2224</v>
      </c>
      <c r="AM225">
        <v>0</v>
      </c>
      <c r="AN225" t="s">
        <v>2176</v>
      </c>
      <c r="AO225" t="s">
        <v>2177</v>
      </c>
      <c r="AP225" t="s">
        <v>2176</v>
      </c>
      <c r="AQ225">
        <v>19.95</v>
      </c>
      <c r="AR225">
        <v>1</v>
      </c>
      <c r="AS225">
        <v>1</v>
      </c>
      <c r="AT225">
        <v>2</v>
      </c>
      <c r="AU225">
        <v>1</v>
      </c>
      <c r="AV225">
        <v>1.333333333333333</v>
      </c>
      <c r="AW225">
        <v>4.2</v>
      </c>
      <c r="AX225">
        <v>4.5999999999999996</v>
      </c>
      <c r="AY225">
        <v>4.4000000000000004</v>
      </c>
      <c r="AZ225">
        <v>0</v>
      </c>
      <c r="BA225">
        <v>2</v>
      </c>
      <c r="BB225">
        <v>24</v>
      </c>
      <c r="BC225">
        <v>27</v>
      </c>
      <c r="BD225">
        <v>21.44</v>
      </c>
      <c r="BE225">
        <v>108</v>
      </c>
      <c r="BF225">
        <v>89.3</v>
      </c>
      <c r="BG225">
        <v>38</v>
      </c>
      <c r="BH225">
        <v>27</v>
      </c>
      <c r="BI225">
        <v>33.33</v>
      </c>
      <c r="BJ225">
        <v>171</v>
      </c>
      <c r="BK225">
        <v>87.7</v>
      </c>
      <c r="BL225">
        <v>266</v>
      </c>
      <c r="BM225">
        <v>6.7110000000000003</v>
      </c>
    </row>
    <row r="226" spans="1:65" x14ac:dyDescent="0.25">
      <c r="A226" t="s">
        <v>289</v>
      </c>
      <c r="B226" t="s">
        <v>1359</v>
      </c>
      <c r="C226" t="s">
        <v>2160</v>
      </c>
      <c r="D226" s="1">
        <v>45313</v>
      </c>
      <c r="E226" s="1">
        <v>45350</v>
      </c>
      <c r="F226" s="1">
        <v>45430</v>
      </c>
      <c r="G226" t="s">
        <v>2161</v>
      </c>
      <c r="H226" t="s">
        <v>2167</v>
      </c>
      <c r="I226" t="s">
        <v>2176</v>
      </c>
      <c r="J226">
        <v>16958</v>
      </c>
      <c r="K226">
        <v>509</v>
      </c>
      <c r="L226">
        <v>4.4000000000000004</v>
      </c>
      <c r="M226">
        <v>5.7</v>
      </c>
      <c r="N226">
        <v>2</v>
      </c>
      <c r="O226">
        <v>9046</v>
      </c>
      <c r="P226" t="s">
        <v>2176</v>
      </c>
      <c r="Q226">
        <v>10</v>
      </c>
      <c r="R226">
        <v>14</v>
      </c>
      <c r="S226">
        <v>29</v>
      </c>
      <c r="T226">
        <v>589</v>
      </c>
      <c r="U226" t="s">
        <v>2164</v>
      </c>
      <c r="V226" t="s">
        <v>2170</v>
      </c>
      <c r="W226" t="s">
        <v>2209</v>
      </c>
      <c r="X226" t="s">
        <v>2211</v>
      </c>
      <c r="Y226" t="s">
        <v>2212</v>
      </c>
      <c r="Z226" s="1">
        <v>45423</v>
      </c>
      <c r="AA226" s="1">
        <v>45423</v>
      </c>
      <c r="AB226" t="s">
        <v>2214</v>
      </c>
      <c r="AC226" t="s">
        <v>2209</v>
      </c>
      <c r="AD226" t="s">
        <v>2218</v>
      </c>
      <c r="AE226" t="s">
        <v>2164</v>
      </c>
      <c r="AG226" t="s">
        <v>2221</v>
      </c>
      <c r="AH226">
        <v>53</v>
      </c>
      <c r="AI226">
        <v>73</v>
      </c>
      <c r="AJ226">
        <v>20</v>
      </c>
      <c r="AK226">
        <v>2</v>
      </c>
      <c r="AL226" t="s">
        <v>2228</v>
      </c>
      <c r="AM226">
        <v>0</v>
      </c>
      <c r="AN226" t="s">
        <v>2176</v>
      </c>
      <c r="AO226" t="s">
        <v>2176</v>
      </c>
      <c r="AP226" t="s">
        <v>2177</v>
      </c>
      <c r="AQ226">
        <v>25.08</v>
      </c>
      <c r="AR226">
        <v>1</v>
      </c>
      <c r="AS226">
        <v>1</v>
      </c>
      <c r="AT226">
        <v>1</v>
      </c>
      <c r="AU226">
        <v>2</v>
      </c>
      <c r="AV226">
        <v>1.333333333333333</v>
      </c>
      <c r="AW226">
        <v>4.5</v>
      </c>
      <c r="AY226">
        <v>4.3</v>
      </c>
      <c r="AZ226">
        <v>0</v>
      </c>
      <c r="BA226">
        <v>1</v>
      </c>
      <c r="BB226">
        <v>27</v>
      </c>
      <c r="BC226">
        <v>24</v>
      </c>
      <c r="BD226">
        <v>24.04</v>
      </c>
      <c r="BE226">
        <v>106</v>
      </c>
      <c r="BF226">
        <v>89</v>
      </c>
      <c r="BG226">
        <v>34</v>
      </c>
      <c r="BH226">
        <v>24</v>
      </c>
      <c r="BI226">
        <v>29.92</v>
      </c>
      <c r="BJ226">
        <v>134</v>
      </c>
      <c r="BK226">
        <v>88</v>
      </c>
      <c r="BL226">
        <v>106</v>
      </c>
      <c r="BM226">
        <v>6.6632999999999996</v>
      </c>
    </row>
    <row r="227" spans="1:65" x14ac:dyDescent="0.25">
      <c r="A227" t="s">
        <v>290</v>
      </c>
      <c r="B227" t="s">
        <v>1360</v>
      </c>
      <c r="C227" t="s">
        <v>2158</v>
      </c>
      <c r="D227" s="1">
        <v>45327</v>
      </c>
      <c r="E227" s="1">
        <v>45358</v>
      </c>
      <c r="F227" s="1">
        <v>45411</v>
      </c>
      <c r="G227" t="s">
        <v>2166</v>
      </c>
      <c r="H227" t="s">
        <v>2172</v>
      </c>
      <c r="I227" t="s">
        <v>2174</v>
      </c>
      <c r="J227">
        <v>5232</v>
      </c>
      <c r="K227">
        <v>157</v>
      </c>
      <c r="L227">
        <v>4.9000000000000004</v>
      </c>
      <c r="M227">
        <v>3.6</v>
      </c>
      <c r="N227">
        <v>2</v>
      </c>
      <c r="O227">
        <v>2381</v>
      </c>
      <c r="P227" t="s">
        <v>2176</v>
      </c>
      <c r="Q227">
        <v>7</v>
      </c>
      <c r="R227">
        <v>10</v>
      </c>
      <c r="S227">
        <v>8</v>
      </c>
      <c r="T227">
        <v>677</v>
      </c>
      <c r="U227" t="s">
        <v>2166</v>
      </c>
      <c r="V227" t="s">
        <v>2172</v>
      </c>
      <c r="W227" t="s">
        <v>2208</v>
      </c>
      <c r="X227" t="s">
        <v>2210</v>
      </c>
      <c r="Y227" t="s">
        <v>2212</v>
      </c>
      <c r="Z227" s="1">
        <v>45398</v>
      </c>
      <c r="AA227" s="1">
        <v>45402</v>
      </c>
      <c r="AB227" t="s">
        <v>2214</v>
      </c>
      <c r="AC227" t="s">
        <v>2209</v>
      </c>
      <c r="AD227" t="s">
        <v>2216</v>
      </c>
      <c r="AE227" t="s">
        <v>2166</v>
      </c>
      <c r="AG227" t="s">
        <v>2220</v>
      </c>
      <c r="AH227">
        <v>25</v>
      </c>
      <c r="AI227">
        <v>40</v>
      </c>
      <c r="AJ227">
        <v>15</v>
      </c>
      <c r="AK227">
        <v>3</v>
      </c>
      <c r="AL227" t="s">
        <v>2227</v>
      </c>
      <c r="AM227">
        <v>0</v>
      </c>
      <c r="AN227" t="s">
        <v>2176</v>
      </c>
      <c r="AO227" t="s">
        <v>2176</v>
      </c>
      <c r="AP227" t="s">
        <v>2176</v>
      </c>
      <c r="AQ227">
        <v>17.64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4.8</v>
      </c>
      <c r="AY227">
        <v>4.8</v>
      </c>
      <c r="AZ227">
        <v>2</v>
      </c>
      <c r="BA227">
        <v>2</v>
      </c>
      <c r="BB227">
        <v>49</v>
      </c>
      <c r="BC227">
        <v>26</v>
      </c>
      <c r="BD227">
        <v>43.12</v>
      </c>
      <c r="BE227">
        <v>216</v>
      </c>
      <c r="BF227">
        <v>88</v>
      </c>
      <c r="BG227">
        <v>49</v>
      </c>
      <c r="BH227">
        <v>26</v>
      </c>
      <c r="BI227">
        <v>43.12</v>
      </c>
      <c r="BJ227">
        <v>216</v>
      </c>
      <c r="BK227">
        <v>88</v>
      </c>
      <c r="BL227">
        <v>216</v>
      </c>
      <c r="BM227">
        <v>0.93149999999999999</v>
      </c>
    </row>
    <row r="228" spans="1:65" x14ac:dyDescent="0.25">
      <c r="A228" t="s">
        <v>291</v>
      </c>
      <c r="B228" t="s">
        <v>1202</v>
      </c>
      <c r="C228" t="s">
        <v>2157</v>
      </c>
      <c r="D228" s="1">
        <v>45327</v>
      </c>
      <c r="E228" s="1">
        <v>45366</v>
      </c>
      <c r="F228" s="1">
        <v>45503</v>
      </c>
      <c r="G228" t="s">
        <v>2163</v>
      </c>
      <c r="H228" t="s">
        <v>2169</v>
      </c>
      <c r="I228" t="s">
        <v>2176</v>
      </c>
      <c r="J228">
        <v>43866</v>
      </c>
      <c r="K228">
        <v>1316</v>
      </c>
      <c r="L228">
        <v>11.1</v>
      </c>
      <c r="M228">
        <v>11.8</v>
      </c>
      <c r="N228">
        <v>4</v>
      </c>
      <c r="O228">
        <v>6745</v>
      </c>
      <c r="P228" t="s">
        <v>2176</v>
      </c>
      <c r="Q228">
        <v>18</v>
      </c>
      <c r="R228">
        <v>30</v>
      </c>
      <c r="S228">
        <v>56</v>
      </c>
      <c r="T228">
        <v>792</v>
      </c>
      <c r="U228" t="s">
        <v>2193</v>
      </c>
      <c r="W228" t="s">
        <v>2209</v>
      </c>
      <c r="X228" t="s">
        <v>2211</v>
      </c>
      <c r="Y228" t="s">
        <v>2213</v>
      </c>
      <c r="Z228" s="1">
        <v>45498</v>
      </c>
      <c r="AA228" s="1">
        <v>45500</v>
      </c>
      <c r="AB228" t="s">
        <v>2214</v>
      </c>
      <c r="AC228" t="s">
        <v>2209</v>
      </c>
      <c r="AD228" t="s">
        <v>2219</v>
      </c>
      <c r="AE228" t="s">
        <v>2161</v>
      </c>
      <c r="AF228" t="s">
        <v>2165</v>
      </c>
      <c r="AG228" t="s">
        <v>2222</v>
      </c>
      <c r="AH228">
        <v>104</v>
      </c>
      <c r="AI228">
        <v>132</v>
      </c>
      <c r="AJ228">
        <v>28</v>
      </c>
      <c r="AK228">
        <v>3</v>
      </c>
      <c r="AL228" t="s">
        <v>2227</v>
      </c>
      <c r="AM228">
        <v>0</v>
      </c>
      <c r="AN228" t="s">
        <v>2175</v>
      </c>
      <c r="AO228" t="s">
        <v>2177</v>
      </c>
      <c r="AP228" t="s">
        <v>2176</v>
      </c>
      <c r="AQ228">
        <v>130.97999999999999</v>
      </c>
      <c r="AR228">
        <v>1</v>
      </c>
      <c r="AS228">
        <v>3</v>
      </c>
      <c r="AT228">
        <v>2</v>
      </c>
      <c r="AU228">
        <v>1</v>
      </c>
      <c r="AV228">
        <v>2</v>
      </c>
      <c r="AW228">
        <v>4.3</v>
      </c>
      <c r="AX228">
        <v>4.5999999999999996</v>
      </c>
      <c r="AY228">
        <v>4.4000000000000004</v>
      </c>
      <c r="AZ228">
        <v>1</v>
      </c>
      <c r="BA228">
        <v>1</v>
      </c>
      <c r="BB228">
        <v>38</v>
      </c>
      <c r="BC228">
        <v>26</v>
      </c>
      <c r="BD228">
        <v>33.729999999999997</v>
      </c>
      <c r="BE228">
        <v>164</v>
      </c>
      <c r="BF228">
        <v>88.8</v>
      </c>
      <c r="BG228">
        <v>35</v>
      </c>
      <c r="BH228">
        <v>26</v>
      </c>
      <c r="BI228">
        <v>31.08</v>
      </c>
      <c r="BJ228">
        <v>149</v>
      </c>
      <c r="BK228">
        <v>88.8</v>
      </c>
      <c r="BL228">
        <v>376</v>
      </c>
      <c r="BM228">
        <v>10.2851</v>
      </c>
    </row>
    <row r="229" spans="1:65" x14ac:dyDescent="0.25">
      <c r="A229" t="s">
        <v>292</v>
      </c>
      <c r="B229" t="s">
        <v>1361</v>
      </c>
      <c r="C229" t="s">
        <v>2160</v>
      </c>
      <c r="D229" s="1">
        <v>45334</v>
      </c>
      <c r="E229" s="1">
        <v>45370</v>
      </c>
      <c r="F229" s="1">
        <v>45441</v>
      </c>
      <c r="G229" t="s">
        <v>2163</v>
      </c>
      <c r="H229" t="s">
        <v>2169</v>
      </c>
      <c r="I229" t="s">
        <v>2176</v>
      </c>
      <c r="J229">
        <v>14592</v>
      </c>
      <c r="K229">
        <v>438</v>
      </c>
      <c r="L229">
        <v>6.8</v>
      </c>
      <c r="M229">
        <v>3.4</v>
      </c>
      <c r="N229">
        <v>2</v>
      </c>
      <c r="O229">
        <v>5704</v>
      </c>
      <c r="P229" t="s">
        <v>2176</v>
      </c>
      <c r="Q229">
        <v>10</v>
      </c>
      <c r="R229">
        <v>14</v>
      </c>
      <c r="S229">
        <v>20</v>
      </c>
      <c r="T229">
        <v>748</v>
      </c>
      <c r="U229" t="s">
        <v>2186</v>
      </c>
      <c r="W229" t="s">
        <v>2209</v>
      </c>
      <c r="X229" t="s">
        <v>2211</v>
      </c>
      <c r="Y229" t="s">
        <v>2213</v>
      </c>
      <c r="Z229" s="1">
        <v>45432</v>
      </c>
      <c r="AA229" s="1">
        <v>45437</v>
      </c>
      <c r="AB229" t="s">
        <v>2214</v>
      </c>
      <c r="AC229" t="s">
        <v>2209</v>
      </c>
      <c r="AD229" t="s">
        <v>2219</v>
      </c>
      <c r="AE229" t="s">
        <v>2161</v>
      </c>
      <c r="AF229" t="s">
        <v>2163</v>
      </c>
      <c r="AG229" t="s">
        <v>2222</v>
      </c>
      <c r="AH229">
        <v>44</v>
      </c>
      <c r="AI229">
        <v>62</v>
      </c>
      <c r="AJ229">
        <v>18</v>
      </c>
      <c r="AK229">
        <v>3</v>
      </c>
      <c r="AL229" t="s">
        <v>2227</v>
      </c>
      <c r="AM229">
        <v>0</v>
      </c>
      <c r="AN229" t="s">
        <v>2176</v>
      </c>
      <c r="AO229" t="s">
        <v>2176</v>
      </c>
      <c r="AP229" t="s">
        <v>2176</v>
      </c>
      <c r="AQ229">
        <v>23.12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4.3</v>
      </c>
      <c r="AX229">
        <v>4.4000000000000004</v>
      </c>
      <c r="AY229">
        <v>4.4000000000000004</v>
      </c>
      <c r="AZ229">
        <v>0</v>
      </c>
      <c r="BA229">
        <v>1</v>
      </c>
      <c r="BB229">
        <v>38</v>
      </c>
      <c r="BC229">
        <v>26</v>
      </c>
      <c r="BD229">
        <v>33.729999999999997</v>
      </c>
      <c r="BE229">
        <v>164</v>
      </c>
      <c r="BF229">
        <v>88.8</v>
      </c>
      <c r="BG229">
        <v>35</v>
      </c>
      <c r="BH229">
        <v>26</v>
      </c>
      <c r="BI229">
        <v>31.08</v>
      </c>
      <c r="BJ229">
        <v>149</v>
      </c>
      <c r="BK229">
        <v>88.8</v>
      </c>
      <c r="BL229">
        <v>313</v>
      </c>
      <c r="BM229">
        <v>3.4213</v>
      </c>
    </row>
    <row r="230" spans="1:65" x14ac:dyDescent="0.25">
      <c r="A230" t="s">
        <v>293</v>
      </c>
      <c r="B230" t="s">
        <v>1362</v>
      </c>
      <c r="C230" t="s">
        <v>2157</v>
      </c>
      <c r="D230" s="1">
        <v>45397</v>
      </c>
      <c r="E230" s="1">
        <v>45433</v>
      </c>
      <c r="F230" s="1">
        <v>45607</v>
      </c>
      <c r="G230" t="s">
        <v>2163</v>
      </c>
      <c r="H230" t="s">
        <v>2169</v>
      </c>
      <c r="I230" t="s">
        <v>2174</v>
      </c>
      <c r="J230">
        <v>49828</v>
      </c>
      <c r="K230">
        <v>1495</v>
      </c>
      <c r="L230">
        <v>6.8</v>
      </c>
      <c r="M230">
        <v>1.1000000000000001</v>
      </c>
      <c r="N230">
        <v>1</v>
      </c>
      <c r="O230">
        <v>4867</v>
      </c>
      <c r="P230" t="s">
        <v>2176</v>
      </c>
      <c r="Q230">
        <v>18</v>
      </c>
      <c r="R230">
        <v>30</v>
      </c>
      <c r="S230">
        <v>80</v>
      </c>
      <c r="T230">
        <v>629</v>
      </c>
      <c r="U230" t="s">
        <v>2184</v>
      </c>
      <c r="W230" t="s">
        <v>2209</v>
      </c>
      <c r="X230" t="s">
        <v>2211</v>
      </c>
      <c r="Y230" t="s">
        <v>2213</v>
      </c>
      <c r="Z230" s="1">
        <v>45593</v>
      </c>
      <c r="AA230" s="1">
        <v>45599</v>
      </c>
      <c r="AB230" t="s">
        <v>2214</v>
      </c>
      <c r="AC230" t="s">
        <v>2209</v>
      </c>
      <c r="AD230" t="s">
        <v>2219</v>
      </c>
      <c r="AE230" t="s">
        <v>2163</v>
      </c>
      <c r="AF230" t="s">
        <v>2162</v>
      </c>
      <c r="AG230" t="s">
        <v>2222</v>
      </c>
      <c r="AH230">
        <v>128</v>
      </c>
      <c r="AI230">
        <v>160</v>
      </c>
      <c r="AJ230">
        <v>32</v>
      </c>
      <c r="AK230">
        <v>5</v>
      </c>
      <c r="AL230" t="s">
        <v>2224</v>
      </c>
      <c r="AM230">
        <v>0</v>
      </c>
      <c r="AN230" t="s">
        <v>2176</v>
      </c>
      <c r="AO230" t="s">
        <v>2176</v>
      </c>
      <c r="AP230" t="s">
        <v>2176</v>
      </c>
      <c r="AQ230">
        <v>7.48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4.4000000000000004</v>
      </c>
      <c r="AX230">
        <v>4.2</v>
      </c>
      <c r="AY230">
        <v>4.4000000000000004</v>
      </c>
      <c r="AZ230">
        <v>1</v>
      </c>
      <c r="BA230">
        <v>2</v>
      </c>
      <c r="BB230">
        <v>38</v>
      </c>
      <c r="BC230">
        <v>27</v>
      </c>
      <c r="BD230">
        <v>33.33</v>
      </c>
      <c r="BE230">
        <v>171</v>
      </c>
      <c r="BF230">
        <v>87.7</v>
      </c>
      <c r="BG230">
        <v>38</v>
      </c>
      <c r="BH230">
        <v>27</v>
      </c>
      <c r="BI230">
        <v>33.33</v>
      </c>
      <c r="BJ230">
        <v>171</v>
      </c>
      <c r="BK230">
        <v>87.7</v>
      </c>
      <c r="BL230">
        <v>279</v>
      </c>
      <c r="BM230">
        <v>10.79</v>
      </c>
    </row>
    <row r="231" spans="1:65" x14ac:dyDescent="0.25">
      <c r="A231" t="s">
        <v>294</v>
      </c>
      <c r="B231" t="s">
        <v>1363</v>
      </c>
      <c r="C231" t="s">
        <v>2159</v>
      </c>
      <c r="D231" s="1">
        <v>45362</v>
      </c>
      <c r="E231" s="1">
        <v>45407</v>
      </c>
      <c r="F231" s="1">
        <v>45483</v>
      </c>
      <c r="G231" t="s">
        <v>2164</v>
      </c>
      <c r="H231" t="s">
        <v>2170</v>
      </c>
      <c r="I231" t="s">
        <v>2175</v>
      </c>
      <c r="J231">
        <v>25291</v>
      </c>
      <c r="K231">
        <v>759</v>
      </c>
      <c r="L231">
        <v>11.8</v>
      </c>
      <c r="M231">
        <v>11.9</v>
      </c>
      <c r="N231">
        <v>7</v>
      </c>
      <c r="O231">
        <v>19211</v>
      </c>
      <c r="P231" t="s">
        <v>2178</v>
      </c>
      <c r="Q231">
        <v>14</v>
      </c>
      <c r="R231">
        <v>20</v>
      </c>
      <c r="S231">
        <v>26</v>
      </c>
      <c r="T231">
        <v>990</v>
      </c>
      <c r="U231" t="s">
        <v>2187</v>
      </c>
      <c r="W231" t="s">
        <v>2209</v>
      </c>
      <c r="X231" t="s">
        <v>2211</v>
      </c>
      <c r="Y231" t="s">
        <v>2213</v>
      </c>
      <c r="Z231" s="1">
        <v>45488</v>
      </c>
      <c r="AA231" s="1">
        <v>45494</v>
      </c>
      <c r="AB231" t="s">
        <v>2215</v>
      </c>
      <c r="AC231" t="s">
        <v>2208</v>
      </c>
      <c r="AD231" t="s">
        <v>2219</v>
      </c>
      <c r="AE231" t="s">
        <v>2161</v>
      </c>
      <c r="AF231" t="s">
        <v>2162</v>
      </c>
      <c r="AG231" t="s">
        <v>2222</v>
      </c>
      <c r="AH231">
        <v>60</v>
      </c>
      <c r="AI231">
        <v>81</v>
      </c>
      <c r="AJ231">
        <v>21</v>
      </c>
      <c r="AK231">
        <v>4</v>
      </c>
      <c r="AL231" t="s">
        <v>2225</v>
      </c>
      <c r="AM231">
        <v>0</v>
      </c>
      <c r="AN231" t="s">
        <v>2175</v>
      </c>
      <c r="AO231" t="s">
        <v>2175</v>
      </c>
      <c r="AP231" t="s">
        <v>2175</v>
      </c>
      <c r="AQ231">
        <v>140.41999999999999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4.3</v>
      </c>
      <c r="AX231">
        <v>4.2</v>
      </c>
      <c r="AY231">
        <v>4.5</v>
      </c>
      <c r="AZ231">
        <v>3</v>
      </c>
      <c r="BA231">
        <v>0</v>
      </c>
      <c r="BB231">
        <v>32</v>
      </c>
      <c r="BC231">
        <v>26</v>
      </c>
      <c r="BD231">
        <v>28.46</v>
      </c>
      <c r="BE231">
        <v>138</v>
      </c>
      <c r="BF231">
        <v>88.9</v>
      </c>
      <c r="BG231">
        <v>30</v>
      </c>
      <c r="BH231">
        <v>26</v>
      </c>
      <c r="BI231">
        <v>26.42</v>
      </c>
      <c r="BJ231">
        <v>126</v>
      </c>
      <c r="BK231">
        <v>88.1</v>
      </c>
      <c r="BL231">
        <v>242</v>
      </c>
      <c r="BM231">
        <v>7.0468000000000002</v>
      </c>
    </row>
    <row r="232" spans="1:65" x14ac:dyDescent="0.25">
      <c r="A232" t="s">
        <v>295</v>
      </c>
      <c r="B232" t="s">
        <v>1346</v>
      </c>
      <c r="C232" t="s">
        <v>2157</v>
      </c>
      <c r="D232" s="1">
        <v>45313</v>
      </c>
      <c r="E232" s="1">
        <v>45347</v>
      </c>
      <c r="F232" s="1">
        <v>45524</v>
      </c>
      <c r="G232" t="s">
        <v>2161</v>
      </c>
      <c r="H232" t="s">
        <v>2167</v>
      </c>
      <c r="I232" t="s">
        <v>2174</v>
      </c>
      <c r="J232">
        <v>48904</v>
      </c>
      <c r="K232">
        <v>1468</v>
      </c>
      <c r="L232">
        <v>6.1</v>
      </c>
      <c r="M232">
        <v>3.6</v>
      </c>
      <c r="N232">
        <v>2</v>
      </c>
      <c r="O232">
        <v>1966</v>
      </c>
      <c r="P232" t="s">
        <v>2176</v>
      </c>
      <c r="Q232">
        <v>18</v>
      </c>
      <c r="R232">
        <v>30</v>
      </c>
      <c r="S232">
        <v>80</v>
      </c>
      <c r="T232">
        <v>618</v>
      </c>
      <c r="U232" t="s">
        <v>2186</v>
      </c>
      <c r="W232" t="s">
        <v>2209</v>
      </c>
      <c r="X232" t="s">
        <v>2211</v>
      </c>
      <c r="Y232" t="s">
        <v>2213</v>
      </c>
      <c r="Z232" s="1">
        <v>45507</v>
      </c>
      <c r="AA232" s="1">
        <v>45507</v>
      </c>
      <c r="AB232" t="s">
        <v>2214</v>
      </c>
      <c r="AC232" t="s">
        <v>2209</v>
      </c>
      <c r="AD232" t="s">
        <v>2219</v>
      </c>
      <c r="AE232" t="s">
        <v>2161</v>
      </c>
      <c r="AF232" t="s">
        <v>2163</v>
      </c>
      <c r="AG232" t="s">
        <v>2222</v>
      </c>
      <c r="AH232">
        <v>128</v>
      </c>
      <c r="AI232">
        <v>160</v>
      </c>
      <c r="AJ232">
        <v>32</v>
      </c>
      <c r="AK232">
        <v>2</v>
      </c>
      <c r="AL232" t="s">
        <v>2228</v>
      </c>
      <c r="AM232">
        <v>0</v>
      </c>
      <c r="AN232" t="s">
        <v>2176</v>
      </c>
      <c r="AO232" t="s">
        <v>2176</v>
      </c>
      <c r="AP232" t="s">
        <v>2176</v>
      </c>
      <c r="AQ232">
        <v>21.96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4.3</v>
      </c>
      <c r="AX232">
        <v>4.4000000000000004</v>
      </c>
      <c r="AY232">
        <v>4.3</v>
      </c>
      <c r="AZ232">
        <v>1</v>
      </c>
      <c r="BA232">
        <v>2</v>
      </c>
      <c r="BB232">
        <v>34</v>
      </c>
      <c r="BC232">
        <v>24</v>
      </c>
      <c r="BD232">
        <v>29.92</v>
      </c>
      <c r="BE232">
        <v>134</v>
      </c>
      <c r="BF232">
        <v>88</v>
      </c>
      <c r="BG232">
        <v>34</v>
      </c>
      <c r="BH232">
        <v>24</v>
      </c>
      <c r="BI232">
        <v>29.92</v>
      </c>
      <c r="BJ232">
        <v>134</v>
      </c>
      <c r="BK232">
        <v>88</v>
      </c>
      <c r="BL232">
        <v>250</v>
      </c>
      <c r="BM232">
        <v>15.201700000000001</v>
      </c>
    </row>
    <row r="233" spans="1:65" x14ac:dyDescent="0.25">
      <c r="A233" t="s">
        <v>296</v>
      </c>
      <c r="B233" t="s">
        <v>1296</v>
      </c>
      <c r="C233" t="s">
        <v>2160</v>
      </c>
      <c r="D233" s="1">
        <v>45369</v>
      </c>
      <c r="E233" s="1">
        <v>45404</v>
      </c>
      <c r="F233" s="1">
        <v>45454</v>
      </c>
      <c r="G233" t="s">
        <v>2162</v>
      </c>
      <c r="H233" t="s">
        <v>2168</v>
      </c>
      <c r="I233" t="s">
        <v>2175</v>
      </c>
      <c r="J233">
        <v>10491</v>
      </c>
      <c r="K233">
        <v>315</v>
      </c>
      <c r="L233">
        <v>16.399999999999999</v>
      </c>
      <c r="M233">
        <v>15.1</v>
      </c>
      <c r="N233">
        <v>8</v>
      </c>
      <c r="O233">
        <v>16318</v>
      </c>
      <c r="P233" t="s">
        <v>2178</v>
      </c>
      <c r="Q233">
        <v>10</v>
      </c>
      <c r="R233">
        <v>14</v>
      </c>
      <c r="S233">
        <v>12</v>
      </c>
      <c r="T233">
        <v>891</v>
      </c>
      <c r="U233" t="s">
        <v>2179</v>
      </c>
      <c r="W233" t="s">
        <v>2209</v>
      </c>
      <c r="X233" t="s">
        <v>2211</v>
      </c>
      <c r="Y233" t="s">
        <v>2213</v>
      </c>
      <c r="Z233" s="1">
        <v>45456</v>
      </c>
      <c r="AA233" s="1">
        <v>45459</v>
      </c>
      <c r="AB233" t="s">
        <v>2215</v>
      </c>
      <c r="AC233" t="s">
        <v>2208</v>
      </c>
      <c r="AD233" t="s">
        <v>2219</v>
      </c>
      <c r="AE233" t="s">
        <v>2165</v>
      </c>
      <c r="AF233" t="s">
        <v>2162</v>
      </c>
      <c r="AG233" t="s">
        <v>2222</v>
      </c>
      <c r="AH233">
        <v>36</v>
      </c>
      <c r="AI233">
        <v>52</v>
      </c>
      <c r="AJ233">
        <v>16</v>
      </c>
      <c r="AK233">
        <v>4</v>
      </c>
      <c r="AL233" t="s">
        <v>2225</v>
      </c>
      <c r="AM233">
        <v>0</v>
      </c>
      <c r="AN233" t="s">
        <v>2175</v>
      </c>
      <c r="AO233" t="s">
        <v>2175</v>
      </c>
      <c r="AP233" t="s">
        <v>2175</v>
      </c>
      <c r="AQ233">
        <v>247.64</v>
      </c>
      <c r="AR233">
        <v>3</v>
      </c>
      <c r="AS233">
        <v>3</v>
      </c>
      <c r="AT233">
        <v>3</v>
      </c>
      <c r="AU233">
        <v>3</v>
      </c>
      <c r="AV233">
        <v>3</v>
      </c>
      <c r="AW233">
        <v>4.5999999999999996</v>
      </c>
      <c r="AX233">
        <v>4.2</v>
      </c>
      <c r="AY233">
        <v>4.2</v>
      </c>
      <c r="AZ233">
        <v>0</v>
      </c>
      <c r="BA233">
        <v>0</v>
      </c>
      <c r="BB233">
        <v>46</v>
      </c>
      <c r="BC233">
        <v>26</v>
      </c>
      <c r="BD233">
        <v>40.729999999999997</v>
      </c>
      <c r="BE233">
        <v>203</v>
      </c>
      <c r="BF233">
        <v>88.5</v>
      </c>
      <c r="BG233">
        <v>25</v>
      </c>
      <c r="BH233">
        <v>26</v>
      </c>
      <c r="BI233">
        <v>21.81</v>
      </c>
      <c r="BJ233">
        <v>104</v>
      </c>
      <c r="BK233">
        <v>87.2</v>
      </c>
      <c r="BL233">
        <v>307</v>
      </c>
      <c r="BM233">
        <v>1.9873000000000001</v>
      </c>
    </row>
    <row r="234" spans="1:65" x14ac:dyDescent="0.25">
      <c r="A234" t="s">
        <v>297</v>
      </c>
      <c r="B234" t="s">
        <v>1364</v>
      </c>
      <c r="C234" t="s">
        <v>2160</v>
      </c>
      <c r="D234" s="1">
        <v>45348</v>
      </c>
      <c r="E234" s="1">
        <v>45393</v>
      </c>
      <c r="F234" s="1">
        <v>45439</v>
      </c>
      <c r="G234" t="s">
        <v>2164</v>
      </c>
      <c r="H234" t="s">
        <v>2170</v>
      </c>
      <c r="I234" t="s">
        <v>2174</v>
      </c>
      <c r="J234">
        <v>3758</v>
      </c>
      <c r="K234">
        <v>113</v>
      </c>
      <c r="L234">
        <v>7</v>
      </c>
      <c r="M234">
        <v>6</v>
      </c>
      <c r="N234">
        <v>4</v>
      </c>
      <c r="O234">
        <v>2029</v>
      </c>
      <c r="P234" t="s">
        <v>2176</v>
      </c>
      <c r="Q234">
        <v>5</v>
      </c>
      <c r="R234">
        <v>8</v>
      </c>
      <c r="S234">
        <v>6</v>
      </c>
      <c r="T234">
        <v>695</v>
      </c>
      <c r="U234" t="s">
        <v>2198</v>
      </c>
      <c r="W234" t="s">
        <v>2209</v>
      </c>
      <c r="X234" t="s">
        <v>2211</v>
      </c>
      <c r="Y234" t="s">
        <v>2213</v>
      </c>
      <c r="Z234" s="1">
        <v>45426</v>
      </c>
      <c r="AA234" s="1">
        <v>45430</v>
      </c>
      <c r="AB234" t="s">
        <v>2214</v>
      </c>
      <c r="AC234" t="s">
        <v>2209</v>
      </c>
      <c r="AD234" t="s">
        <v>2219</v>
      </c>
      <c r="AE234" t="s">
        <v>2166</v>
      </c>
      <c r="AF234" t="s">
        <v>2161</v>
      </c>
      <c r="AG234" t="s">
        <v>2222</v>
      </c>
      <c r="AH234">
        <v>19</v>
      </c>
      <c r="AI234">
        <v>33</v>
      </c>
      <c r="AJ234">
        <v>14</v>
      </c>
      <c r="AK234">
        <v>4</v>
      </c>
      <c r="AL234" t="s">
        <v>2225</v>
      </c>
      <c r="AM234">
        <v>0</v>
      </c>
      <c r="AN234" t="s">
        <v>2177</v>
      </c>
      <c r="AO234" t="s">
        <v>2177</v>
      </c>
      <c r="AP234" t="s">
        <v>2176</v>
      </c>
      <c r="AQ234">
        <v>42</v>
      </c>
      <c r="AR234">
        <v>1</v>
      </c>
      <c r="AS234">
        <v>2</v>
      </c>
      <c r="AT234">
        <v>2</v>
      </c>
      <c r="AU234">
        <v>1</v>
      </c>
      <c r="AV234">
        <v>1.666666666666667</v>
      </c>
      <c r="AW234">
        <v>4.8</v>
      </c>
      <c r="AX234">
        <v>4.3</v>
      </c>
      <c r="AY234">
        <v>4.5</v>
      </c>
      <c r="AZ234">
        <v>0</v>
      </c>
      <c r="BA234">
        <v>2</v>
      </c>
      <c r="BB234">
        <v>45</v>
      </c>
      <c r="BC234">
        <v>26</v>
      </c>
      <c r="BD234">
        <v>40.270000000000003</v>
      </c>
      <c r="BE234">
        <v>199</v>
      </c>
      <c r="BF234">
        <v>89.5</v>
      </c>
      <c r="BG234">
        <v>30</v>
      </c>
      <c r="BH234">
        <v>26</v>
      </c>
      <c r="BI234">
        <v>26.42</v>
      </c>
      <c r="BJ234">
        <v>126</v>
      </c>
      <c r="BK234">
        <v>88.1</v>
      </c>
      <c r="BL234">
        <v>337</v>
      </c>
      <c r="BM234">
        <v>0.72619999999999996</v>
      </c>
    </row>
    <row r="235" spans="1:65" x14ac:dyDescent="0.25">
      <c r="A235" t="s">
        <v>298</v>
      </c>
      <c r="B235" t="s">
        <v>1355</v>
      </c>
      <c r="C235" t="s">
        <v>2159</v>
      </c>
      <c r="D235" s="1">
        <v>45327</v>
      </c>
      <c r="E235" s="1">
        <v>45365</v>
      </c>
      <c r="F235" s="1">
        <v>45433</v>
      </c>
      <c r="G235" t="s">
        <v>2163</v>
      </c>
      <c r="H235" t="s">
        <v>2169</v>
      </c>
      <c r="I235" t="s">
        <v>2174</v>
      </c>
      <c r="J235">
        <v>10459</v>
      </c>
      <c r="K235">
        <v>314</v>
      </c>
      <c r="L235">
        <v>1.9</v>
      </c>
      <c r="M235">
        <v>5.9</v>
      </c>
      <c r="N235">
        <v>2</v>
      </c>
      <c r="O235">
        <v>6270</v>
      </c>
      <c r="P235" t="s">
        <v>2176</v>
      </c>
      <c r="Q235">
        <v>10</v>
      </c>
      <c r="R235">
        <v>14</v>
      </c>
      <c r="S235">
        <v>18</v>
      </c>
      <c r="T235">
        <v>582</v>
      </c>
      <c r="U235" t="s">
        <v>2163</v>
      </c>
      <c r="V235" t="s">
        <v>2169</v>
      </c>
      <c r="W235" t="s">
        <v>2209</v>
      </c>
      <c r="X235" t="s">
        <v>2211</v>
      </c>
      <c r="Y235" t="s">
        <v>2212</v>
      </c>
      <c r="Z235" s="1">
        <v>45425</v>
      </c>
      <c r="AA235" s="1">
        <v>45430</v>
      </c>
      <c r="AB235" t="s">
        <v>2214</v>
      </c>
      <c r="AC235" t="s">
        <v>2209</v>
      </c>
      <c r="AD235" t="s">
        <v>2218</v>
      </c>
      <c r="AE235" t="s">
        <v>2163</v>
      </c>
      <c r="AG235" t="s">
        <v>2221</v>
      </c>
      <c r="AH235">
        <v>42</v>
      </c>
      <c r="AI235">
        <v>60</v>
      </c>
      <c r="AJ235">
        <v>18</v>
      </c>
      <c r="AK235">
        <v>3</v>
      </c>
      <c r="AL235" t="s">
        <v>2227</v>
      </c>
      <c r="AM235">
        <v>0</v>
      </c>
      <c r="AN235" t="s">
        <v>2176</v>
      </c>
      <c r="AO235" t="s">
        <v>2176</v>
      </c>
      <c r="AP235" t="s">
        <v>2176</v>
      </c>
      <c r="AQ235">
        <v>11.21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4.4000000000000004</v>
      </c>
      <c r="AY235">
        <v>4.4000000000000004</v>
      </c>
      <c r="AZ235">
        <v>3</v>
      </c>
      <c r="BA235">
        <v>2</v>
      </c>
      <c r="BB235">
        <v>35</v>
      </c>
      <c r="BC235">
        <v>26</v>
      </c>
      <c r="BD235">
        <v>31.08</v>
      </c>
      <c r="BE235">
        <v>149</v>
      </c>
      <c r="BF235">
        <v>88.8</v>
      </c>
      <c r="BG235">
        <v>35</v>
      </c>
      <c r="BH235">
        <v>26</v>
      </c>
      <c r="BI235">
        <v>31.08</v>
      </c>
      <c r="BJ235">
        <v>149</v>
      </c>
      <c r="BK235">
        <v>88.8</v>
      </c>
      <c r="BL235">
        <v>149</v>
      </c>
      <c r="BM235">
        <v>2.6991000000000001</v>
      </c>
    </row>
    <row r="236" spans="1:65" x14ac:dyDescent="0.25">
      <c r="A236" t="s">
        <v>299</v>
      </c>
      <c r="B236" t="s">
        <v>1243</v>
      </c>
      <c r="C236" t="s">
        <v>2160</v>
      </c>
      <c r="D236" s="1">
        <v>45446</v>
      </c>
      <c r="E236" s="1">
        <v>45479</v>
      </c>
      <c r="F236" s="1">
        <v>45522</v>
      </c>
      <c r="G236" t="s">
        <v>2166</v>
      </c>
      <c r="H236" t="s">
        <v>2172</v>
      </c>
      <c r="I236" t="s">
        <v>2174</v>
      </c>
      <c r="J236">
        <v>2347</v>
      </c>
      <c r="K236">
        <v>71</v>
      </c>
      <c r="L236">
        <v>5.2</v>
      </c>
      <c r="M236">
        <v>3</v>
      </c>
      <c r="N236">
        <v>4</v>
      </c>
      <c r="O236">
        <v>2584</v>
      </c>
      <c r="P236" t="s">
        <v>2176</v>
      </c>
      <c r="Q236">
        <v>5</v>
      </c>
      <c r="R236">
        <v>8</v>
      </c>
      <c r="S236">
        <v>4</v>
      </c>
      <c r="T236">
        <v>602</v>
      </c>
      <c r="U236" t="s">
        <v>2184</v>
      </c>
      <c r="W236" t="s">
        <v>2209</v>
      </c>
      <c r="X236" t="s">
        <v>2211</v>
      </c>
      <c r="Y236" t="s">
        <v>2213</v>
      </c>
      <c r="Z236" s="1">
        <v>45510</v>
      </c>
      <c r="AA236" s="1">
        <v>45515</v>
      </c>
      <c r="AB236" t="s">
        <v>2214</v>
      </c>
      <c r="AC236" t="s">
        <v>2209</v>
      </c>
      <c r="AD236" t="s">
        <v>2219</v>
      </c>
      <c r="AE236" t="s">
        <v>2163</v>
      </c>
      <c r="AF236" t="s">
        <v>2162</v>
      </c>
      <c r="AG236" t="s">
        <v>2222</v>
      </c>
      <c r="AH236">
        <v>17</v>
      </c>
      <c r="AI236">
        <v>31</v>
      </c>
      <c r="AJ236">
        <v>14</v>
      </c>
      <c r="AK236">
        <v>7</v>
      </c>
      <c r="AL236" t="s">
        <v>2226</v>
      </c>
      <c r="AM236">
        <v>0</v>
      </c>
      <c r="AN236" t="s">
        <v>2176</v>
      </c>
      <c r="AO236" t="s">
        <v>2177</v>
      </c>
      <c r="AP236" t="s">
        <v>2176</v>
      </c>
      <c r="AQ236">
        <v>15.6</v>
      </c>
      <c r="AR236">
        <v>1</v>
      </c>
      <c r="AS236">
        <v>1</v>
      </c>
      <c r="AT236">
        <v>2</v>
      </c>
      <c r="AU236">
        <v>1</v>
      </c>
      <c r="AV236">
        <v>1.333333333333333</v>
      </c>
      <c r="AW236">
        <v>4.4000000000000004</v>
      </c>
      <c r="AX236">
        <v>4.2</v>
      </c>
      <c r="AY236">
        <v>4.8</v>
      </c>
      <c r="AZ236">
        <v>0</v>
      </c>
      <c r="BA236">
        <v>2</v>
      </c>
      <c r="BB236">
        <v>33</v>
      </c>
      <c r="BC236">
        <v>27</v>
      </c>
      <c r="BD236">
        <v>28.89</v>
      </c>
      <c r="BE236">
        <v>145</v>
      </c>
      <c r="BF236">
        <v>87.5</v>
      </c>
      <c r="BG236">
        <v>48</v>
      </c>
      <c r="BH236">
        <v>27</v>
      </c>
      <c r="BI236">
        <v>42.33</v>
      </c>
      <c r="BJ236">
        <v>216</v>
      </c>
      <c r="BK236">
        <v>88.2</v>
      </c>
      <c r="BL236">
        <v>278</v>
      </c>
      <c r="BM236">
        <v>0.59930000000000005</v>
      </c>
    </row>
    <row r="237" spans="1:65" x14ac:dyDescent="0.25">
      <c r="A237" t="s">
        <v>300</v>
      </c>
      <c r="B237" t="s">
        <v>1365</v>
      </c>
      <c r="C237" t="s">
        <v>2159</v>
      </c>
      <c r="D237" s="1">
        <v>45341</v>
      </c>
      <c r="E237" s="1">
        <v>45379</v>
      </c>
      <c r="F237" s="1">
        <v>45469</v>
      </c>
      <c r="G237" t="s">
        <v>2163</v>
      </c>
      <c r="H237" t="s">
        <v>2169</v>
      </c>
      <c r="I237" t="s">
        <v>2176</v>
      </c>
      <c r="J237">
        <v>20439</v>
      </c>
      <c r="K237">
        <v>614</v>
      </c>
      <c r="L237">
        <v>3.9</v>
      </c>
      <c r="M237">
        <v>6.6</v>
      </c>
      <c r="N237">
        <v>5</v>
      </c>
      <c r="O237">
        <v>4625</v>
      </c>
      <c r="P237" t="s">
        <v>2176</v>
      </c>
      <c r="Q237">
        <v>14</v>
      </c>
      <c r="R237">
        <v>20</v>
      </c>
      <c r="S237">
        <v>28</v>
      </c>
      <c r="T237">
        <v>740</v>
      </c>
      <c r="U237" t="s">
        <v>2201</v>
      </c>
      <c r="W237" t="s">
        <v>2209</v>
      </c>
      <c r="X237" t="s">
        <v>2211</v>
      </c>
      <c r="Y237" t="s">
        <v>2213</v>
      </c>
      <c r="Z237" s="1">
        <v>45462</v>
      </c>
      <c r="AA237" s="1">
        <v>45465</v>
      </c>
      <c r="AB237" t="s">
        <v>2214</v>
      </c>
      <c r="AC237" t="s">
        <v>2209</v>
      </c>
      <c r="AD237" t="s">
        <v>2219</v>
      </c>
      <c r="AE237" t="s">
        <v>2165</v>
      </c>
      <c r="AF237" t="s">
        <v>2161</v>
      </c>
      <c r="AG237" t="s">
        <v>2222</v>
      </c>
      <c r="AH237">
        <v>62</v>
      </c>
      <c r="AI237">
        <v>83</v>
      </c>
      <c r="AJ237">
        <v>21</v>
      </c>
      <c r="AK237">
        <v>3</v>
      </c>
      <c r="AL237" t="s">
        <v>2227</v>
      </c>
      <c r="AM237">
        <v>0</v>
      </c>
      <c r="AN237" t="s">
        <v>2176</v>
      </c>
      <c r="AO237" t="s">
        <v>2177</v>
      </c>
      <c r="AP237" t="s">
        <v>2176</v>
      </c>
      <c r="AQ237">
        <v>25.74</v>
      </c>
      <c r="AR237">
        <v>1</v>
      </c>
      <c r="AS237">
        <v>1</v>
      </c>
      <c r="AT237">
        <v>2</v>
      </c>
      <c r="AU237">
        <v>1</v>
      </c>
      <c r="AV237">
        <v>1.333333333333333</v>
      </c>
      <c r="AW237">
        <v>4.5999999999999996</v>
      </c>
      <c r="AX237">
        <v>4.3</v>
      </c>
      <c r="AY237">
        <v>4.4000000000000004</v>
      </c>
      <c r="AZ237">
        <v>3</v>
      </c>
      <c r="BA237">
        <v>1</v>
      </c>
      <c r="BB237">
        <v>48</v>
      </c>
      <c r="BC237">
        <v>26</v>
      </c>
      <c r="BD237">
        <v>42.38</v>
      </c>
      <c r="BE237">
        <v>212</v>
      </c>
      <c r="BF237">
        <v>88.3</v>
      </c>
      <c r="BG237">
        <v>35</v>
      </c>
      <c r="BH237">
        <v>26</v>
      </c>
      <c r="BI237">
        <v>31.08</v>
      </c>
      <c r="BJ237">
        <v>149</v>
      </c>
      <c r="BK237">
        <v>88.8</v>
      </c>
      <c r="BL237">
        <v>376</v>
      </c>
      <c r="BM237">
        <v>3.7073999999999998</v>
      </c>
    </row>
    <row r="238" spans="1:65" x14ac:dyDescent="0.25">
      <c r="A238" t="s">
        <v>301</v>
      </c>
      <c r="B238" t="s">
        <v>1341</v>
      </c>
      <c r="C238" t="s">
        <v>2160</v>
      </c>
      <c r="D238" s="1">
        <v>45411</v>
      </c>
      <c r="E238" s="1">
        <v>45443</v>
      </c>
      <c r="F238" s="1">
        <v>45479</v>
      </c>
      <c r="G238" t="s">
        <v>2164</v>
      </c>
      <c r="H238" t="s">
        <v>2170</v>
      </c>
      <c r="I238" t="s">
        <v>2175</v>
      </c>
      <c r="J238">
        <v>5883</v>
      </c>
      <c r="K238">
        <v>177</v>
      </c>
      <c r="L238">
        <v>14.6</v>
      </c>
      <c r="M238">
        <v>17</v>
      </c>
      <c r="N238">
        <v>6</v>
      </c>
      <c r="O238">
        <v>17193</v>
      </c>
      <c r="P238" t="s">
        <v>2178</v>
      </c>
      <c r="Q238">
        <v>7</v>
      </c>
      <c r="R238">
        <v>10</v>
      </c>
      <c r="S238">
        <v>7</v>
      </c>
      <c r="T238">
        <v>921</v>
      </c>
      <c r="U238" t="s">
        <v>2163</v>
      </c>
      <c r="V238" t="s">
        <v>2169</v>
      </c>
      <c r="W238" t="s">
        <v>2209</v>
      </c>
      <c r="X238" t="s">
        <v>2211</v>
      </c>
      <c r="Y238" t="s">
        <v>2212</v>
      </c>
      <c r="Z238" s="1">
        <v>45482</v>
      </c>
      <c r="AA238" s="1">
        <v>45487</v>
      </c>
      <c r="AB238" t="s">
        <v>2215</v>
      </c>
      <c r="AC238" t="s">
        <v>2208</v>
      </c>
      <c r="AD238" t="s">
        <v>2218</v>
      </c>
      <c r="AE238" t="s">
        <v>2163</v>
      </c>
      <c r="AG238" t="s">
        <v>2221</v>
      </c>
      <c r="AH238">
        <v>24</v>
      </c>
      <c r="AI238">
        <v>39</v>
      </c>
      <c r="AJ238">
        <v>15</v>
      </c>
      <c r="AK238">
        <v>5</v>
      </c>
      <c r="AL238" t="s">
        <v>2224</v>
      </c>
      <c r="AM238">
        <v>0</v>
      </c>
      <c r="AN238" t="s">
        <v>2175</v>
      </c>
      <c r="AO238" t="s">
        <v>2177</v>
      </c>
      <c r="AP238" t="s">
        <v>2175</v>
      </c>
      <c r="AQ238">
        <v>248.2</v>
      </c>
      <c r="AR238">
        <v>3</v>
      </c>
      <c r="AS238">
        <v>3</v>
      </c>
      <c r="AT238">
        <v>2</v>
      </c>
      <c r="AU238">
        <v>3</v>
      </c>
      <c r="AV238">
        <v>2.666666666666667</v>
      </c>
      <c r="AW238">
        <v>4.4000000000000004</v>
      </c>
      <c r="AY238">
        <v>4.5</v>
      </c>
      <c r="AZ238">
        <v>0</v>
      </c>
      <c r="BA238">
        <v>0</v>
      </c>
      <c r="BB238">
        <v>38</v>
      </c>
      <c r="BC238">
        <v>27</v>
      </c>
      <c r="BD238">
        <v>33.33</v>
      </c>
      <c r="BE238">
        <v>171</v>
      </c>
      <c r="BF238">
        <v>87.7</v>
      </c>
      <c r="BG238">
        <v>35</v>
      </c>
      <c r="BH238">
        <v>27</v>
      </c>
      <c r="BI238">
        <v>30.96</v>
      </c>
      <c r="BJ238">
        <v>158</v>
      </c>
      <c r="BK238">
        <v>88.5</v>
      </c>
      <c r="BL238">
        <v>171</v>
      </c>
      <c r="BM238">
        <v>1.2739</v>
      </c>
    </row>
    <row r="239" spans="1:65" x14ac:dyDescent="0.25">
      <c r="A239" t="s">
        <v>302</v>
      </c>
      <c r="B239" t="s">
        <v>1366</v>
      </c>
      <c r="C239" t="s">
        <v>2160</v>
      </c>
      <c r="D239" s="1">
        <v>45355</v>
      </c>
      <c r="E239" s="1">
        <v>45397</v>
      </c>
      <c r="F239" s="1">
        <v>45469</v>
      </c>
      <c r="G239" t="s">
        <v>2162</v>
      </c>
      <c r="H239" t="s">
        <v>2168</v>
      </c>
      <c r="I239" t="s">
        <v>2176</v>
      </c>
      <c r="J239">
        <v>15011</v>
      </c>
      <c r="K239">
        <v>451</v>
      </c>
      <c r="L239">
        <v>6.9</v>
      </c>
      <c r="M239">
        <v>11.2</v>
      </c>
      <c r="N239">
        <v>4</v>
      </c>
      <c r="O239">
        <v>6366</v>
      </c>
      <c r="P239" t="s">
        <v>2176</v>
      </c>
      <c r="Q239">
        <v>10</v>
      </c>
      <c r="R239">
        <v>14</v>
      </c>
      <c r="S239">
        <v>23</v>
      </c>
      <c r="T239">
        <v>653</v>
      </c>
      <c r="U239" t="s">
        <v>2201</v>
      </c>
      <c r="W239" t="s">
        <v>2209</v>
      </c>
      <c r="X239" t="s">
        <v>2211</v>
      </c>
      <c r="Y239" t="s">
        <v>2213</v>
      </c>
      <c r="Z239" s="1">
        <v>45462</v>
      </c>
      <c r="AA239" s="1">
        <v>45466</v>
      </c>
      <c r="AB239" t="s">
        <v>2214</v>
      </c>
      <c r="AC239" t="s">
        <v>2209</v>
      </c>
      <c r="AD239" t="s">
        <v>2219</v>
      </c>
      <c r="AE239" t="s">
        <v>2165</v>
      </c>
      <c r="AF239" t="s">
        <v>2161</v>
      </c>
      <c r="AG239" t="s">
        <v>2222</v>
      </c>
      <c r="AH239">
        <v>47</v>
      </c>
      <c r="AI239">
        <v>65</v>
      </c>
      <c r="AJ239">
        <v>18</v>
      </c>
      <c r="AK239">
        <v>4</v>
      </c>
      <c r="AL239" t="s">
        <v>2225</v>
      </c>
      <c r="AM239">
        <v>0</v>
      </c>
      <c r="AN239" t="s">
        <v>2177</v>
      </c>
      <c r="AO239" t="s">
        <v>2177</v>
      </c>
      <c r="AP239" t="s">
        <v>2176</v>
      </c>
      <c r="AQ239">
        <v>77.28</v>
      </c>
      <c r="AR239">
        <v>1</v>
      </c>
      <c r="AS239">
        <v>2</v>
      </c>
      <c r="AT239">
        <v>2</v>
      </c>
      <c r="AU239">
        <v>1</v>
      </c>
      <c r="AV239">
        <v>1.666666666666667</v>
      </c>
      <c r="AW239">
        <v>4.5999999999999996</v>
      </c>
      <c r="AX239">
        <v>4.3</v>
      </c>
      <c r="AY239">
        <v>4.2</v>
      </c>
      <c r="AZ239">
        <v>0</v>
      </c>
      <c r="BA239">
        <v>1</v>
      </c>
      <c r="BB239">
        <v>46</v>
      </c>
      <c r="BC239">
        <v>26</v>
      </c>
      <c r="BD239">
        <v>40.729999999999997</v>
      </c>
      <c r="BE239">
        <v>203</v>
      </c>
      <c r="BF239">
        <v>88.5</v>
      </c>
      <c r="BG239">
        <v>25</v>
      </c>
      <c r="BH239">
        <v>26</v>
      </c>
      <c r="BI239">
        <v>21.81</v>
      </c>
      <c r="BJ239">
        <v>104</v>
      </c>
      <c r="BK239">
        <v>87.2</v>
      </c>
      <c r="BL239">
        <v>341</v>
      </c>
      <c r="BM239">
        <v>2.8435000000000001</v>
      </c>
    </row>
    <row r="240" spans="1:65" x14ac:dyDescent="0.25">
      <c r="A240" t="s">
        <v>303</v>
      </c>
      <c r="B240" t="s">
        <v>1343</v>
      </c>
      <c r="C240" t="s">
        <v>2159</v>
      </c>
      <c r="D240" s="1">
        <v>45425</v>
      </c>
      <c r="E240" s="1">
        <v>45462</v>
      </c>
      <c r="F240" s="1">
        <v>45584</v>
      </c>
      <c r="G240" t="s">
        <v>2161</v>
      </c>
      <c r="H240" t="s">
        <v>2167</v>
      </c>
      <c r="I240" t="s">
        <v>2174</v>
      </c>
      <c r="J240">
        <v>29092</v>
      </c>
      <c r="K240">
        <v>873</v>
      </c>
      <c r="L240">
        <v>4.2</v>
      </c>
      <c r="M240">
        <v>7.2</v>
      </c>
      <c r="N240">
        <v>3</v>
      </c>
      <c r="O240">
        <v>5436</v>
      </c>
      <c r="P240" t="s">
        <v>2176</v>
      </c>
      <c r="Q240">
        <v>14</v>
      </c>
      <c r="R240">
        <v>20</v>
      </c>
      <c r="S240">
        <v>49</v>
      </c>
      <c r="T240">
        <v>604</v>
      </c>
      <c r="U240" t="s">
        <v>2183</v>
      </c>
      <c r="W240" t="s">
        <v>2209</v>
      </c>
      <c r="X240" t="s">
        <v>2211</v>
      </c>
      <c r="Y240" t="s">
        <v>2213</v>
      </c>
      <c r="Z240" s="1">
        <v>45569</v>
      </c>
      <c r="AA240" s="1">
        <v>45571</v>
      </c>
      <c r="AB240" t="s">
        <v>2214</v>
      </c>
      <c r="AC240" t="s">
        <v>2209</v>
      </c>
      <c r="AD240" t="s">
        <v>2219</v>
      </c>
      <c r="AE240" t="s">
        <v>2162</v>
      </c>
      <c r="AF240" t="s">
        <v>2163</v>
      </c>
      <c r="AG240" t="s">
        <v>2222</v>
      </c>
      <c r="AH240">
        <v>83</v>
      </c>
      <c r="AI240">
        <v>107</v>
      </c>
      <c r="AJ240">
        <v>24</v>
      </c>
      <c r="AK240">
        <v>6</v>
      </c>
      <c r="AL240" t="s">
        <v>2223</v>
      </c>
      <c r="AM240">
        <v>0</v>
      </c>
      <c r="AN240" t="s">
        <v>2176</v>
      </c>
      <c r="AO240" t="s">
        <v>2176</v>
      </c>
      <c r="AP240" t="s">
        <v>2176</v>
      </c>
      <c r="AQ240">
        <v>30.24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4.2</v>
      </c>
      <c r="AX240">
        <v>4.4000000000000004</v>
      </c>
      <c r="AY240">
        <v>4.3</v>
      </c>
      <c r="AZ240">
        <v>3</v>
      </c>
      <c r="BA240">
        <v>2</v>
      </c>
      <c r="BB240">
        <v>29</v>
      </c>
      <c r="BC240">
        <v>25</v>
      </c>
      <c r="BD240">
        <v>25.56</v>
      </c>
      <c r="BE240">
        <v>117</v>
      </c>
      <c r="BF240">
        <v>88.1</v>
      </c>
      <c r="BG240">
        <v>36</v>
      </c>
      <c r="BH240">
        <v>25</v>
      </c>
      <c r="BI240">
        <v>31.92</v>
      </c>
      <c r="BJ240">
        <v>149</v>
      </c>
      <c r="BK240">
        <v>88.7</v>
      </c>
      <c r="BL240">
        <v>238</v>
      </c>
      <c r="BM240">
        <v>9.9426000000000005</v>
      </c>
    </row>
    <row r="241" spans="1:65" x14ac:dyDescent="0.25">
      <c r="A241" t="s">
        <v>304</v>
      </c>
      <c r="B241" t="s">
        <v>1367</v>
      </c>
      <c r="C241" t="s">
        <v>2159</v>
      </c>
      <c r="D241" s="1">
        <v>45453</v>
      </c>
      <c r="E241" s="1">
        <v>45486</v>
      </c>
      <c r="F241" s="1">
        <v>45613</v>
      </c>
      <c r="G241" t="s">
        <v>2165</v>
      </c>
      <c r="H241" t="s">
        <v>2171</v>
      </c>
      <c r="I241" t="s">
        <v>2174</v>
      </c>
      <c r="J241">
        <v>29676</v>
      </c>
      <c r="K241">
        <v>891</v>
      </c>
      <c r="L241">
        <v>2.8</v>
      </c>
      <c r="M241">
        <v>6</v>
      </c>
      <c r="N241">
        <v>3</v>
      </c>
      <c r="O241">
        <v>5199</v>
      </c>
      <c r="P241" t="s">
        <v>2176</v>
      </c>
      <c r="Q241">
        <v>14</v>
      </c>
      <c r="R241">
        <v>20</v>
      </c>
      <c r="S241">
        <v>58</v>
      </c>
      <c r="T241">
        <v>519</v>
      </c>
      <c r="U241" t="s">
        <v>2163</v>
      </c>
      <c r="V241" t="s">
        <v>2169</v>
      </c>
      <c r="W241" t="s">
        <v>2209</v>
      </c>
      <c r="X241" t="s">
        <v>2211</v>
      </c>
      <c r="Y241" t="s">
        <v>2212</v>
      </c>
      <c r="Z241" s="1">
        <v>45604</v>
      </c>
      <c r="AA241" s="1">
        <v>45606</v>
      </c>
      <c r="AB241" t="s">
        <v>2214</v>
      </c>
      <c r="AC241" t="s">
        <v>2209</v>
      </c>
      <c r="AD241" t="s">
        <v>2218</v>
      </c>
      <c r="AE241" t="s">
        <v>2163</v>
      </c>
      <c r="AG241" t="s">
        <v>2221</v>
      </c>
      <c r="AH241">
        <v>92</v>
      </c>
      <c r="AI241">
        <v>118</v>
      </c>
      <c r="AJ241">
        <v>26</v>
      </c>
      <c r="AK241">
        <v>7</v>
      </c>
      <c r="AL241" t="s">
        <v>2226</v>
      </c>
      <c r="AM241">
        <v>0</v>
      </c>
      <c r="AN241" t="s">
        <v>2176</v>
      </c>
      <c r="AO241" t="s">
        <v>2176</v>
      </c>
      <c r="AP241" t="s">
        <v>2176</v>
      </c>
      <c r="AQ241">
        <v>16.8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4.4000000000000004</v>
      </c>
      <c r="AY241">
        <v>4.5999999999999996</v>
      </c>
      <c r="AZ241">
        <v>3</v>
      </c>
      <c r="BA241">
        <v>2</v>
      </c>
      <c r="BB241">
        <v>33</v>
      </c>
      <c r="BC241">
        <v>27</v>
      </c>
      <c r="BD241">
        <v>28.89</v>
      </c>
      <c r="BE241">
        <v>145</v>
      </c>
      <c r="BF241">
        <v>87.5</v>
      </c>
      <c r="BG241">
        <v>38</v>
      </c>
      <c r="BH241">
        <v>27</v>
      </c>
      <c r="BI241">
        <v>34</v>
      </c>
      <c r="BJ241">
        <v>174</v>
      </c>
      <c r="BK241">
        <v>89.5</v>
      </c>
      <c r="BL241">
        <v>145</v>
      </c>
      <c r="BM241">
        <v>7.5781000000000001</v>
      </c>
    </row>
    <row r="242" spans="1:65" x14ac:dyDescent="0.25">
      <c r="A242" t="s">
        <v>305</v>
      </c>
      <c r="B242" t="s">
        <v>1362</v>
      </c>
      <c r="C242" t="s">
        <v>2157</v>
      </c>
      <c r="D242" s="1">
        <v>45397</v>
      </c>
      <c r="E242" s="1">
        <v>45439</v>
      </c>
      <c r="F242" s="1">
        <v>45605</v>
      </c>
      <c r="G242" t="s">
        <v>2163</v>
      </c>
      <c r="H242" t="s">
        <v>2169</v>
      </c>
      <c r="I242" t="s">
        <v>2174</v>
      </c>
      <c r="J242">
        <v>51382</v>
      </c>
      <c r="K242">
        <v>1542</v>
      </c>
      <c r="L242">
        <v>1.9</v>
      </c>
      <c r="M242">
        <v>7</v>
      </c>
      <c r="N242">
        <v>2</v>
      </c>
      <c r="O242">
        <v>3515</v>
      </c>
      <c r="P242" t="s">
        <v>2176</v>
      </c>
      <c r="Q242">
        <v>18</v>
      </c>
      <c r="R242">
        <v>30</v>
      </c>
      <c r="S242">
        <v>78</v>
      </c>
      <c r="T242">
        <v>662</v>
      </c>
      <c r="U242" t="s">
        <v>2179</v>
      </c>
      <c r="W242" t="s">
        <v>2209</v>
      </c>
      <c r="X242" t="s">
        <v>2211</v>
      </c>
      <c r="Y242" t="s">
        <v>2213</v>
      </c>
      <c r="Z242" s="1">
        <v>45596</v>
      </c>
      <c r="AA242" s="1">
        <v>45599</v>
      </c>
      <c r="AB242" t="s">
        <v>2214</v>
      </c>
      <c r="AC242" t="s">
        <v>2209</v>
      </c>
      <c r="AD242" t="s">
        <v>2219</v>
      </c>
      <c r="AE242" t="s">
        <v>2165</v>
      </c>
      <c r="AF242" t="s">
        <v>2162</v>
      </c>
      <c r="AG242" t="s">
        <v>2222</v>
      </c>
      <c r="AH242">
        <v>126</v>
      </c>
      <c r="AI242">
        <v>157</v>
      </c>
      <c r="AJ242">
        <v>31</v>
      </c>
      <c r="AK242">
        <v>5</v>
      </c>
      <c r="AL242" t="s">
        <v>2224</v>
      </c>
      <c r="AM242">
        <v>0</v>
      </c>
      <c r="AN242" t="s">
        <v>2176</v>
      </c>
      <c r="AO242" t="s">
        <v>2176</v>
      </c>
      <c r="AP242" t="s">
        <v>2176</v>
      </c>
      <c r="AQ242">
        <v>13.3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4.5999999999999996</v>
      </c>
      <c r="AX242">
        <v>4.2</v>
      </c>
      <c r="AY242">
        <v>4.4000000000000004</v>
      </c>
      <c r="AZ242">
        <v>1</v>
      </c>
      <c r="BA242">
        <v>2</v>
      </c>
      <c r="BB242">
        <v>36</v>
      </c>
      <c r="BC242">
        <v>27</v>
      </c>
      <c r="BD242">
        <v>31.37</v>
      </c>
      <c r="BE242">
        <v>158</v>
      </c>
      <c r="BF242">
        <v>87.1</v>
      </c>
      <c r="BG242">
        <v>38</v>
      </c>
      <c r="BH242">
        <v>27</v>
      </c>
      <c r="BI242">
        <v>33.33</v>
      </c>
      <c r="BJ242">
        <v>171</v>
      </c>
      <c r="BK242">
        <v>87.7</v>
      </c>
      <c r="BL242">
        <v>266</v>
      </c>
      <c r="BM242">
        <v>12.041700000000001</v>
      </c>
    </row>
    <row r="243" spans="1:65" x14ac:dyDescent="0.25">
      <c r="A243" t="s">
        <v>306</v>
      </c>
      <c r="B243" t="s">
        <v>1358</v>
      </c>
      <c r="C243" t="s">
        <v>2160</v>
      </c>
      <c r="D243" s="1">
        <v>45390</v>
      </c>
      <c r="E243" s="1">
        <v>45429</v>
      </c>
      <c r="F243" s="1">
        <v>45491</v>
      </c>
      <c r="G243" t="s">
        <v>2163</v>
      </c>
      <c r="H243" t="s">
        <v>2169</v>
      </c>
      <c r="I243" t="s">
        <v>2174</v>
      </c>
      <c r="J243">
        <v>7372</v>
      </c>
      <c r="K243">
        <v>222</v>
      </c>
      <c r="L243">
        <v>1.2</v>
      </c>
      <c r="M243">
        <v>1.4</v>
      </c>
      <c r="N243">
        <v>4</v>
      </c>
      <c r="O243">
        <v>6450</v>
      </c>
      <c r="P243" t="s">
        <v>2176</v>
      </c>
      <c r="Q243">
        <v>7</v>
      </c>
      <c r="R243">
        <v>10</v>
      </c>
      <c r="S243">
        <v>15</v>
      </c>
      <c r="T243">
        <v>510</v>
      </c>
      <c r="U243" t="s">
        <v>2162</v>
      </c>
      <c r="V243" t="s">
        <v>2168</v>
      </c>
      <c r="W243" t="s">
        <v>2209</v>
      </c>
      <c r="X243" t="s">
        <v>2211</v>
      </c>
      <c r="Y243" t="s">
        <v>2212</v>
      </c>
      <c r="Z243" s="1">
        <v>45477</v>
      </c>
      <c r="AA243" s="1">
        <v>45480</v>
      </c>
      <c r="AB243" t="s">
        <v>2214</v>
      </c>
      <c r="AC243" t="s">
        <v>2209</v>
      </c>
      <c r="AD243" t="s">
        <v>2218</v>
      </c>
      <c r="AE243" t="s">
        <v>2162</v>
      </c>
      <c r="AG243" t="s">
        <v>2221</v>
      </c>
      <c r="AH243">
        <v>32</v>
      </c>
      <c r="AI243">
        <v>48</v>
      </c>
      <c r="AJ243">
        <v>16</v>
      </c>
      <c r="AK243">
        <v>5</v>
      </c>
      <c r="AL243" t="s">
        <v>2224</v>
      </c>
      <c r="AM243">
        <v>0</v>
      </c>
      <c r="AN243" t="s">
        <v>2176</v>
      </c>
      <c r="AO243" t="s">
        <v>2177</v>
      </c>
      <c r="AP243" t="s">
        <v>2176</v>
      </c>
      <c r="AQ243">
        <v>1.68</v>
      </c>
      <c r="AR243">
        <v>1</v>
      </c>
      <c r="AS243">
        <v>1</v>
      </c>
      <c r="AT243">
        <v>2</v>
      </c>
      <c r="AU243">
        <v>1</v>
      </c>
      <c r="AV243">
        <v>1.333333333333333</v>
      </c>
      <c r="AW243">
        <v>4.2</v>
      </c>
      <c r="AY243">
        <v>4.4000000000000004</v>
      </c>
      <c r="AZ243">
        <v>0</v>
      </c>
      <c r="BA243">
        <v>2</v>
      </c>
      <c r="BB243">
        <v>24</v>
      </c>
      <c r="BC243">
        <v>27</v>
      </c>
      <c r="BD243">
        <v>21.44</v>
      </c>
      <c r="BE243">
        <v>108</v>
      </c>
      <c r="BF243">
        <v>89.3</v>
      </c>
      <c r="BG243">
        <v>38</v>
      </c>
      <c r="BH243">
        <v>27</v>
      </c>
      <c r="BI243">
        <v>33.33</v>
      </c>
      <c r="BJ243">
        <v>171</v>
      </c>
      <c r="BK243">
        <v>87.7</v>
      </c>
      <c r="BL243">
        <v>108</v>
      </c>
      <c r="BM243">
        <v>2.5272999999999999</v>
      </c>
    </row>
    <row r="244" spans="1:65" x14ac:dyDescent="0.25">
      <c r="A244" t="s">
        <v>307</v>
      </c>
      <c r="B244" t="s">
        <v>1368</v>
      </c>
      <c r="C244" t="s">
        <v>2159</v>
      </c>
      <c r="D244" s="1">
        <v>45306</v>
      </c>
      <c r="E244" s="1">
        <v>45341</v>
      </c>
      <c r="F244" s="1">
        <v>45418</v>
      </c>
      <c r="G244" t="s">
        <v>2161</v>
      </c>
      <c r="H244" t="s">
        <v>2167</v>
      </c>
      <c r="I244" t="s">
        <v>2174</v>
      </c>
      <c r="J244">
        <v>13595</v>
      </c>
      <c r="K244">
        <v>408</v>
      </c>
      <c r="L244">
        <v>2.6</v>
      </c>
      <c r="M244">
        <v>1.3</v>
      </c>
      <c r="N244">
        <v>2</v>
      </c>
      <c r="O244">
        <v>5643</v>
      </c>
      <c r="P244" t="s">
        <v>2176</v>
      </c>
      <c r="Q244">
        <v>10</v>
      </c>
      <c r="R244">
        <v>14</v>
      </c>
      <c r="S244">
        <v>22</v>
      </c>
      <c r="T244">
        <v>646</v>
      </c>
      <c r="U244" t="s">
        <v>2161</v>
      </c>
      <c r="V244" t="s">
        <v>2167</v>
      </c>
      <c r="W244" t="s">
        <v>2208</v>
      </c>
      <c r="X244" t="s">
        <v>2210</v>
      </c>
      <c r="Y244" t="s">
        <v>2212</v>
      </c>
      <c r="Z244" s="1">
        <v>45405</v>
      </c>
      <c r="AA244" s="1">
        <v>45409</v>
      </c>
      <c r="AB244" t="s">
        <v>2214</v>
      </c>
      <c r="AC244" t="s">
        <v>2209</v>
      </c>
      <c r="AD244" t="s">
        <v>2216</v>
      </c>
      <c r="AE244" t="s">
        <v>2161</v>
      </c>
      <c r="AG244" t="s">
        <v>2220</v>
      </c>
      <c r="AH244">
        <v>46</v>
      </c>
      <c r="AI244">
        <v>64</v>
      </c>
      <c r="AJ244">
        <v>18</v>
      </c>
      <c r="AK244">
        <v>2</v>
      </c>
      <c r="AL244" t="s">
        <v>2228</v>
      </c>
      <c r="AM244">
        <v>0</v>
      </c>
      <c r="AN244" t="s">
        <v>2176</v>
      </c>
      <c r="AO244" t="s">
        <v>2176</v>
      </c>
      <c r="AP244" t="s">
        <v>2176</v>
      </c>
      <c r="AQ244">
        <v>3.38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4.3</v>
      </c>
      <c r="AY244">
        <v>4.3</v>
      </c>
      <c r="AZ244">
        <v>3</v>
      </c>
      <c r="BA244">
        <v>2</v>
      </c>
      <c r="BB244">
        <v>34</v>
      </c>
      <c r="BC244">
        <v>24</v>
      </c>
      <c r="BD244">
        <v>29.92</v>
      </c>
      <c r="BE244">
        <v>134</v>
      </c>
      <c r="BF244">
        <v>88</v>
      </c>
      <c r="BG244">
        <v>34</v>
      </c>
      <c r="BH244">
        <v>24</v>
      </c>
      <c r="BI244">
        <v>29.92</v>
      </c>
      <c r="BJ244">
        <v>134</v>
      </c>
      <c r="BK244">
        <v>88</v>
      </c>
      <c r="BL244">
        <v>134</v>
      </c>
      <c r="BM244">
        <v>4.226</v>
      </c>
    </row>
    <row r="245" spans="1:65" x14ac:dyDescent="0.25">
      <c r="A245" t="s">
        <v>308</v>
      </c>
      <c r="B245" t="s">
        <v>1369</v>
      </c>
      <c r="C245" t="s">
        <v>2159</v>
      </c>
      <c r="D245" s="1">
        <v>45327</v>
      </c>
      <c r="E245" s="1">
        <v>45369</v>
      </c>
      <c r="F245" s="1">
        <v>45488</v>
      </c>
      <c r="G245" t="s">
        <v>2161</v>
      </c>
      <c r="H245" t="s">
        <v>2167</v>
      </c>
      <c r="I245" t="s">
        <v>2174</v>
      </c>
      <c r="J245">
        <v>29514</v>
      </c>
      <c r="K245">
        <v>886</v>
      </c>
      <c r="L245">
        <v>5.6</v>
      </c>
      <c r="M245">
        <v>7.4</v>
      </c>
      <c r="N245">
        <v>2</v>
      </c>
      <c r="O245">
        <v>2072</v>
      </c>
      <c r="P245" t="s">
        <v>2176</v>
      </c>
      <c r="Q245">
        <v>14</v>
      </c>
      <c r="R245">
        <v>20</v>
      </c>
      <c r="S245">
        <v>48</v>
      </c>
      <c r="T245">
        <v>616</v>
      </c>
      <c r="U245" t="s">
        <v>2193</v>
      </c>
      <c r="W245" t="s">
        <v>2209</v>
      </c>
      <c r="X245" t="s">
        <v>2211</v>
      </c>
      <c r="Y245" t="s">
        <v>2213</v>
      </c>
      <c r="Z245" s="1">
        <v>45475</v>
      </c>
      <c r="AA245" s="1">
        <v>45479</v>
      </c>
      <c r="AB245" t="s">
        <v>2214</v>
      </c>
      <c r="AC245" t="s">
        <v>2209</v>
      </c>
      <c r="AD245" t="s">
        <v>2219</v>
      </c>
      <c r="AE245" t="s">
        <v>2161</v>
      </c>
      <c r="AF245" t="s">
        <v>2165</v>
      </c>
      <c r="AG245" t="s">
        <v>2222</v>
      </c>
      <c r="AH245">
        <v>82</v>
      </c>
      <c r="AI245">
        <v>106</v>
      </c>
      <c r="AJ245">
        <v>24</v>
      </c>
      <c r="AK245">
        <v>3</v>
      </c>
      <c r="AL245" t="s">
        <v>2227</v>
      </c>
      <c r="AM245">
        <v>0</v>
      </c>
      <c r="AN245" t="s">
        <v>2177</v>
      </c>
      <c r="AO245" t="s">
        <v>2176</v>
      </c>
      <c r="AP245" t="s">
        <v>2176</v>
      </c>
      <c r="AQ245">
        <v>41.44</v>
      </c>
      <c r="AR245">
        <v>1</v>
      </c>
      <c r="AS245">
        <v>2</v>
      </c>
      <c r="AT245">
        <v>1</v>
      </c>
      <c r="AU245">
        <v>1</v>
      </c>
      <c r="AV245">
        <v>1.333333333333333</v>
      </c>
      <c r="AW245">
        <v>4.3</v>
      </c>
      <c r="AX245">
        <v>4.5999999999999996</v>
      </c>
      <c r="AY245">
        <v>4.3</v>
      </c>
      <c r="AZ245">
        <v>3</v>
      </c>
      <c r="BA245">
        <v>2</v>
      </c>
      <c r="BB245">
        <v>38</v>
      </c>
      <c r="BC245">
        <v>26</v>
      </c>
      <c r="BD245">
        <v>33.729999999999997</v>
      </c>
      <c r="BE245">
        <v>164</v>
      </c>
      <c r="BF245">
        <v>88.8</v>
      </c>
      <c r="BG245">
        <v>38</v>
      </c>
      <c r="BH245">
        <v>26</v>
      </c>
      <c r="BI245">
        <v>33.729999999999997</v>
      </c>
      <c r="BJ245">
        <v>164</v>
      </c>
      <c r="BK245">
        <v>88.8</v>
      </c>
      <c r="BL245">
        <v>376</v>
      </c>
      <c r="BM245">
        <v>6.92</v>
      </c>
    </row>
    <row r="246" spans="1:65" x14ac:dyDescent="0.25">
      <c r="A246" t="s">
        <v>309</v>
      </c>
      <c r="B246" t="s">
        <v>1319</v>
      </c>
      <c r="C246" t="s">
        <v>2157</v>
      </c>
      <c r="D246" s="1">
        <v>45411</v>
      </c>
      <c r="E246" s="1">
        <v>45453</v>
      </c>
      <c r="F246" s="1">
        <v>45575</v>
      </c>
      <c r="G246" t="s">
        <v>2166</v>
      </c>
      <c r="H246" t="s">
        <v>2172</v>
      </c>
      <c r="I246" t="s">
        <v>2173</v>
      </c>
      <c r="J246">
        <v>42276</v>
      </c>
      <c r="K246">
        <v>1269</v>
      </c>
      <c r="L246">
        <v>6.3</v>
      </c>
      <c r="M246">
        <v>7.7</v>
      </c>
      <c r="N246">
        <v>4</v>
      </c>
      <c r="O246">
        <v>8976</v>
      </c>
      <c r="P246" t="s">
        <v>2176</v>
      </c>
      <c r="Q246">
        <v>18</v>
      </c>
      <c r="R246">
        <v>30</v>
      </c>
      <c r="S246">
        <v>48</v>
      </c>
      <c r="T246">
        <v>890</v>
      </c>
      <c r="U246" t="s">
        <v>2202</v>
      </c>
      <c r="W246" t="s">
        <v>2209</v>
      </c>
      <c r="X246" t="s">
        <v>2211</v>
      </c>
      <c r="Y246" t="s">
        <v>2213</v>
      </c>
      <c r="Z246" s="1">
        <v>45575</v>
      </c>
      <c r="AA246" s="1">
        <v>45578</v>
      </c>
      <c r="AB246" t="s">
        <v>2214</v>
      </c>
      <c r="AC246" t="s">
        <v>2209</v>
      </c>
      <c r="AD246" t="s">
        <v>2219</v>
      </c>
      <c r="AE246" t="s">
        <v>2163</v>
      </c>
      <c r="AF246" t="s">
        <v>2166</v>
      </c>
      <c r="AG246" t="s">
        <v>2222</v>
      </c>
      <c r="AH246">
        <v>96</v>
      </c>
      <c r="AI246">
        <v>122</v>
      </c>
      <c r="AJ246">
        <v>26</v>
      </c>
      <c r="AK246">
        <v>6</v>
      </c>
      <c r="AL246" t="s">
        <v>2223</v>
      </c>
      <c r="AM246">
        <v>0</v>
      </c>
      <c r="AN246" t="s">
        <v>2177</v>
      </c>
      <c r="AO246" t="s">
        <v>2177</v>
      </c>
      <c r="AP246" t="s">
        <v>2177</v>
      </c>
      <c r="AQ246">
        <v>48.51</v>
      </c>
      <c r="AR246">
        <v>1</v>
      </c>
      <c r="AS246">
        <v>2</v>
      </c>
      <c r="AT246">
        <v>2</v>
      </c>
      <c r="AU246">
        <v>2</v>
      </c>
      <c r="AV246">
        <v>2</v>
      </c>
      <c r="AW246">
        <v>4.4000000000000004</v>
      </c>
      <c r="AX246">
        <v>4.8</v>
      </c>
      <c r="AY246">
        <v>4.8</v>
      </c>
      <c r="AZ246">
        <v>1</v>
      </c>
      <c r="BA246">
        <v>3</v>
      </c>
      <c r="BB246">
        <v>30</v>
      </c>
      <c r="BC246">
        <v>25</v>
      </c>
      <c r="BD246">
        <v>26.48</v>
      </c>
      <c r="BE246">
        <v>121</v>
      </c>
      <c r="BF246">
        <v>88.3</v>
      </c>
      <c r="BG246">
        <v>45</v>
      </c>
      <c r="BH246">
        <v>25</v>
      </c>
      <c r="BI246">
        <v>39.200000000000003</v>
      </c>
      <c r="BJ246">
        <v>186</v>
      </c>
      <c r="BK246">
        <v>87.1</v>
      </c>
      <c r="BL246">
        <v>307</v>
      </c>
      <c r="BM246">
        <v>13.9709</v>
      </c>
    </row>
    <row r="247" spans="1:65" x14ac:dyDescent="0.25">
      <c r="A247" t="s">
        <v>310</v>
      </c>
      <c r="B247" t="s">
        <v>1370</v>
      </c>
      <c r="C247" t="s">
        <v>2159</v>
      </c>
      <c r="D247" s="1">
        <v>45453</v>
      </c>
      <c r="E247" s="1">
        <v>45483</v>
      </c>
      <c r="F247" s="1">
        <v>45558</v>
      </c>
      <c r="G247" t="s">
        <v>2166</v>
      </c>
      <c r="H247" t="s">
        <v>2172</v>
      </c>
      <c r="I247" t="s">
        <v>2175</v>
      </c>
      <c r="J247">
        <v>20828</v>
      </c>
      <c r="K247">
        <v>625</v>
      </c>
      <c r="L247">
        <v>12.7</v>
      </c>
      <c r="M247">
        <v>13.7</v>
      </c>
      <c r="N247">
        <v>5</v>
      </c>
      <c r="O247">
        <v>12590</v>
      </c>
      <c r="P247" t="s">
        <v>2177</v>
      </c>
      <c r="Q247">
        <v>14</v>
      </c>
      <c r="R247">
        <v>20</v>
      </c>
      <c r="S247">
        <v>21</v>
      </c>
      <c r="T247">
        <v>995</v>
      </c>
      <c r="U247" t="s">
        <v>2184</v>
      </c>
      <c r="W247" t="s">
        <v>2209</v>
      </c>
      <c r="X247" t="s">
        <v>2211</v>
      </c>
      <c r="Y247" t="s">
        <v>2213</v>
      </c>
      <c r="Z247" s="1">
        <v>45558</v>
      </c>
      <c r="AA247" s="1">
        <v>45564</v>
      </c>
      <c r="AB247" t="s">
        <v>2214</v>
      </c>
      <c r="AC247" t="s">
        <v>2209</v>
      </c>
      <c r="AD247" t="s">
        <v>2219</v>
      </c>
      <c r="AE247" t="s">
        <v>2163</v>
      </c>
      <c r="AF247" t="s">
        <v>2162</v>
      </c>
      <c r="AG247" t="s">
        <v>2222</v>
      </c>
      <c r="AH247">
        <v>55</v>
      </c>
      <c r="AI247">
        <v>75</v>
      </c>
      <c r="AJ247">
        <v>20</v>
      </c>
      <c r="AK247">
        <v>7</v>
      </c>
      <c r="AL247" t="s">
        <v>2226</v>
      </c>
      <c r="AM247">
        <v>0</v>
      </c>
      <c r="AN247" t="s">
        <v>2175</v>
      </c>
      <c r="AO247" t="s">
        <v>2177</v>
      </c>
      <c r="AP247" t="s">
        <v>2177</v>
      </c>
      <c r="AQ247">
        <v>173.99</v>
      </c>
      <c r="AR247">
        <v>2</v>
      </c>
      <c r="AS247">
        <v>3</v>
      </c>
      <c r="AT247">
        <v>2</v>
      </c>
      <c r="AU247">
        <v>2</v>
      </c>
      <c r="AV247">
        <v>2.333333333333333</v>
      </c>
      <c r="AW247">
        <v>4.4000000000000004</v>
      </c>
      <c r="AX247">
        <v>4.2</v>
      </c>
      <c r="AY247">
        <v>4.8</v>
      </c>
      <c r="AZ247">
        <v>3</v>
      </c>
      <c r="BA247">
        <v>0</v>
      </c>
      <c r="BB247">
        <v>33</v>
      </c>
      <c r="BC247">
        <v>27</v>
      </c>
      <c r="BD247">
        <v>28.89</v>
      </c>
      <c r="BE247">
        <v>145</v>
      </c>
      <c r="BF247">
        <v>87.5</v>
      </c>
      <c r="BG247">
        <v>48</v>
      </c>
      <c r="BH247">
        <v>27</v>
      </c>
      <c r="BI247">
        <v>42.33</v>
      </c>
      <c r="BJ247">
        <v>216</v>
      </c>
      <c r="BK247">
        <v>88.2</v>
      </c>
      <c r="BL247">
        <v>278</v>
      </c>
      <c r="BM247">
        <v>5.3186999999999998</v>
      </c>
    </row>
    <row r="248" spans="1:65" x14ac:dyDescent="0.25">
      <c r="A248" t="s">
        <v>311</v>
      </c>
      <c r="B248" t="s">
        <v>1371</v>
      </c>
      <c r="C248" t="s">
        <v>2158</v>
      </c>
      <c r="D248" s="1">
        <v>45299</v>
      </c>
      <c r="E248" s="1">
        <v>45334</v>
      </c>
      <c r="F248" s="1">
        <v>45404</v>
      </c>
      <c r="G248" t="s">
        <v>2166</v>
      </c>
      <c r="H248" t="s">
        <v>2172</v>
      </c>
      <c r="I248" t="s">
        <v>2176</v>
      </c>
      <c r="J248">
        <v>11849</v>
      </c>
      <c r="K248">
        <v>356</v>
      </c>
      <c r="L248">
        <v>3.1</v>
      </c>
      <c r="M248">
        <v>12</v>
      </c>
      <c r="N248">
        <v>3</v>
      </c>
      <c r="O248">
        <v>9591</v>
      </c>
      <c r="P248" t="s">
        <v>2176</v>
      </c>
      <c r="Q248">
        <v>10</v>
      </c>
      <c r="R248">
        <v>14</v>
      </c>
      <c r="S248">
        <v>19</v>
      </c>
      <c r="T248">
        <v>644</v>
      </c>
      <c r="U248" t="s">
        <v>2166</v>
      </c>
      <c r="V248" t="s">
        <v>2172</v>
      </c>
      <c r="W248" t="s">
        <v>2208</v>
      </c>
      <c r="X248" t="s">
        <v>2210</v>
      </c>
      <c r="Y248" t="s">
        <v>2212</v>
      </c>
      <c r="Z248" s="1">
        <v>45395</v>
      </c>
      <c r="AA248" s="1">
        <v>45395</v>
      </c>
      <c r="AB248" t="s">
        <v>2214</v>
      </c>
      <c r="AC248" t="s">
        <v>2209</v>
      </c>
      <c r="AD248" t="s">
        <v>2216</v>
      </c>
      <c r="AE248" t="s">
        <v>2166</v>
      </c>
      <c r="AG248" t="s">
        <v>2220</v>
      </c>
      <c r="AH248">
        <v>43</v>
      </c>
      <c r="AI248">
        <v>61</v>
      </c>
      <c r="AJ248">
        <v>18</v>
      </c>
      <c r="AK248">
        <v>2</v>
      </c>
      <c r="AL248" t="s">
        <v>2228</v>
      </c>
      <c r="AM248">
        <v>0</v>
      </c>
      <c r="AN248" t="s">
        <v>2177</v>
      </c>
      <c r="AO248" t="s">
        <v>2176</v>
      </c>
      <c r="AP248" t="s">
        <v>2177</v>
      </c>
      <c r="AQ248">
        <v>37.200000000000003</v>
      </c>
      <c r="AR248">
        <v>1</v>
      </c>
      <c r="AS248">
        <v>2</v>
      </c>
      <c r="AT248">
        <v>1</v>
      </c>
      <c r="AU248">
        <v>2</v>
      </c>
      <c r="AV248">
        <v>1.666666666666667</v>
      </c>
      <c r="AW248">
        <v>4.8</v>
      </c>
      <c r="AY248">
        <v>4.8</v>
      </c>
      <c r="AZ248">
        <v>2</v>
      </c>
      <c r="BA248">
        <v>1</v>
      </c>
      <c r="BB248">
        <v>40</v>
      </c>
      <c r="BC248">
        <v>24</v>
      </c>
      <c r="BD248">
        <v>35.54</v>
      </c>
      <c r="BE248">
        <v>160</v>
      </c>
      <c r="BF248">
        <v>88.8</v>
      </c>
      <c r="BG248">
        <v>40</v>
      </c>
      <c r="BH248">
        <v>24</v>
      </c>
      <c r="BI248">
        <v>35.54</v>
      </c>
      <c r="BJ248">
        <v>160</v>
      </c>
      <c r="BK248">
        <v>88.8</v>
      </c>
      <c r="BL248">
        <v>160</v>
      </c>
      <c r="BM248">
        <v>3.0849000000000002</v>
      </c>
    </row>
    <row r="249" spans="1:65" x14ac:dyDescent="0.25">
      <c r="A249" t="s">
        <v>312</v>
      </c>
      <c r="B249" t="s">
        <v>1297</v>
      </c>
      <c r="C249" t="s">
        <v>2158</v>
      </c>
      <c r="D249" s="1">
        <v>45306</v>
      </c>
      <c r="E249" s="1">
        <v>45336</v>
      </c>
      <c r="F249" s="1">
        <v>45407</v>
      </c>
      <c r="G249" t="s">
        <v>2163</v>
      </c>
      <c r="H249" t="s">
        <v>2169</v>
      </c>
      <c r="I249" t="s">
        <v>2174</v>
      </c>
      <c r="J249">
        <v>13443</v>
      </c>
      <c r="K249">
        <v>404</v>
      </c>
      <c r="L249">
        <v>6.7</v>
      </c>
      <c r="M249">
        <v>7.2</v>
      </c>
      <c r="N249">
        <v>2</v>
      </c>
      <c r="O249">
        <v>2377</v>
      </c>
      <c r="P249" t="s">
        <v>2176</v>
      </c>
      <c r="Q249">
        <v>10</v>
      </c>
      <c r="R249">
        <v>14</v>
      </c>
      <c r="S249">
        <v>20</v>
      </c>
      <c r="T249">
        <v>697</v>
      </c>
      <c r="U249" t="s">
        <v>2163</v>
      </c>
      <c r="V249" t="s">
        <v>2169</v>
      </c>
      <c r="W249" t="s">
        <v>2208</v>
      </c>
      <c r="X249" t="s">
        <v>2210</v>
      </c>
      <c r="Y249" t="s">
        <v>2212</v>
      </c>
      <c r="Z249" s="1">
        <v>45398</v>
      </c>
      <c r="AA249" s="1">
        <v>45402</v>
      </c>
      <c r="AB249" t="s">
        <v>2214</v>
      </c>
      <c r="AC249" t="s">
        <v>2209</v>
      </c>
      <c r="AD249" t="s">
        <v>2216</v>
      </c>
      <c r="AE249" t="s">
        <v>2163</v>
      </c>
      <c r="AG249" t="s">
        <v>2220</v>
      </c>
      <c r="AH249">
        <v>44</v>
      </c>
      <c r="AI249">
        <v>62</v>
      </c>
      <c r="AJ249">
        <v>18</v>
      </c>
      <c r="AK249">
        <v>2</v>
      </c>
      <c r="AL249" t="s">
        <v>2228</v>
      </c>
      <c r="AM249">
        <v>0</v>
      </c>
      <c r="AN249" t="s">
        <v>2177</v>
      </c>
      <c r="AO249" t="s">
        <v>2176</v>
      </c>
      <c r="AP249" t="s">
        <v>2176</v>
      </c>
      <c r="AQ249">
        <v>48.24</v>
      </c>
      <c r="AR249">
        <v>1</v>
      </c>
      <c r="AS249">
        <v>2</v>
      </c>
      <c r="AT249">
        <v>1</v>
      </c>
      <c r="AU249">
        <v>1</v>
      </c>
      <c r="AV249">
        <v>1.333333333333333</v>
      </c>
      <c r="AW249">
        <v>4.4000000000000004</v>
      </c>
      <c r="AY249">
        <v>4.4000000000000004</v>
      </c>
      <c r="AZ249">
        <v>2</v>
      </c>
      <c r="BA249">
        <v>2</v>
      </c>
      <c r="BB249">
        <v>30</v>
      </c>
      <c r="BC249">
        <v>24</v>
      </c>
      <c r="BD249">
        <v>26.21</v>
      </c>
      <c r="BE249">
        <v>116</v>
      </c>
      <c r="BF249">
        <v>87.4</v>
      </c>
      <c r="BG249">
        <v>30</v>
      </c>
      <c r="BH249">
        <v>24</v>
      </c>
      <c r="BI249">
        <v>26.21</v>
      </c>
      <c r="BJ249">
        <v>116</v>
      </c>
      <c r="BK249">
        <v>87.4</v>
      </c>
      <c r="BL249">
        <v>116</v>
      </c>
      <c r="BM249">
        <v>4.8269000000000002</v>
      </c>
    </row>
    <row r="250" spans="1:65" x14ac:dyDescent="0.25">
      <c r="A250" t="s">
        <v>313</v>
      </c>
      <c r="B250" t="s">
        <v>1272</v>
      </c>
      <c r="C250" t="s">
        <v>2159</v>
      </c>
      <c r="D250" s="1">
        <v>45334</v>
      </c>
      <c r="E250" s="1">
        <v>45375</v>
      </c>
      <c r="F250" s="1">
        <v>45494</v>
      </c>
      <c r="G250" t="s">
        <v>2162</v>
      </c>
      <c r="H250" t="s">
        <v>2168</v>
      </c>
      <c r="I250" t="s">
        <v>2174</v>
      </c>
      <c r="J250">
        <v>26217</v>
      </c>
      <c r="K250">
        <v>787</v>
      </c>
      <c r="L250">
        <v>2</v>
      </c>
      <c r="M250">
        <v>2.1</v>
      </c>
      <c r="N250">
        <v>3</v>
      </c>
      <c r="O250">
        <v>5834</v>
      </c>
      <c r="P250" t="s">
        <v>2176</v>
      </c>
      <c r="Q250">
        <v>14</v>
      </c>
      <c r="R250">
        <v>20</v>
      </c>
      <c r="S250">
        <v>48</v>
      </c>
      <c r="T250">
        <v>549</v>
      </c>
      <c r="U250" t="s">
        <v>2193</v>
      </c>
      <c r="W250" t="s">
        <v>2209</v>
      </c>
      <c r="X250" t="s">
        <v>2211</v>
      </c>
      <c r="Y250" t="s">
        <v>2213</v>
      </c>
      <c r="Z250" s="1">
        <v>45481</v>
      </c>
      <c r="AA250" s="1">
        <v>45486</v>
      </c>
      <c r="AB250" t="s">
        <v>2214</v>
      </c>
      <c r="AC250" t="s">
        <v>2209</v>
      </c>
      <c r="AD250" t="s">
        <v>2219</v>
      </c>
      <c r="AE250" t="s">
        <v>2161</v>
      </c>
      <c r="AF250" t="s">
        <v>2165</v>
      </c>
      <c r="AG250" t="s">
        <v>2222</v>
      </c>
      <c r="AH250">
        <v>82</v>
      </c>
      <c r="AI250">
        <v>106</v>
      </c>
      <c r="AJ250">
        <v>24</v>
      </c>
      <c r="AK250">
        <v>3</v>
      </c>
      <c r="AL250" t="s">
        <v>2227</v>
      </c>
      <c r="AM250">
        <v>0</v>
      </c>
      <c r="AN250" t="s">
        <v>2176</v>
      </c>
      <c r="AO250" t="s">
        <v>2176</v>
      </c>
      <c r="AP250" t="s">
        <v>2176</v>
      </c>
      <c r="AQ250">
        <v>4.2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4.3</v>
      </c>
      <c r="AX250">
        <v>4.5999999999999996</v>
      </c>
      <c r="AY250">
        <v>4.2</v>
      </c>
      <c r="AZ250">
        <v>3</v>
      </c>
      <c r="BA250">
        <v>2</v>
      </c>
      <c r="BB250">
        <v>38</v>
      </c>
      <c r="BC250">
        <v>26</v>
      </c>
      <c r="BD250">
        <v>33.729999999999997</v>
      </c>
      <c r="BE250">
        <v>164</v>
      </c>
      <c r="BF250">
        <v>88.8</v>
      </c>
      <c r="BG250">
        <v>31</v>
      </c>
      <c r="BH250">
        <v>26</v>
      </c>
      <c r="BI250">
        <v>27.27</v>
      </c>
      <c r="BJ250">
        <v>130</v>
      </c>
      <c r="BK250">
        <v>88</v>
      </c>
      <c r="BL250">
        <v>376</v>
      </c>
      <c r="BM250">
        <v>6.1470000000000002</v>
      </c>
    </row>
    <row r="251" spans="1:65" x14ac:dyDescent="0.25">
      <c r="A251" t="s">
        <v>314</v>
      </c>
      <c r="B251" t="s">
        <v>1350</v>
      </c>
      <c r="C251" t="s">
        <v>2157</v>
      </c>
      <c r="D251" s="1">
        <v>45306</v>
      </c>
      <c r="E251" s="1">
        <v>45346</v>
      </c>
      <c r="F251" s="1">
        <v>45479</v>
      </c>
      <c r="G251" t="s">
        <v>2164</v>
      </c>
      <c r="H251" t="s">
        <v>2170</v>
      </c>
      <c r="I251" t="s">
        <v>2175</v>
      </c>
      <c r="J251">
        <v>56097</v>
      </c>
      <c r="K251">
        <v>1683</v>
      </c>
      <c r="L251">
        <v>10.1</v>
      </c>
      <c r="M251">
        <v>14.1</v>
      </c>
      <c r="N251">
        <v>9</v>
      </c>
      <c r="O251">
        <v>16829</v>
      </c>
      <c r="P251" t="s">
        <v>2178</v>
      </c>
      <c r="Q251">
        <v>18</v>
      </c>
      <c r="R251">
        <v>30</v>
      </c>
      <c r="S251">
        <v>63</v>
      </c>
      <c r="T251">
        <v>904</v>
      </c>
      <c r="U251" t="s">
        <v>2193</v>
      </c>
      <c r="W251" t="s">
        <v>2209</v>
      </c>
      <c r="X251" t="s">
        <v>2211</v>
      </c>
      <c r="Y251" t="s">
        <v>2213</v>
      </c>
      <c r="Z251" s="1">
        <v>45486</v>
      </c>
      <c r="AA251" s="1">
        <v>45486</v>
      </c>
      <c r="AB251" t="s">
        <v>2215</v>
      </c>
      <c r="AC251" t="s">
        <v>2208</v>
      </c>
      <c r="AD251" t="s">
        <v>2219</v>
      </c>
      <c r="AE251" t="s">
        <v>2161</v>
      </c>
      <c r="AF251" t="s">
        <v>2165</v>
      </c>
      <c r="AG251" t="s">
        <v>2222</v>
      </c>
      <c r="AH251">
        <v>111</v>
      </c>
      <c r="AI251">
        <v>140</v>
      </c>
      <c r="AJ251">
        <v>29</v>
      </c>
      <c r="AK251">
        <v>2</v>
      </c>
      <c r="AL251" t="s">
        <v>2228</v>
      </c>
      <c r="AM251">
        <v>0</v>
      </c>
      <c r="AN251" t="s">
        <v>2175</v>
      </c>
      <c r="AO251" t="s">
        <v>2175</v>
      </c>
      <c r="AP251" t="s">
        <v>2175</v>
      </c>
      <c r="AQ251">
        <v>142.41</v>
      </c>
      <c r="AR251">
        <v>3</v>
      </c>
      <c r="AS251">
        <v>3</v>
      </c>
      <c r="AT251">
        <v>3</v>
      </c>
      <c r="AU251">
        <v>3</v>
      </c>
      <c r="AV251">
        <v>3</v>
      </c>
      <c r="AW251">
        <v>4.3</v>
      </c>
      <c r="AX251">
        <v>4.5999999999999996</v>
      </c>
      <c r="AY251">
        <v>4.5</v>
      </c>
      <c r="AZ251">
        <v>1</v>
      </c>
      <c r="BA251">
        <v>0</v>
      </c>
      <c r="BB251">
        <v>34</v>
      </c>
      <c r="BC251">
        <v>24</v>
      </c>
      <c r="BD251">
        <v>29.92</v>
      </c>
      <c r="BE251">
        <v>134</v>
      </c>
      <c r="BF251">
        <v>88</v>
      </c>
      <c r="BG251">
        <v>27</v>
      </c>
      <c r="BH251">
        <v>24</v>
      </c>
      <c r="BI251">
        <v>24.04</v>
      </c>
      <c r="BJ251">
        <v>106</v>
      </c>
      <c r="BK251">
        <v>89</v>
      </c>
      <c r="BL251">
        <v>276</v>
      </c>
      <c r="BM251">
        <v>17.4377</v>
      </c>
    </row>
    <row r="252" spans="1:65" x14ac:dyDescent="0.25">
      <c r="A252" t="s">
        <v>315</v>
      </c>
      <c r="B252" t="s">
        <v>1372</v>
      </c>
      <c r="C252" t="s">
        <v>2158</v>
      </c>
      <c r="D252" s="1">
        <v>45418</v>
      </c>
      <c r="E252" s="1">
        <v>45457</v>
      </c>
      <c r="F252" s="1">
        <v>45514</v>
      </c>
      <c r="G252" t="s">
        <v>2164</v>
      </c>
      <c r="H252" t="s">
        <v>2170</v>
      </c>
      <c r="I252" t="s">
        <v>2173</v>
      </c>
      <c r="J252">
        <v>10749</v>
      </c>
      <c r="K252">
        <v>323</v>
      </c>
      <c r="L252">
        <v>7</v>
      </c>
      <c r="M252">
        <v>10.8</v>
      </c>
      <c r="N252">
        <v>7</v>
      </c>
      <c r="O252">
        <v>7155</v>
      </c>
      <c r="P252" t="s">
        <v>2177</v>
      </c>
      <c r="Q252">
        <v>10</v>
      </c>
      <c r="R252">
        <v>14</v>
      </c>
      <c r="S252">
        <v>14</v>
      </c>
      <c r="T252">
        <v>807</v>
      </c>
      <c r="U252" t="s">
        <v>2194</v>
      </c>
      <c r="W252" t="s">
        <v>2209</v>
      </c>
      <c r="X252" t="s">
        <v>2211</v>
      </c>
      <c r="Y252" t="s">
        <v>2213</v>
      </c>
      <c r="Z252" s="1">
        <v>45512</v>
      </c>
      <c r="AA252" s="1">
        <v>45515</v>
      </c>
      <c r="AB252" t="s">
        <v>2214</v>
      </c>
      <c r="AC252" t="s">
        <v>2209</v>
      </c>
      <c r="AD252" t="s">
        <v>2219</v>
      </c>
      <c r="AE252" t="s">
        <v>2166</v>
      </c>
      <c r="AF252" t="s">
        <v>2165</v>
      </c>
      <c r="AG252" t="s">
        <v>2222</v>
      </c>
      <c r="AH252">
        <v>38</v>
      </c>
      <c r="AI252">
        <v>55</v>
      </c>
      <c r="AJ252">
        <v>17</v>
      </c>
      <c r="AK252">
        <v>6</v>
      </c>
      <c r="AL252" t="s">
        <v>2223</v>
      </c>
      <c r="AM252">
        <v>0</v>
      </c>
      <c r="AN252" t="s">
        <v>2177</v>
      </c>
      <c r="AO252" t="s">
        <v>2175</v>
      </c>
      <c r="AP252" t="s">
        <v>2177</v>
      </c>
      <c r="AQ252">
        <v>75.600000000000009</v>
      </c>
      <c r="AR252">
        <v>2</v>
      </c>
      <c r="AS252">
        <v>2</v>
      </c>
      <c r="AT252">
        <v>3</v>
      </c>
      <c r="AU252">
        <v>2</v>
      </c>
      <c r="AV252">
        <v>2.333333333333333</v>
      </c>
      <c r="AW252">
        <v>4.8</v>
      </c>
      <c r="AX252">
        <v>4.5999999999999996</v>
      </c>
      <c r="AY252">
        <v>4.5</v>
      </c>
      <c r="AZ252">
        <v>2</v>
      </c>
      <c r="BA252">
        <v>3</v>
      </c>
      <c r="BB252">
        <v>45</v>
      </c>
      <c r="BC252">
        <v>25</v>
      </c>
      <c r="BD252">
        <v>39.200000000000003</v>
      </c>
      <c r="BE252">
        <v>186</v>
      </c>
      <c r="BF252">
        <v>87.1</v>
      </c>
      <c r="BG252">
        <v>33</v>
      </c>
      <c r="BH252">
        <v>25</v>
      </c>
      <c r="BI252">
        <v>28.64</v>
      </c>
      <c r="BJ252">
        <v>133</v>
      </c>
      <c r="BK252">
        <v>86.8</v>
      </c>
      <c r="BL252">
        <v>347</v>
      </c>
      <c r="BM252">
        <v>2.3111000000000002</v>
      </c>
    </row>
    <row r="253" spans="1:65" x14ac:dyDescent="0.25">
      <c r="A253" t="s">
        <v>316</v>
      </c>
      <c r="B253" t="s">
        <v>1303</v>
      </c>
      <c r="C253" t="s">
        <v>2157</v>
      </c>
      <c r="D253" s="1">
        <v>45369</v>
      </c>
      <c r="E253" s="1">
        <v>45400</v>
      </c>
      <c r="F253" s="1">
        <v>45531</v>
      </c>
      <c r="G253" t="s">
        <v>2165</v>
      </c>
      <c r="H253" t="s">
        <v>2171</v>
      </c>
      <c r="I253" t="s">
        <v>2175</v>
      </c>
      <c r="J253">
        <v>45225</v>
      </c>
      <c r="K253">
        <v>1357</v>
      </c>
      <c r="L253">
        <v>11.3</v>
      </c>
      <c r="M253">
        <v>15.4</v>
      </c>
      <c r="N253">
        <v>8</v>
      </c>
      <c r="O253">
        <v>19563</v>
      </c>
      <c r="P253" t="s">
        <v>2178</v>
      </c>
      <c r="Q253">
        <v>18</v>
      </c>
      <c r="R253">
        <v>30</v>
      </c>
      <c r="S253">
        <v>55</v>
      </c>
      <c r="T253">
        <v>828</v>
      </c>
      <c r="U253" t="s">
        <v>2189</v>
      </c>
      <c r="W253" t="s">
        <v>2209</v>
      </c>
      <c r="X253" t="s">
        <v>2211</v>
      </c>
      <c r="Y253" t="s">
        <v>2213</v>
      </c>
      <c r="Z253" s="1">
        <v>45531</v>
      </c>
      <c r="AA253" s="1">
        <v>45536</v>
      </c>
      <c r="AB253" t="s">
        <v>2214</v>
      </c>
      <c r="AC253" t="s">
        <v>2209</v>
      </c>
      <c r="AD253" t="s">
        <v>2219</v>
      </c>
      <c r="AE253" t="s">
        <v>2165</v>
      </c>
      <c r="AF253" t="s">
        <v>2166</v>
      </c>
      <c r="AG253" t="s">
        <v>2222</v>
      </c>
      <c r="AH253">
        <v>103</v>
      </c>
      <c r="AI253">
        <v>131</v>
      </c>
      <c r="AJ253">
        <v>28</v>
      </c>
      <c r="AK253">
        <v>4</v>
      </c>
      <c r="AL253" t="s">
        <v>2225</v>
      </c>
      <c r="AM253">
        <v>0</v>
      </c>
      <c r="AN253" t="s">
        <v>2175</v>
      </c>
      <c r="AO253" t="s">
        <v>2175</v>
      </c>
      <c r="AP253" t="s">
        <v>2175</v>
      </c>
      <c r="AQ253">
        <v>174.02</v>
      </c>
      <c r="AR253">
        <v>3</v>
      </c>
      <c r="AS253">
        <v>3</v>
      </c>
      <c r="AT253">
        <v>3</v>
      </c>
      <c r="AU253">
        <v>3</v>
      </c>
      <c r="AV253">
        <v>3</v>
      </c>
      <c r="AW253">
        <v>4.5999999999999996</v>
      </c>
      <c r="AX253">
        <v>4.8</v>
      </c>
      <c r="AY253">
        <v>4.5999999999999996</v>
      </c>
      <c r="AZ253">
        <v>1</v>
      </c>
      <c r="BA253">
        <v>0</v>
      </c>
      <c r="BB253">
        <v>46</v>
      </c>
      <c r="BC253">
        <v>26</v>
      </c>
      <c r="BD253">
        <v>40.729999999999997</v>
      </c>
      <c r="BE253">
        <v>203</v>
      </c>
      <c r="BF253">
        <v>88.5</v>
      </c>
      <c r="BG253">
        <v>46</v>
      </c>
      <c r="BH253">
        <v>26</v>
      </c>
      <c r="BI253">
        <v>40.729999999999997</v>
      </c>
      <c r="BJ253">
        <v>203</v>
      </c>
      <c r="BK253">
        <v>88.5</v>
      </c>
      <c r="BL253">
        <v>402</v>
      </c>
      <c r="BM253">
        <v>8.5670000000000002</v>
      </c>
    </row>
    <row r="254" spans="1:65" x14ac:dyDescent="0.25">
      <c r="A254" t="s">
        <v>317</v>
      </c>
      <c r="B254" t="s">
        <v>1373</v>
      </c>
      <c r="C254" t="s">
        <v>2160</v>
      </c>
      <c r="D254" s="1">
        <v>45355</v>
      </c>
      <c r="E254" s="1">
        <v>45386</v>
      </c>
      <c r="F254" s="1">
        <v>45412</v>
      </c>
      <c r="G254" t="s">
        <v>2163</v>
      </c>
      <c r="H254" t="s">
        <v>2169</v>
      </c>
      <c r="I254" t="s">
        <v>2175</v>
      </c>
      <c r="J254">
        <v>4912</v>
      </c>
      <c r="K254">
        <v>148</v>
      </c>
      <c r="L254">
        <v>10.7</v>
      </c>
      <c r="M254">
        <v>11.6</v>
      </c>
      <c r="N254">
        <v>8</v>
      </c>
      <c r="O254">
        <v>16363</v>
      </c>
      <c r="P254" t="s">
        <v>2178</v>
      </c>
      <c r="Q254">
        <v>5</v>
      </c>
      <c r="R254">
        <v>8</v>
      </c>
      <c r="S254">
        <v>6</v>
      </c>
      <c r="T254">
        <v>964</v>
      </c>
      <c r="U254" t="s">
        <v>2165</v>
      </c>
      <c r="V254" t="s">
        <v>2171</v>
      </c>
      <c r="W254" t="s">
        <v>2209</v>
      </c>
      <c r="X254" t="s">
        <v>2211</v>
      </c>
      <c r="Y254" t="s">
        <v>2212</v>
      </c>
      <c r="Z254" s="1">
        <v>45419</v>
      </c>
      <c r="AA254" s="1">
        <v>45424</v>
      </c>
      <c r="AB254" t="s">
        <v>2215</v>
      </c>
      <c r="AC254" t="s">
        <v>2208</v>
      </c>
      <c r="AD254" t="s">
        <v>2218</v>
      </c>
      <c r="AE254" t="s">
        <v>2165</v>
      </c>
      <c r="AG254" t="s">
        <v>2221</v>
      </c>
      <c r="AH254">
        <v>19</v>
      </c>
      <c r="AI254">
        <v>33</v>
      </c>
      <c r="AJ254">
        <v>14</v>
      </c>
      <c r="AK254">
        <v>4</v>
      </c>
      <c r="AL254" t="s">
        <v>2225</v>
      </c>
      <c r="AM254">
        <v>0</v>
      </c>
      <c r="AN254" t="s">
        <v>2175</v>
      </c>
      <c r="AO254" t="s">
        <v>2175</v>
      </c>
      <c r="AP254" t="s">
        <v>2175</v>
      </c>
      <c r="AQ254">
        <v>124.12</v>
      </c>
      <c r="AR254">
        <v>3</v>
      </c>
      <c r="AS254">
        <v>3</v>
      </c>
      <c r="AT254">
        <v>3</v>
      </c>
      <c r="AU254">
        <v>3</v>
      </c>
      <c r="AV254">
        <v>3</v>
      </c>
      <c r="AW254">
        <v>4.5999999999999996</v>
      </c>
      <c r="AY254">
        <v>4.4000000000000004</v>
      </c>
      <c r="AZ254">
        <v>0</v>
      </c>
      <c r="BA254">
        <v>0</v>
      </c>
      <c r="BB254">
        <v>46</v>
      </c>
      <c r="BC254">
        <v>26</v>
      </c>
      <c r="BD254">
        <v>40.729999999999997</v>
      </c>
      <c r="BE254">
        <v>203</v>
      </c>
      <c r="BF254">
        <v>88.5</v>
      </c>
      <c r="BG254">
        <v>31</v>
      </c>
      <c r="BH254">
        <v>26</v>
      </c>
      <c r="BI254">
        <v>27.23</v>
      </c>
      <c r="BJ254">
        <v>132</v>
      </c>
      <c r="BK254">
        <v>87.8</v>
      </c>
      <c r="BL254">
        <v>203</v>
      </c>
      <c r="BM254">
        <v>0.93049999999999999</v>
      </c>
    </row>
    <row r="255" spans="1:65" x14ac:dyDescent="0.25">
      <c r="A255" t="s">
        <v>318</v>
      </c>
      <c r="B255" t="s">
        <v>1374</v>
      </c>
      <c r="C255" t="s">
        <v>2159</v>
      </c>
      <c r="D255" s="1">
        <v>45320</v>
      </c>
      <c r="E255" s="1">
        <v>45351</v>
      </c>
      <c r="F255" s="1">
        <v>45445</v>
      </c>
      <c r="G255" t="s">
        <v>2163</v>
      </c>
      <c r="H255" t="s">
        <v>2169</v>
      </c>
      <c r="I255" t="s">
        <v>2173</v>
      </c>
      <c r="J255">
        <v>29724</v>
      </c>
      <c r="K255">
        <v>892</v>
      </c>
      <c r="L255">
        <v>6.7</v>
      </c>
      <c r="M255">
        <v>9.3000000000000007</v>
      </c>
      <c r="N255">
        <v>6</v>
      </c>
      <c r="O255">
        <v>9480</v>
      </c>
      <c r="P255" t="s">
        <v>2176</v>
      </c>
      <c r="Q255">
        <v>14</v>
      </c>
      <c r="R255">
        <v>20</v>
      </c>
      <c r="S255">
        <v>35</v>
      </c>
      <c r="T255">
        <v>852</v>
      </c>
      <c r="U255" t="s">
        <v>2161</v>
      </c>
      <c r="V255" t="s">
        <v>2167</v>
      </c>
      <c r="W255" t="s">
        <v>2209</v>
      </c>
      <c r="X255" t="s">
        <v>2211</v>
      </c>
      <c r="Y255" t="s">
        <v>2212</v>
      </c>
      <c r="Z255" s="1">
        <v>45442</v>
      </c>
      <c r="AA255" s="1">
        <v>45444</v>
      </c>
      <c r="AB255" t="s">
        <v>2214</v>
      </c>
      <c r="AC255" t="s">
        <v>2209</v>
      </c>
      <c r="AD255" t="s">
        <v>2218</v>
      </c>
      <c r="AE255" t="s">
        <v>2161</v>
      </c>
      <c r="AG255" t="s">
        <v>2221</v>
      </c>
      <c r="AH255">
        <v>69</v>
      </c>
      <c r="AI255">
        <v>91</v>
      </c>
      <c r="AJ255">
        <v>22</v>
      </c>
      <c r="AK255">
        <v>2</v>
      </c>
      <c r="AL255" t="s">
        <v>2228</v>
      </c>
      <c r="AM255">
        <v>0</v>
      </c>
      <c r="AN255" t="s">
        <v>2177</v>
      </c>
      <c r="AO255" t="s">
        <v>2177</v>
      </c>
      <c r="AP255" t="s">
        <v>2177</v>
      </c>
      <c r="AQ255">
        <v>62.310000000000009</v>
      </c>
      <c r="AR255">
        <v>1</v>
      </c>
      <c r="AS255">
        <v>2</v>
      </c>
      <c r="AT255">
        <v>2</v>
      </c>
      <c r="AU255">
        <v>2</v>
      </c>
      <c r="AV255">
        <v>2</v>
      </c>
      <c r="AW255">
        <v>4.3</v>
      </c>
      <c r="AY255">
        <v>4.4000000000000004</v>
      </c>
      <c r="AZ255">
        <v>3</v>
      </c>
      <c r="BA255">
        <v>3</v>
      </c>
      <c r="BB255">
        <v>34</v>
      </c>
      <c r="BC255">
        <v>24</v>
      </c>
      <c r="BD255">
        <v>29.92</v>
      </c>
      <c r="BE255">
        <v>134</v>
      </c>
      <c r="BF255">
        <v>88</v>
      </c>
      <c r="BG255">
        <v>30</v>
      </c>
      <c r="BH255">
        <v>24</v>
      </c>
      <c r="BI255">
        <v>26.21</v>
      </c>
      <c r="BJ255">
        <v>116</v>
      </c>
      <c r="BK255">
        <v>87.4</v>
      </c>
      <c r="BL255">
        <v>134</v>
      </c>
      <c r="BM255">
        <v>9.2396999999999991</v>
      </c>
    </row>
    <row r="256" spans="1:65" x14ac:dyDescent="0.25">
      <c r="A256" t="s">
        <v>319</v>
      </c>
      <c r="B256" t="s">
        <v>1375</v>
      </c>
      <c r="C256" t="s">
        <v>2160</v>
      </c>
      <c r="D256" s="1">
        <v>45404</v>
      </c>
      <c r="E256" s="1">
        <v>45437</v>
      </c>
      <c r="F256" s="1">
        <v>45493</v>
      </c>
      <c r="G256" t="s">
        <v>2166</v>
      </c>
      <c r="H256" t="s">
        <v>2172</v>
      </c>
      <c r="I256" t="s">
        <v>2174</v>
      </c>
      <c r="J256">
        <v>7711</v>
      </c>
      <c r="K256">
        <v>232</v>
      </c>
      <c r="L256">
        <v>5.0999999999999996</v>
      </c>
      <c r="M256">
        <v>2.2000000000000002</v>
      </c>
      <c r="N256">
        <v>3</v>
      </c>
      <c r="O256">
        <v>6725</v>
      </c>
      <c r="P256" t="s">
        <v>2176</v>
      </c>
      <c r="Q256">
        <v>7</v>
      </c>
      <c r="R256">
        <v>10</v>
      </c>
      <c r="S256">
        <v>15</v>
      </c>
      <c r="T256">
        <v>538</v>
      </c>
      <c r="U256" t="s">
        <v>2203</v>
      </c>
      <c r="W256" t="s">
        <v>2209</v>
      </c>
      <c r="X256" t="s">
        <v>2211</v>
      </c>
      <c r="Y256" t="s">
        <v>2213</v>
      </c>
      <c r="Z256" s="1">
        <v>45485</v>
      </c>
      <c r="AA256" s="1">
        <v>45487</v>
      </c>
      <c r="AB256" t="s">
        <v>2214</v>
      </c>
      <c r="AC256" t="s">
        <v>2209</v>
      </c>
      <c r="AD256" t="s">
        <v>2219</v>
      </c>
      <c r="AE256" t="s">
        <v>2162</v>
      </c>
      <c r="AF256" t="s">
        <v>2166</v>
      </c>
      <c r="AG256" t="s">
        <v>2222</v>
      </c>
      <c r="AH256">
        <v>32</v>
      </c>
      <c r="AI256">
        <v>48</v>
      </c>
      <c r="AJ256">
        <v>16</v>
      </c>
      <c r="AK256">
        <v>5</v>
      </c>
      <c r="AL256" t="s">
        <v>2224</v>
      </c>
      <c r="AM256">
        <v>0</v>
      </c>
      <c r="AN256" t="s">
        <v>2176</v>
      </c>
      <c r="AO256" t="s">
        <v>2176</v>
      </c>
      <c r="AP256" t="s">
        <v>2176</v>
      </c>
      <c r="AQ256">
        <v>11.22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4.2</v>
      </c>
      <c r="AX256">
        <v>4.8</v>
      </c>
      <c r="AY256">
        <v>4.8</v>
      </c>
      <c r="AZ256">
        <v>0</v>
      </c>
      <c r="BA256">
        <v>2</v>
      </c>
      <c r="BB256">
        <v>24</v>
      </c>
      <c r="BC256">
        <v>27</v>
      </c>
      <c r="BD256">
        <v>21.44</v>
      </c>
      <c r="BE256">
        <v>108</v>
      </c>
      <c r="BF256">
        <v>89.3</v>
      </c>
      <c r="BG256">
        <v>43</v>
      </c>
      <c r="BH256">
        <v>27</v>
      </c>
      <c r="BI256">
        <v>37.299999999999997</v>
      </c>
      <c r="BJ256">
        <v>193</v>
      </c>
      <c r="BK256">
        <v>86.7</v>
      </c>
      <c r="BL256">
        <v>301</v>
      </c>
      <c r="BM256">
        <v>2.6435</v>
      </c>
    </row>
    <row r="257" spans="1:65" x14ac:dyDescent="0.25">
      <c r="A257" t="s">
        <v>320</v>
      </c>
      <c r="B257" t="s">
        <v>1352</v>
      </c>
      <c r="C257" t="s">
        <v>2157</v>
      </c>
      <c r="D257" s="1">
        <v>45397</v>
      </c>
      <c r="E257" s="1">
        <v>45438</v>
      </c>
      <c r="F257" s="1">
        <v>45620</v>
      </c>
      <c r="G257" t="s">
        <v>2166</v>
      </c>
      <c r="H257" t="s">
        <v>2172</v>
      </c>
      <c r="I257" t="s">
        <v>2174</v>
      </c>
      <c r="J257">
        <v>45467</v>
      </c>
      <c r="K257">
        <v>1365</v>
      </c>
      <c r="L257">
        <v>7.4</v>
      </c>
      <c r="M257">
        <v>4</v>
      </c>
      <c r="N257">
        <v>2</v>
      </c>
      <c r="O257">
        <v>6869</v>
      </c>
      <c r="P257" t="s">
        <v>2176</v>
      </c>
      <c r="Q257">
        <v>18</v>
      </c>
      <c r="R257">
        <v>30</v>
      </c>
      <c r="S257">
        <v>89</v>
      </c>
      <c r="T257">
        <v>511</v>
      </c>
      <c r="U257" t="s">
        <v>2179</v>
      </c>
      <c r="W257" t="s">
        <v>2209</v>
      </c>
      <c r="X257" t="s">
        <v>2211</v>
      </c>
      <c r="Y257" t="s">
        <v>2213</v>
      </c>
      <c r="Z257" s="1">
        <v>45608</v>
      </c>
      <c r="AA257" s="1">
        <v>45613</v>
      </c>
      <c r="AB257" t="s">
        <v>2214</v>
      </c>
      <c r="AC257" t="s">
        <v>2209</v>
      </c>
      <c r="AD257" t="s">
        <v>2219</v>
      </c>
      <c r="AE257" t="s">
        <v>2165</v>
      </c>
      <c r="AF257" t="s">
        <v>2162</v>
      </c>
      <c r="AG257" t="s">
        <v>2222</v>
      </c>
      <c r="AH257">
        <v>137</v>
      </c>
      <c r="AI257">
        <v>170</v>
      </c>
      <c r="AJ257">
        <v>33</v>
      </c>
      <c r="AK257">
        <v>5</v>
      </c>
      <c r="AL257" t="s">
        <v>2224</v>
      </c>
      <c r="AM257">
        <v>0</v>
      </c>
      <c r="AN257" t="s">
        <v>2176</v>
      </c>
      <c r="AO257" t="s">
        <v>2176</v>
      </c>
      <c r="AP257" t="s">
        <v>2176</v>
      </c>
      <c r="AQ257">
        <v>29.6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4.5999999999999996</v>
      </c>
      <c r="AX257">
        <v>4.2</v>
      </c>
      <c r="AY257">
        <v>4.8</v>
      </c>
      <c r="AZ257">
        <v>1</v>
      </c>
      <c r="BA257">
        <v>2</v>
      </c>
      <c r="BB257">
        <v>36</v>
      </c>
      <c r="BC257">
        <v>27</v>
      </c>
      <c r="BD257">
        <v>31.37</v>
      </c>
      <c r="BE257">
        <v>158</v>
      </c>
      <c r="BF257">
        <v>87.1</v>
      </c>
      <c r="BG257">
        <v>43</v>
      </c>
      <c r="BH257">
        <v>27</v>
      </c>
      <c r="BI257">
        <v>37.299999999999997</v>
      </c>
      <c r="BJ257">
        <v>193</v>
      </c>
      <c r="BK257">
        <v>86.7</v>
      </c>
      <c r="BL257">
        <v>266</v>
      </c>
      <c r="BM257">
        <v>10.6555</v>
      </c>
    </row>
    <row r="258" spans="1:65" x14ac:dyDescent="0.25">
      <c r="A258" t="s">
        <v>321</v>
      </c>
      <c r="B258" t="s">
        <v>1376</v>
      </c>
      <c r="C258" t="s">
        <v>2160</v>
      </c>
      <c r="D258" s="1">
        <v>45460</v>
      </c>
      <c r="E258" s="1">
        <v>45502</v>
      </c>
      <c r="F258" s="1">
        <v>45541</v>
      </c>
      <c r="G258" t="s">
        <v>2163</v>
      </c>
      <c r="H258" t="s">
        <v>2169</v>
      </c>
      <c r="I258" t="s">
        <v>2173</v>
      </c>
      <c r="J258">
        <v>4910</v>
      </c>
      <c r="K258">
        <v>148</v>
      </c>
      <c r="L258">
        <v>10.199999999999999</v>
      </c>
      <c r="M258">
        <v>8.1999999999999993</v>
      </c>
      <c r="N258">
        <v>6</v>
      </c>
      <c r="O258">
        <v>11163</v>
      </c>
      <c r="P258" t="s">
        <v>2177</v>
      </c>
      <c r="Q258">
        <v>5</v>
      </c>
      <c r="R258">
        <v>8</v>
      </c>
      <c r="S258">
        <v>7</v>
      </c>
      <c r="T258">
        <v>733</v>
      </c>
      <c r="U258" t="s">
        <v>2163</v>
      </c>
      <c r="V258" t="s">
        <v>2169</v>
      </c>
      <c r="W258" t="s">
        <v>2208</v>
      </c>
      <c r="X258" t="s">
        <v>2210</v>
      </c>
      <c r="Y258" t="s">
        <v>2212</v>
      </c>
      <c r="Z258" s="1">
        <v>45536</v>
      </c>
      <c r="AA258" s="1">
        <v>45542</v>
      </c>
      <c r="AB258" t="s">
        <v>2214</v>
      </c>
      <c r="AC258" t="s">
        <v>2209</v>
      </c>
      <c r="AD258" t="s">
        <v>2216</v>
      </c>
      <c r="AE258" t="s">
        <v>2163</v>
      </c>
      <c r="AG258" t="s">
        <v>2220</v>
      </c>
      <c r="AH258">
        <v>20</v>
      </c>
      <c r="AI258">
        <v>34</v>
      </c>
      <c r="AJ258">
        <v>14</v>
      </c>
      <c r="AK258">
        <v>7</v>
      </c>
      <c r="AL258" t="s">
        <v>2226</v>
      </c>
      <c r="AM258">
        <v>0</v>
      </c>
      <c r="AN258" t="s">
        <v>2177</v>
      </c>
      <c r="AO258" t="s">
        <v>2177</v>
      </c>
      <c r="AP258" t="s">
        <v>2177</v>
      </c>
      <c r="AQ258">
        <v>83.639999999999986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4.4000000000000004</v>
      </c>
      <c r="AY258">
        <v>4.4000000000000004</v>
      </c>
      <c r="AZ258">
        <v>0</v>
      </c>
      <c r="BA258">
        <v>3</v>
      </c>
      <c r="BB258">
        <v>33</v>
      </c>
      <c r="BC258">
        <v>27</v>
      </c>
      <c r="BD258">
        <v>28.89</v>
      </c>
      <c r="BE258">
        <v>145</v>
      </c>
      <c r="BF258">
        <v>87.5</v>
      </c>
      <c r="BG258">
        <v>33</v>
      </c>
      <c r="BH258">
        <v>27</v>
      </c>
      <c r="BI258">
        <v>28.89</v>
      </c>
      <c r="BJ258">
        <v>145</v>
      </c>
      <c r="BK258">
        <v>87.5</v>
      </c>
      <c r="BL258">
        <v>145</v>
      </c>
      <c r="BM258">
        <v>1.2538</v>
      </c>
    </row>
    <row r="259" spans="1:65" x14ac:dyDescent="0.25">
      <c r="A259" t="s">
        <v>322</v>
      </c>
      <c r="B259" t="s">
        <v>1377</v>
      </c>
      <c r="C259" t="s">
        <v>2157</v>
      </c>
      <c r="D259" s="1">
        <v>45334</v>
      </c>
      <c r="E259" s="1">
        <v>45366</v>
      </c>
      <c r="F259" s="1">
        <v>45570</v>
      </c>
      <c r="G259" t="s">
        <v>2161</v>
      </c>
      <c r="H259" t="s">
        <v>2167</v>
      </c>
      <c r="I259" t="s">
        <v>2174</v>
      </c>
      <c r="J259">
        <v>51380</v>
      </c>
      <c r="K259">
        <v>1542</v>
      </c>
      <c r="L259">
        <v>1.3</v>
      </c>
      <c r="M259">
        <v>1.5</v>
      </c>
      <c r="N259">
        <v>1</v>
      </c>
      <c r="O259">
        <v>4290</v>
      </c>
      <c r="P259" t="s">
        <v>2176</v>
      </c>
      <c r="Q259">
        <v>18</v>
      </c>
      <c r="R259">
        <v>30</v>
      </c>
      <c r="S259">
        <v>102</v>
      </c>
      <c r="T259">
        <v>507</v>
      </c>
      <c r="U259" t="s">
        <v>2189</v>
      </c>
      <c r="W259" t="s">
        <v>2209</v>
      </c>
      <c r="X259" t="s">
        <v>2211</v>
      </c>
      <c r="Y259" t="s">
        <v>2213</v>
      </c>
      <c r="Z259" s="1">
        <v>45552</v>
      </c>
      <c r="AA259" s="1">
        <v>45556</v>
      </c>
      <c r="AB259" t="s">
        <v>2214</v>
      </c>
      <c r="AC259" t="s">
        <v>2209</v>
      </c>
      <c r="AD259" t="s">
        <v>2219</v>
      </c>
      <c r="AE259" t="s">
        <v>2165</v>
      </c>
      <c r="AF259" t="s">
        <v>2166</v>
      </c>
      <c r="AG259" t="s">
        <v>2222</v>
      </c>
      <c r="AH259">
        <v>150</v>
      </c>
      <c r="AI259">
        <v>186</v>
      </c>
      <c r="AJ259">
        <v>36</v>
      </c>
      <c r="AK259">
        <v>3</v>
      </c>
      <c r="AL259" t="s">
        <v>2227</v>
      </c>
      <c r="AM259">
        <v>0</v>
      </c>
      <c r="AN259" t="s">
        <v>2176</v>
      </c>
      <c r="AO259" t="s">
        <v>2176</v>
      </c>
      <c r="AP259" t="s">
        <v>2176</v>
      </c>
      <c r="AQ259">
        <v>1.95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4.5999999999999996</v>
      </c>
      <c r="AX259">
        <v>4.8</v>
      </c>
      <c r="AY259">
        <v>4.3</v>
      </c>
      <c r="AZ259">
        <v>1</v>
      </c>
      <c r="BA259">
        <v>2</v>
      </c>
      <c r="BB259">
        <v>48</v>
      </c>
      <c r="BC259">
        <v>26</v>
      </c>
      <c r="BD259">
        <v>42.38</v>
      </c>
      <c r="BE259">
        <v>212</v>
      </c>
      <c r="BF259">
        <v>88.3</v>
      </c>
      <c r="BG259">
        <v>38</v>
      </c>
      <c r="BH259">
        <v>26</v>
      </c>
      <c r="BI259">
        <v>33.729999999999997</v>
      </c>
      <c r="BJ259">
        <v>164</v>
      </c>
      <c r="BK259">
        <v>88.8</v>
      </c>
      <c r="BL259">
        <v>428</v>
      </c>
      <c r="BM259">
        <v>9.3198000000000008</v>
      </c>
    </row>
    <row r="260" spans="1:65" x14ac:dyDescent="0.25">
      <c r="A260" t="s">
        <v>323</v>
      </c>
      <c r="B260" t="s">
        <v>1229</v>
      </c>
      <c r="C260" t="s">
        <v>2159</v>
      </c>
      <c r="D260" s="1">
        <v>45327</v>
      </c>
      <c r="E260" s="1">
        <v>45366</v>
      </c>
      <c r="F260" s="1">
        <v>45435</v>
      </c>
      <c r="G260" t="s">
        <v>2166</v>
      </c>
      <c r="H260" t="s">
        <v>2172</v>
      </c>
      <c r="I260" t="s">
        <v>2176</v>
      </c>
      <c r="J260">
        <v>14672</v>
      </c>
      <c r="K260">
        <v>441</v>
      </c>
      <c r="L260">
        <v>10.4</v>
      </c>
      <c r="M260">
        <v>7.7</v>
      </c>
      <c r="N260">
        <v>5</v>
      </c>
      <c r="O260">
        <v>4882</v>
      </c>
      <c r="P260" t="s">
        <v>2176</v>
      </c>
      <c r="Q260">
        <v>10</v>
      </c>
      <c r="R260">
        <v>14</v>
      </c>
      <c r="S260">
        <v>19</v>
      </c>
      <c r="T260">
        <v>779</v>
      </c>
      <c r="U260" t="s">
        <v>2204</v>
      </c>
      <c r="W260" t="s">
        <v>2209</v>
      </c>
      <c r="X260" t="s">
        <v>2211</v>
      </c>
      <c r="Y260" t="s">
        <v>2213</v>
      </c>
      <c r="Z260" s="1">
        <v>45427</v>
      </c>
      <c r="AA260" s="1">
        <v>45430</v>
      </c>
      <c r="AB260" t="s">
        <v>2214</v>
      </c>
      <c r="AC260" t="s">
        <v>2209</v>
      </c>
      <c r="AD260" t="s">
        <v>2219</v>
      </c>
      <c r="AE260" t="s">
        <v>2166</v>
      </c>
      <c r="AF260" t="s">
        <v>2164</v>
      </c>
      <c r="AG260" t="s">
        <v>2222</v>
      </c>
      <c r="AH260">
        <v>43</v>
      </c>
      <c r="AI260">
        <v>61</v>
      </c>
      <c r="AJ260">
        <v>18</v>
      </c>
      <c r="AK260">
        <v>3</v>
      </c>
      <c r="AL260" t="s">
        <v>2227</v>
      </c>
      <c r="AM260">
        <v>0</v>
      </c>
      <c r="AN260" t="s">
        <v>2177</v>
      </c>
      <c r="AO260" t="s">
        <v>2177</v>
      </c>
      <c r="AP260" t="s">
        <v>2176</v>
      </c>
      <c r="AQ260">
        <v>80.08</v>
      </c>
      <c r="AR260">
        <v>1</v>
      </c>
      <c r="AS260">
        <v>2</v>
      </c>
      <c r="AT260">
        <v>2</v>
      </c>
      <c r="AU260">
        <v>1</v>
      </c>
      <c r="AV260">
        <v>1.666666666666667</v>
      </c>
      <c r="AW260">
        <v>4.8</v>
      </c>
      <c r="AX260">
        <v>4.5</v>
      </c>
      <c r="AY260">
        <v>4.8</v>
      </c>
      <c r="AZ260">
        <v>3</v>
      </c>
      <c r="BA260">
        <v>1</v>
      </c>
      <c r="BB260">
        <v>49</v>
      </c>
      <c r="BC260">
        <v>26</v>
      </c>
      <c r="BD260">
        <v>43.12</v>
      </c>
      <c r="BE260">
        <v>216</v>
      </c>
      <c r="BF260">
        <v>88</v>
      </c>
      <c r="BG260">
        <v>49</v>
      </c>
      <c r="BH260">
        <v>26</v>
      </c>
      <c r="BI260">
        <v>43.12</v>
      </c>
      <c r="BJ260">
        <v>216</v>
      </c>
      <c r="BK260">
        <v>88</v>
      </c>
      <c r="BL260">
        <v>344</v>
      </c>
      <c r="BM260">
        <v>2.6120999999999999</v>
      </c>
    </row>
    <row r="261" spans="1:65" x14ac:dyDescent="0.25">
      <c r="A261" t="s">
        <v>324</v>
      </c>
      <c r="B261" t="s">
        <v>1378</v>
      </c>
      <c r="C261" t="s">
        <v>2159</v>
      </c>
      <c r="D261" s="1">
        <v>45418</v>
      </c>
      <c r="E261" s="1">
        <v>45452</v>
      </c>
      <c r="F261" s="1">
        <v>45537</v>
      </c>
      <c r="G261" t="s">
        <v>2161</v>
      </c>
      <c r="H261" t="s">
        <v>2167</v>
      </c>
      <c r="I261" t="s">
        <v>2173</v>
      </c>
      <c r="J261">
        <v>22299</v>
      </c>
      <c r="K261">
        <v>669</v>
      </c>
      <c r="L261">
        <v>14.8</v>
      </c>
      <c r="M261">
        <v>10</v>
      </c>
      <c r="N261">
        <v>6</v>
      </c>
      <c r="O261">
        <v>13596</v>
      </c>
      <c r="P261" t="s">
        <v>2177</v>
      </c>
      <c r="Q261">
        <v>14</v>
      </c>
      <c r="R261">
        <v>20</v>
      </c>
      <c r="S261">
        <v>30</v>
      </c>
      <c r="T261">
        <v>764</v>
      </c>
      <c r="U261" t="s">
        <v>2194</v>
      </c>
      <c r="W261" t="s">
        <v>2209</v>
      </c>
      <c r="X261" t="s">
        <v>2211</v>
      </c>
      <c r="Y261" t="s">
        <v>2213</v>
      </c>
      <c r="Z261" s="1">
        <v>45537</v>
      </c>
      <c r="AA261" s="1">
        <v>45543</v>
      </c>
      <c r="AB261" t="s">
        <v>2214</v>
      </c>
      <c r="AC261" t="s">
        <v>2209</v>
      </c>
      <c r="AD261" t="s">
        <v>2219</v>
      </c>
      <c r="AE261" t="s">
        <v>2166</v>
      </c>
      <c r="AF261" t="s">
        <v>2165</v>
      </c>
      <c r="AG261" t="s">
        <v>2222</v>
      </c>
      <c r="AH261">
        <v>64</v>
      </c>
      <c r="AI261">
        <v>85</v>
      </c>
      <c r="AJ261">
        <v>21</v>
      </c>
      <c r="AK261">
        <v>6</v>
      </c>
      <c r="AL261" t="s">
        <v>2223</v>
      </c>
      <c r="AM261">
        <v>0</v>
      </c>
      <c r="AN261" t="s">
        <v>2177</v>
      </c>
      <c r="AO261" t="s">
        <v>2177</v>
      </c>
      <c r="AP261" t="s">
        <v>2177</v>
      </c>
      <c r="AQ261">
        <v>148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4.8</v>
      </c>
      <c r="AX261">
        <v>4.5999999999999996</v>
      </c>
      <c r="AY261">
        <v>4.3</v>
      </c>
      <c r="AZ261">
        <v>3</v>
      </c>
      <c r="BA261">
        <v>3</v>
      </c>
      <c r="BB261">
        <v>45</v>
      </c>
      <c r="BC261">
        <v>25</v>
      </c>
      <c r="BD261">
        <v>39.200000000000003</v>
      </c>
      <c r="BE261">
        <v>186</v>
      </c>
      <c r="BF261">
        <v>87.1</v>
      </c>
      <c r="BG261">
        <v>36</v>
      </c>
      <c r="BH261">
        <v>25</v>
      </c>
      <c r="BI261">
        <v>31.92</v>
      </c>
      <c r="BJ261">
        <v>149</v>
      </c>
      <c r="BK261">
        <v>88.7</v>
      </c>
      <c r="BL261">
        <v>347</v>
      </c>
      <c r="BM261">
        <v>4.7945000000000002</v>
      </c>
    </row>
    <row r="262" spans="1:65" x14ac:dyDescent="0.25">
      <c r="A262" t="s">
        <v>325</v>
      </c>
      <c r="B262" t="s">
        <v>1368</v>
      </c>
      <c r="C262" t="s">
        <v>2159</v>
      </c>
      <c r="D262" s="1">
        <v>45306</v>
      </c>
      <c r="E262" s="1">
        <v>45343</v>
      </c>
      <c r="F262" s="1">
        <v>45456</v>
      </c>
      <c r="G262" t="s">
        <v>2161</v>
      </c>
      <c r="H262" t="s">
        <v>2167</v>
      </c>
      <c r="I262" t="s">
        <v>2174</v>
      </c>
      <c r="J262">
        <v>25363</v>
      </c>
      <c r="K262">
        <v>761</v>
      </c>
      <c r="L262">
        <v>1.4</v>
      </c>
      <c r="M262">
        <v>2.4</v>
      </c>
      <c r="N262">
        <v>4</v>
      </c>
      <c r="O262">
        <v>2280</v>
      </c>
      <c r="P262" t="s">
        <v>2176</v>
      </c>
      <c r="Q262">
        <v>14</v>
      </c>
      <c r="R262">
        <v>20</v>
      </c>
      <c r="S262">
        <v>41</v>
      </c>
      <c r="T262">
        <v>626</v>
      </c>
      <c r="U262" t="s">
        <v>2198</v>
      </c>
      <c r="W262" t="s">
        <v>2209</v>
      </c>
      <c r="X262" t="s">
        <v>2211</v>
      </c>
      <c r="Y262" t="s">
        <v>2213</v>
      </c>
      <c r="Z262" s="1">
        <v>45441</v>
      </c>
      <c r="AA262" s="1">
        <v>45444</v>
      </c>
      <c r="AB262" t="s">
        <v>2214</v>
      </c>
      <c r="AC262" t="s">
        <v>2209</v>
      </c>
      <c r="AD262" t="s">
        <v>2219</v>
      </c>
      <c r="AE262" t="s">
        <v>2166</v>
      </c>
      <c r="AF262" t="s">
        <v>2161</v>
      </c>
      <c r="AG262" t="s">
        <v>2222</v>
      </c>
      <c r="AH262">
        <v>75</v>
      </c>
      <c r="AI262">
        <v>98</v>
      </c>
      <c r="AJ262">
        <v>23</v>
      </c>
      <c r="AK262">
        <v>2</v>
      </c>
      <c r="AL262" t="s">
        <v>2228</v>
      </c>
      <c r="AM262">
        <v>0</v>
      </c>
      <c r="AN262" t="s">
        <v>2176</v>
      </c>
      <c r="AO262" t="s">
        <v>2177</v>
      </c>
      <c r="AP262" t="s">
        <v>2176</v>
      </c>
      <c r="AQ262">
        <v>3.36</v>
      </c>
      <c r="AR262">
        <v>1</v>
      </c>
      <c r="AS262">
        <v>1</v>
      </c>
      <c r="AT262">
        <v>2</v>
      </c>
      <c r="AU262">
        <v>1</v>
      </c>
      <c r="AV262">
        <v>1.333333333333333</v>
      </c>
      <c r="AW262">
        <v>4.8</v>
      </c>
      <c r="AX262">
        <v>4.3</v>
      </c>
      <c r="AY262">
        <v>4.3</v>
      </c>
      <c r="AZ262">
        <v>3</v>
      </c>
      <c r="BA262">
        <v>2</v>
      </c>
      <c r="BB262">
        <v>40</v>
      </c>
      <c r="BC262">
        <v>24</v>
      </c>
      <c r="BD262">
        <v>35.54</v>
      </c>
      <c r="BE262">
        <v>160</v>
      </c>
      <c r="BF262">
        <v>88.8</v>
      </c>
      <c r="BG262">
        <v>34</v>
      </c>
      <c r="BH262">
        <v>24</v>
      </c>
      <c r="BI262">
        <v>29.92</v>
      </c>
      <c r="BJ262">
        <v>134</v>
      </c>
      <c r="BK262">
        <v>88</v>
      </c>
      <c r="BL262">
        <v>294</v>
      </c>
      <c r="BM262">
        <v>6.6032000000000002</v>
      </c>
    </row>
    <row r="263" spans="1:65" x14ac:dyDescent="0.25">
      <c r="A263" t="s">
        <v>326</v>
      </c>
      <c r="B263" t="s">
        <v>1379</v>
      </c>
      <c r="C263" t="s">
        <v>2158</v>
      </c>
      <c r="D263" s="1">
        <v>45369</v>
      </c>
      <c r="E263" s="1">
        <v>45407</v>
      </c>
      <c r="F263" s="1">
        <v>45498</v>
      </c>
      <c r="G263" t="s">
        <v>2162</v>
      </c>
      <c r="H263" t="s">
        <v>2168</v>
      </c>
      <c r="I263" t="s">
        <v>2174</v>
      </c>
      <c r="J263">
        <v>18190</v>
      </c>
      <c r="K263">
        <v>546</v>
      </c>
      <c r="L263">
        <v>7.5</v>
      </c>
      <c r="M263">
        <v>6.7</v>
      </c>
      <c r="N263">
        <v>2</v>
      </c>
      <c r="O263">
        <v>6439</v>
      </c>
      <c r="P263" t="s">
        <v>2176</v>
      </c>
      <c r="Q263">
        <v>10</v>
      </c>
      <c r="R263">
        <v>14</v>
      </c>
      <c r="S263">
        <v>34</v>
      </c>
      <c r="T263">
        <v>535</v>
      </c>
      <c r="U263" t="s">
        <v>2186</v>
      </c>
      <c r="W263" t="s">
        <v>2209</v>
      </c>
      <c r="X263" t="s">
        <v>2211</v>
      </c>
      <c r="Y263" t="s">
        <v>2213</v>
      </c>
      <c r="Z263" s="1">
        <v>45485</v>
      </c>
      <c r="AA263" s="1">
        <v>45487</v>
      </c>
      <c r="AB263" t="s">
        <v>2214</v>
      </c>
      <c r="AC263" t="s">
        <v>2209</v>
      </c>
      <c r="AD263" t="s">
        <v>2219</v>
      </c>
      <c r="AE263" t="s">
        <v>2161</v>
      </c>
      <c r="AF263" t="s">
        <v>2163</v>
      </c>
      <c r="AG263" t="s">
        <v>2222</v>
      </c>
      <c r="AH263">
        <v>58</v>
      </c>
      <c r="AI263">
        <v>78</v>
      </c>
      <c r="AJ263">
        <v>20</v>
      </c>
      <c r="AK263">
        <v>4</v>
      </c>
      <c r="AL263" t="s">
        <v>2225</v>
      </c>
      <c r="AM263">
        <v>0</v>
      </c>
      <c r="AN263" t="s">
        <v>2177</v>
      </c>
      <c r="AO263" t="s">
        <v>2176</v>
      </c>
      <c r="AP263" t="s">
        <v>2176</v>
      </c>
      <c r="AQ263">
        <v>50.25</v>
      </c>
      <c r="AR263">
        <v>1</v>
      </c>
      <c r="AS263">
        <v>2</v>
      </c>
      <c r="AT263">
        <v>1</v>
      </c>
      <c r="AU263">
        <v>1</v>
      </c>
      <c r="AV263">
        <v>1.333333333333333</v>
      </c>
      <c r="AW263">
        <v>4.3</v>
      </c>
      <c r="AX263">
        <v>4.4000000000000004</v>
      </c>
      <c r="AY263">
        <v>4.2</v>
      </c>
      <c r="AZ263">
        <v>2</v>
      </c>
      <c r="BA263">
        <v>2</v>
      </c>
      <c r="BB263">
        <v>32</v>
      </c>
      <c r="BC263">
        <v>26</v>
      </c>
      <c r="BD263">
        <v>28.46</v>
      </c>
      <c r="BE263">
        <v>138</v>
      </c>
      <c r="BF263">
        <v>88.9</v>
      </c>
      <c r="BG263">
        <v>25</v>
      </c>
      <c r="BH263">
        <v>26</v>
      </c>
      <c r="BI263">
        <v>21.81</v>
      </c>
      <c r="BJ263">
        <v>104</v>
      </c>
      <c r="BK263">
        <v>87.2</v>
      </c>
      <c r="BL263">
        <v>270</v>
      </c>
      <c r="BM263">
        <v>5.0682999999999998</v>
      </c>
    </row>
    <row r="264" spans="1:65" x14ac:dyDescent="0.25">
      <c r="A264" t="s">
        <v>327</v>
      </c>
      <c r="B264" t="s">
        <v>1380</v>
      </c>
      <c r="C264" t="s">
        <v>2158</v>
      </c>
      <c r="D264" s="1">
        <v>45404</v>
      </c>
      <c r="E264" s="1">
        <v>45446</v>
      </c>
      <c r="F264" s="1">
        <v>45511</v>
      </c>
      <c r="G264" t="s">
        <v>2165</v>
      </c>
      <c r="H264" t="s">
        <v>2171</v>
      </c>
      <c r="I264" t="s">
        <v>2176</v>
      </c>
      <c r="J264">
        <v>12933</v>
      </c>
      <c r="K264">
        <v>388</v>
      </c>
      <c r="L264">
        <v>4.3</v>
      </c>
      <c r="M264">
        <v>9.6999999999999993</v>
      </c>
      <c r="N264">
        <v>3</v>
      </c>
      <c r="O264">
        <v>6309</v>
      </c>
      <c r="P264" t="s">
        <v>2176</v>
      </c>
      <c r="Q264">
        <v>10</v>
      </c>
      <c r="R264">
        <v>14</v>
      </c>
      <c r="S264">
        <v>19</v>
      </c>
      <c r="T264">
        <v>696</v>
      </c>
      <c r="U264" t="s">
        <v>2196</v>
      </c>
      <c r="W264" t="s">
        <v>2209</v>
      </c>
      <c r="X264" t="s">
        <v>2211</v>
      </c>
      <c r="Y264" t="s">
        <v>2213</v>
      </c>
      <c r="Z264" s="1">
        <v>45506</v>
      </c>
      <c r="AA264" s="1">
        <v>45508</v>
      </c>
      <c r="AB264" t="s">
        <v>2214</v>
      </c>
      <c r="AC264" t="s">
        <v>2209</v>
      </c>
      <c r="AD264" t="s">
        <v>2219</v>
      </c>
      <c r="AE264" t="s">
        <v>2165</v>
      </c>
      <c r="AF264" t="s">
        <v>2163</v>
      </c>
      <c r="AG264" t="s">
        <v>2222</v>
      </c>
      <c r="AH264">
        <v>43</v>
      </c>
      <c r="AI264">
        <v>60</v>
      </c>
      <c r="AJ264">
        <v>17</v>
      </c>
      <c r="AK264">
        <v>6</v>
      </c>
      <c r="AL264" t="s">
        <v>2223</v>
      </c>
      <c r="AM264">
        <v>0</v>
      </c>
      <c r="AN264" t="s">
        <v>2176</v>
      </c>
      <c r="AO264" t="s">
        <v>2176</v>
      </c>
      <c r="AP264" t="s">
        <v>2176</v>
      </c>
      <c r="AQ264">
        <v>41.709999999999987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4.5999999999999996</v>
      </c>
      <c r="AX264">
        <v>4.4000000000000004</v>
      </c>
      <c r="AY264">
        <v>4.5999999999999996</v>
      </c>
      <c r="AZ264">
        <v>2</v>
      </c>
      <c r="BA264">
        <v>1</v>
      </c>
      <c r="BB264">
        <v>40</v>
      </c>
      <c r="BC264">
        <v>25</v>
      </c>
      <c r="BD264">
        <v>34.72</v>
      </c>
      <c r="BE264">
        <v>161</v>
      </c>
      <c r="BF264">
        <v>86.8</v>
      </c>
      <c r="BG264">
        <v>40</v>
      </c>
      <c r="BH264">
        <v>25</v>
      </c>
      <c r="BI264">
        <v>34.72</v>
      </c>
      <c r="BJ264">
        <v>161</v>
      </c>
      <c r="BK264">
        <v>86.8</v>
      </c>
      <c r="BL264">
        <v>282</v>
      </c>
      <c r="BM264">
        <v>3.2124000000000001</v>
      </c>
    </row>
    <row r="265" spans="1:65" x14ac:dyDescent="0.25">
      <c r="A265" t="s">
        <v>328</v>
      </c>
      <c r="B265" t="s">
        <v>1381</v>
      </c>
      <c r="C265" t="s">
        <v>2157</v>
      </c>
      <c r="D265" s="1">
        <v>45383</v>
      </c>
      <c r="E265" s="1">
        <v>45419</v>
      </c>
      <c r="F265" s="1">
        <v>45574</v>
      </c>
      <c r="G265" t="s">
        <v>2161</v>
      </c>
      <c r="H265" t="s">
        <v>2167</v>
      </c>
      <c r="I265" t="s">
        <v>2176</v>
      </c>
      <c r="J265">
        <v>49302</v>
      </c>
      <c r="K265">
        <v>1480</v>
      </c>
      <c r="L265">
        <v>6.4</v>
      </c>
      <c r="M265">
        <v>8.3000000000000007</v>
      </c>
      <c r="N265">
        <v>4</v>
      </c>
      <c r="O265">
        <v>7996</v>
      </c>
      <c r="P265" t="s">
        <v>2176</v>
      </c>
      <c r="Q265">
        <v>18</v>
      </c>
      <c r="R265">
        <v>30</v>
      </c>
      <c r="S265">
        <v>71</v>
      </c>
      <c r="T265">
        <v>704</v>
      </c>
      <c r="U265" t="s">
        <v>2188</v>
      </c>
      <c r="W265" t="s">
        <v>2209</v>
      </c>
      <c r="X265" t="s">
        <v>2211</v>
      </c>
      <c r="Y265" t="s">
        <v>2213</v>
      </c>
      <c r="Z265" s="1">
        <v>45568</v>
      </c>
      <c r="AA265" s="1">
        <v>45571</v>
      </c>
      <c r="AB265" t="s">
        <v>2214</v>
      </c>
      <c r="AC265" t="s">
        <v>2209</v>
      </c>
      <c r="AD265" t="s">
        <v>2219</v>
      </c>
      <c r="AE265" t="s">
        <v>2162</v>
      </c>
      <c r="AF265" t="s">
        <v>2165</v>
      </c>
      <c r="AG265" t="s">
        <v>2222</v>
      </c>
      <c r="AH265">
        <v>119</v>
      </c>
      <c r="AI265">
        <v>149</v>
      </c>
      <c r="AJ265">
        <v>30</v>
      </c>
      <c r="AK265">
        <v>5</v>
      </c>
      <c r="AL265" t="s">
        <v>2224</v>
      </c>
      <c r="AM265">
        <v>0</v>
      </c>
      <c r="AN265" t="s">
        <v>2177</v>
      </c>
      <c r="AO265" t="s">
        <v>2177</v>
      </c>
      <c r="AP265" t="s">
        <v>2177</v>
      </c>
      <c r="AQ265">
        <v>53.12</v>
      </c>
      <c r="AR265">
        <v>1</v>
      </c>
      <c r="AS265">
        <v>2</v>
      </c>
      <c r="AT265">
        <v>2</v>
      </c>
      <c r="AU265">
        <v>2</v>
      </c>
      <c r="AV265">
        <v>2</v>
      </c>
      <c r="AW265">
        <v>4.2</v>
      </c>
      <c r="AX265">
        <v>4.5999999999999996</v>
      </c>
      <c r="AY265">
        <v>4.3</v>
      </c>
      <c r="AZ265">
        <v>1</v>
      </c>
      <c r="BA265">
        <v>1</v>
      </c>
      <c r="BB265">
        <v>24</v>
      </c>
      <c r="BC265">
        <v>27</v>
      </c>
      <c r="BD265">
        <v>21.44</v>
      </c>
      <c r="BE265">
        <v>108</v>
      </c>
      <c r="BF265">
        <v>89.3</v>
      </c>
      <c r="BG265">
        <v>33</v>
      </c>
      <c r="BH265">
        <v>27</v>
      </c>
      <c r="BI265">
        <v>28.96</v>
      </c>
      <c r="BJ265">
        <v>147</v>
      </c>
      <c r="BK265">
        <v>87.8</v>
      </c>
      <c r="BL265">
        <v>266</v>
      </c>
      <c r="BM265">
        <v>16.901599999999998</v>
      </c>
    </row>
    <row r="266" spans="1:65" x14ac:dyDescent="0.25">
      <c r="A266" t="s">
        <v>329</v>
      </c>
      <c r="B266" t="s">
        <v>1380</v>
      </c>
      <c r="C266" t="s">
        <v>2158</v>
      </c>
      <c r="D266" s="1">
        <v>45404</v>
      </c>
      <c r="E266" s="1">
        <v>45442</v>
      </c>
      <c r="F266" s="1">
        <v>45495</v>
      </c>
      <c r="G266" t="s">
        <v>2165</v>
      </c>
      <c r="H266" t="s">
        <v>2171</v>
      </c>
      <c r="I266" t="s">
        <v>2176</v>
      </c>
      <c r="J266">
        <v>8145</v>
      </c>
      <c r="K266">
        <v>245</v>
      </c>
      <c r="L266">
        <v>3.4</v>
      </c>
      <c r="M266">
        <v>5.3</v>
      </c>
      <c r="N266">
        <v>2</v>
      </c>
      <c r="O266">
        <v>8292</v>
      </c>
      <c r="P266" t="s">
        <v>2176</v>
      </c>
      <c r="Q266">
        <v>7</v>
      </c>
      <c r="R266">
        <v>10</v>
      </c>
      <c r="S266">
        <v>13</v>
      </c>
      <c r="T266">
        <v>631</v>
      </c>
      <c r="U266" t="s">
        <v>2203</v>
      </c>
      <c r="W266" t="s">
        <v>2209</v>
      </c>
      <c r="X266" t="s">
        <v>2211</v>
      </c>
      <c r="Y266" t="s">
        <v>2213</v>
      </c>
      <c r="Z266" s="1">
        <v>45488</v>
      </c>
      <c r="AA266" s="1">
        <v>45494</v>
      </c>
      <c r="AB266" t="s">
        <v>2214</v>
      </c>
      <c r="AC266" t="s">
        <v>2209</v>
      </c>
      <c r="AD266" t="s">
        <v>2219</v>
      </c>
      <c r="AE266" t="s">
        <v>2162</v>
      </c>
      <c r="AF266" t="s">
        <v>2166</v>
      </c>
      <c r="AG266" t="s">
        <v>2222</v>
      </c>
      <c r="AH266">
        <v>30</v>
      </c>
      <c r="AI266">
        <v>46</v>
      </c>
      <c r="AJ266">
        <v>16</v>
      </c>
      <c r="AK266">
        <v>5</v>
      </c>
      <c r="AL266" t="s">
        <v>2224</v>
      </c>
      <c r="AM266">
        <v>0</v>
      </c>
      <c r="AN266" t="s">
        <v>2176</v>
      </c>
      <c r="AO266" t="s">
        <v>2176</v>
      </c>
      <c r="AP266" t="s">
        <v>2177</v>
      </c>
      <c r="AQ266">
        <v>18.02</v>
      </c>
      <c r="AR266">
        <v>1</v>
      </c>
      <c r="AS266">
        <v>1</v>
      </c>
      <c r="AT266">
        <v>1</v>
      </c>
      <c r="AU266">
        <v>2</v>
      </c>
      <c r="AV266">
        <v>1.333333333333333</v>
      </c>
      <c r="AW266">
        <v>4.2</v>
      </c>
      <c r="AX266">
        <v>4.8</v>
      </c>
      <c r="AY266">
        <v>4.5999999999999996</v>
      </c>
      <c r="AZ266">
        <v>2</v>
      </c>
      <c r="BA266">
        <v>1</v>
      </c>
      <c r="BB266">
        <v>24</v>
      </c>
      <c r="BC266">
        <v>27</v>
      </c>
      <c r="BD266">
        <v>21.44</v>
      </c>
      <c r="BE266">
        <v>108</v>
      </c>
      <c r="BF266">
        <v>89.3</v>
      </c>
      <c r="BG266">
        <v>36</v>
      </c>
      <c r="BH266">
        <v>27</v>
      </c>
      <c r="BI266">
        <v>31.37</v>
      </c>
      <c r="BJ266">
        <v>158</v>
      </c>
      <c r="BK266">
        <v>87.1</v>
      </c>
      <c r="BL266">
        <v>301</v>
      </c>
      <c r="BM266">
        <v>2.7923</v>
      </c>
    </row>
    <row r="267" spans="1:65" x14ac:dyDescent="0.25">
      <c r="A267" t="s">
        <v>330</v>
      </c>
      <c r="B267" t="s">
        <v>1276</v>
      </c>
      <c r="C267" t="s">
        <v>2160</v>
      </c>
      <c r="D267" s="1">
        <v>45355</v>
      </c>
      <c r="E267" s="1">
        <v>45400</v>
      </c>
      <c r="F267" s="1">
        <v>45465</v>
      </c>
      <c r="G267" t="s">
        <v>2164</v>
      </c>
      <c r="H267" t="s">
        <v>2170</v>
      </c>
      <c r="I267" t="s">
        <v>2173</v>
      </c>
      <c r="J267">
        <v>12714</v>
      </c>
      <c r="K267">
        <v>382</v>
      </c>
      <c r="L267">
        <v>11.6</v>
      </c>
      <c r="M267">
        <v>6.2</v>
      </c>
      <c r="N267">
        <v>4</v>
      </c>
      <c r="O267">
        <v>8465</v>
      </c>
      <c r="P267" t="s">
        <v>2177</v>
      </c>
      <c r="Q267">
        <v>10</v>
      </c>
      <c r="R267">
        <v>14</v>
      </c>
      <c r="S267">
        <v>18</v>
      </c>
      <c r="T267">
        <v>730</v>
      </c>
      <c r="U267" t="s">
        <v>2179</v>
      </c>
      <c r="W267" t="s">
        <v>2209</v>
      </c>
      <c r="X267" t="s">
        <v>2211</v>
      </c>
      <c r="Y267" t="s">
        <v>2213</v>
      </c>
      <c r="Z267" s="1">
        <v>45460</v>
      </c>
      <c r="AA267" s="1">
        <v>45466</v>
      </c>
      <c r="AB267" t="s">
        <v>2214</v>
      </c>
      <c r="AC267" t="s">
        <v>2209</v>
      </c>
      <c r="AD267" t="s">
        <v>2219</v>
      </c>
      <c r="AE267" t="s">
        <v>2165</v>
      </c>
      <c r="AF267" t="s">
        <v>2162</v>
      </c>
      <c r="AG267" t="s">
        <v>2222</v>
      </c>
      <c r="AH267">
        <v>42</v>
      </c>
      <c r="AI267">
        <v>60</v>
      </c>
      <c r="AJ267">
        <v>18</v>
      </c>
      <c r="AK267">
        <v>4</v>
      </c>
      <c r="AL267" t="s">
        <v>2225</v>
      </c>
      <c r="AM267">
        <v>0</v>
      </c>
      <c r="AN267" t="s">
        <v>2177</v>
      </c>
      <c r="AO267" t="s">
        <v>2177</v>
      </c>
      <c r="AP267" t="s">
        <v>2177</v>
      </c>
      <c r="AQ267">
        <v>71.92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4.5999999999999996</v>
      </c>
      <c r="AX267">
        <v>4.2</v>
      </c>
      <c r="AY267">
        <v>4.5</v>
      </c>
      <c r="AZ267">
        <v>0</v>
      </c>
      <c r="BA267">
        <v>3</v>
      </c>
      <c r="BB267">
        <v>46</v>
      </c>
      <c r="BC267">
        <v>26</v>
      </c>
      <c r="BD267">
        <v>40.729999999999997</v>
      </c>
      <c r="BE267">
        <v>203</v>
      </c>
      <c r="BF267">
        <v>88.5</v>
      </c>
      <c r="BG267">
        <v>30</v>
      </c>
      <c r="BH267">
        <v>26</v>
      </c>
      <c r="BI267">
        <v>26.42</v>
      </c>
      <c r="BJ267">
        <v>126</v>
      </c>
      <c r="BK267">
        <v>88.1</v>
      </c>
      <c r="BL267">
        <v>307</v>
      </c>
      <c r="BM267">
        <v>2.4083999999999999</v>
      </c>
    </row>
    <row r="268" spans="1:65" x14ac:dyDescent="0.25">
      <c r="A268" t="s">
        <v>331</v>
      </c>
      <c r="B268" t="s">
        <v>1364</v>
      </c>
      <c r="C268" t="s">
        <v>2160</v>
      </c>
      <c r="D268" s="1">
        <v>45348</v>
      </c>
      <c r="E268" s="1">
        <v>45390</v>
      </c>
      <c r="F268" s="1">
        <v>45436</v>
      </c>
      <c r="G268" t="s">
        <v>2164</v>
      </c>
      <c r="H268" t="s">
        <v>2170</v>
      </c>
      <c r="I268" t="s">
        <v>2174</v>
      </c>
      <c r="J268">
        <v>3957</v>
      </c>
      <c r="K268">
        <v>119</v>
      </c>
      <c r="L268">
        <v>1.2</v>
      </c>
      <c r="M268">
        <v>7.9</v>
      </c>
      <c r="N268">
        <v>2</v>
      </c>
      <c r="O268">
        <v>4990</v>
      </c>
      <c r="P268" t="s">
        <v>2176</v>
      </c>
      <c r="Q268">
        <v>5</v>
      </c>
      <c r="R268">
        <v>8</v>
      </c>
      <c r="S268">
        <v>7</v>
      </c>
      <c r="T268">
        <v>586</v>
      </c>
      <c r="U268" t="s">
        <v>2166</v>
      </c>
      <c r="V268" t="s">
        <v>2172</v>
      </c>
      <c r="W268" t="s">
        <v>2209</v>
      </c>
      <c r="X268" t="s">
        <v>2211</v>
      </c>
      <c r="Y268" t="s">
        <v>2212</v>
      </c>
      <c r="Z268" s="1">
        <v>45424</v>
      </c>
      <c r="AA268" s="1">
        <v>45430</v>
      </c>
      <c r="AB268" t="s">
        <v>2214</v>
      </c>
      <c r="AC268" t="s">
        <v>2209</v>
      </c>
      <c r="AD268" t="s">
        <v>2218</v>
      </c>
      <c r="AE268" t="s">
        <v>2166</v>
      </c>
      <c r="AG268" t="s">
        <v>2221</v>
      </c>
      <c r="AH268">
        <v>20</v>
      </c>
      <c r="AI268">
        <v>34</v>
      </c>
      <c r="AJ268">
        <v>14</v>
      </c>
      <c r="AK268">
        <v>4</v>
      </c>
      <c r="AL268" t="s">
        <v>2225</v>
      </c>
      <c r="AM268">
        <v>0</v>
      </c>
      <c r="AN268" t="s">
        <v>2176</v>
      </c>
      <c r="AO268" t="s">
        <v>2176</v>
      </c>
      <c r="AP268" t="s">
        <v>2176</v>
      </c>
      <c r="AQ268">
        <v>9.48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4.8</v>
      </c>
      <c r="AY268">
        <v>4.5</v>
      </c>
      <c r="AZ268">
        <v>0</v>
      </c>
      <c r="BA268">
        <v>2</v>
      </c>
      <c r="BB268">
        <v>45</v>
      </c>
      <c r="BC268">
        <v>26</v>
      </c>
      <c r="BD268">
        <v>40.270000000000003</v>
      </c>
      <c r="BE268">
        <v>199</v>
      </c>
      <c r="BF268">
        <v>89.5</v>
      </c>
      <c r="BG268">
        <v>30</v>
      </c>
      <c r="BH268">
        <v>26</v>
      </c>
      <c r="BI268">
        <v>26.42</v>
      </c>
      <c r="BJ268">
        <v>126</v>
      </c>
      <c r="BK268">
        <v>88.1</v>
      </c>
      <c r="BL268">
        <v>199</v>
      </c>
      <c r="BM268">
        <v>0.76459999999999995</v>
      </c>
    </row>
    <row r="269" spans="1:65" x14ac:dyDescent="0.25">
      <c r="A269" t="s">
        <v>332</v>
      </c>
      <c r="B269" t="s">
        <v>1382</v>
      </c>
      <c r="C269" t="s">
        <v>2160</v>
      </c>
      <c r="D269" s="1">
        <v>45432</v>
      </c>
      <c r="E269" s="1">
        <v>45473</v>
      </c>
      <c r="F269" s="1">
        <v>45535</v>
      </c>
      <c r="G269" t="s">
        <v>2163</v>
      </c>
      <c r="H269" t="s">
        <v>2169</v>
      </c>
      <c r="I269" t="s">
        <v>2176</v>
      </c>
      <c r="J269">
        <v>10208</v>
      </c>
      <c r="K269">
        <v>307</v>
      </c>
      <c r="L269">
        <v>10</v>
      </c>
      <c r="M269">
        <v>9.3000000000000007</v>
      </c>
      <c r="N269">
        <v>5</v>
      </c>
      <c r="O269">
        <v>3606</v>
      </c>
      <c r="P269" t="s">
        <v>2176</v>
      </c>
      <c r="Q269">
        <v>10</v>
      </c>
      <c r="R269">
        <v>14</v>
      </c>
      <c r="S269">
        <v>15</v>
      </c>
      <c r="T269">
        <v>718</v>
      </c>
      <c r="U269" t="s">
        <v>2182</v>
      </c>
      <c r="W269" t="s">
        <v>2209</v>
      </c>
      <c r="X269" t="s">
        <v>2211</v>
      </c>
      <c r="Y269" t="s">
        <v>2213</v>
      </c>
      <c r="Z269" s="1">
        <v>45529</v>
      </c>
      <c r="AA269" s="1">
        <v>45529</v>
      </c>
      <c r="AB269" t="s">
        <v>2214</v>
      </c>
      <c r="AC269" t="s">
        <v>2209</v>
      </c>
      <c r="AD269" t="s">
        <v>2219</v>
      </c>
      <c r="AE269" t="s">
        <v>2166</v>
      </c>
      <c r="AF269" t="s">
        <v>2162</v>
      </c>
      <c r="AG269" t="s">
        <v>2222</v>
      </c>
      <c r="AH269">
        <v>39</v>
      </c>
      <c r="AI269">
        <v>56</v>
      </c>
      <c r="AJ269">
        <v>17</v>
      </c>
      <c r="AK269">
        <v>6</v>
      </c>
      <c r="AL269" t="s">
        <v>2223</v>
      </c>
      <c r="AM269">
        <v>0</v>
      </c>
      <c r="AN269" t="s">
        <v>2177</v>
      </c>
      <c r="AO269" t="s">
        <v>2177</v>
      </c>
      <c r="AP269" t="s">
        <v>2176</v>
      </c>
      <c r="AQ269">
        <v>93</v>
      </c>
      <c r="AR269">
        <v>1</v>
      </c>
      <c r="AS269">
        <v>2</v>
      </c>
      <c r="AT269">
        <v>2</v>
      </c>
      <c r="AU269">
        <v>1</v>
      </c>
      <c r="AV269">
        <v>1.666666666666667</v>
      </c>
      <c r="AW269">
        <v>4.8</v>
      </c>
      <c r="AX269">
        <v>4.2</v>
      </c>
      <c r="AY269">
        <v>4.4000000000000004</v>
      </c>
      <c r="AZ269">
        <v>0</v>
      </c>
      <c r="BA269">
        <v>1</v>
      </c>
      <c r="BB269">
        <v>45</v>
      </c>
      <c r="BC269">
        <v>25</v>
      </c>
      <c r="BD269">
        <v>39.200000000000003</v>
      </c>
      <c r="BE269">
        <v>186</v>
      </c>
      <c r="BF269">
        <v>87.1</v>
      </c>
      <c r="BG269">
        <v>30</v>
      </c>
      <c r="BH269">
        <v>25</v>
      </c>
      <c r="BI269">
        <v>26.48</v>
      </c>
      <c r="BJ269">
        <v>121</v>
      </c>
      <c r="BK269">
        <v>88.3</v>
      </c>
      <c r="BL269">
        <v>303</v>
      </c>
      <c r="BM269">
        <v>2.1947999999999999</v>
      </c>
    </row>
    <row r="270" spans="1:65" x14ac:dyDescent="0.25">
      <c r="A270" t="s">
        <v>333</v>
      </c>
      <c r="B270" t="s">
        <v>1286</v>
      </c>
      <c r="C270" t="s">
        <v>2160</v>
      </c>
      <c r="D270" s="1">
        <v>45411</v>
      </c>
      <c r="E270" s="1">
        <v>45444</v>
      </c>
      <c r="F270" s="1">
        <v>45478</v>
      </c>
      <c r="G270" t="s">
        <v>2162</v>
      </c>
      <c r="H270" t="s">
        <v>2168</v>
      </c>
      <c r="I270" t="s">
        <v>2175</v>
      </c>
      <c r="J270">
        <v>7036</v>
      </c>
      <c r="K270">
        <v>212</v>
      </c>
      <c r="L270">
        <v>10.6</v>
      </c>
      <c r="M270">
        <v>10.199999999999999</v>
      </c>
      <c r="N270">
        <v>8</v>
      </c>
      <c r="O270">
        <v>17338</v>
      </c>
      <c r="P270" t="s">
        <v>2178</v>
      </c>
      <c r="Q270">
        <v>7</v>
      </c>
      <c r="R270">
        <v>10</v>
      </c>
      <c r="S270">
        <v>9</v>
      </c>
      <c r="T270">
        <v>827</v>
      </c>
      <c r="U270" t="s">
        <v>2203</v>
      </c>
      <c r="W270" t="s">
        <v>2209</v>
      </c>
      <c r="X270" t="s">
        <v>2211</v>
      </c>
      <c r="Y270" t="s">
        <v>2213</v>
      </c>
      <c r="Z270" s="1">
        <v>45485</v>
      </c>
      <c r="AA270" s="1">
        <v>45487</v>
      </c>
      <c r="AB270" t="s">
        <v>2215</v>
      </c>
      <c r="AC270" t="s">
        <v>2208</v>
      </c>
      <c r="AD270" t="s">
        <v>2219</v>
      </c>
      <c r="AE270" t="s">
        <v>2162</v>
      </c>
      <c r="AF270" t="s">
        <v>2166</v>
      </c>
      <c r="AG270" t="s">
        <v>2222</v>
      </c>
      <c r="AH270">
        <v>26</v>
      </c>
      <c r="AI270">
        <v>41</v>
      </c>
      <c r="AJ270">
        <v>15</v>
      </c>
      <c r="AK270">
        <v>6</v>
      </c>
      <c r="AL270" t="s">
        <v>2223</v>
      </c>
      <c r="AM270">
        <v>0</v>
      </c>
      <c r="AN270" t="s">
        <v>2175</v>
      </c>
      <c r="AO270" t="s">
        <v>2175</v>
      </c>
      <c r="AP270" t="s">
        <v>2175</v>
      </c>
      <c r="AQ270">
        <v>108.12</v>
      </c>
      <c r="AR270">
        <v>3</v>
      </c>
      <c r="AS270">
        <v>3</v>
      </c>
      <c r="AT270">
        <v>3</v>
      </c>
      <c r="AU270">
        <v>3</v>
      </c>
      <c r="AV270">
        <v>3</v>
      </c>
      <c r="AW270">
        <v>4.2</v>
      </c>
      <c r="AX270">
        <v>4.8</v>
      </c>
      <c r="AY270">
        <v>4.2</v>
      </c>
      <c r="AZ270">
        <v>0</v>
      </c>
      <c r="BA270">
        <v>0</v>
      </c>
      <c r="BB270">
        <v>29</v>
      </c>
      <c r="BC270">
        <v>25</v>
      </c>
      <c r="BD270">
        <v>25.56</v>
      </c>
      <c r="BE270">
        <v>117</v>
      </c>
      <c r="BF270">
        <v>88.1</v>
      </c>
      <c r="BG270">
        <v>29</v>
      </c>
      <c r="BH270">
        <v>25</v>
      </c>
      <c r="BI270">
        <v>25.56</v>
      </c>
      <c r="BJ270">
        <v>117</v>
      </c>
      <c r="BK270">
        <v>88.1</v>
      </c>
      <c r="BL270">
        <v>303</v>
      </c>
      <c r="BM270">
        <v>2.4045999999999998</v>
      </c>
    </row>
    <row r="271" spans="1:65" x14ac:dyDescent="0.25">
      <c r="A271" t="s">
        <v>334</v>
      </c>
      <c r="B271" t="s">
        <v>1194</v>
      </c>
      <c r="C271" t="s">
        <v>2158</v>
      </c>
      <c r="D271" s="1">
        <v>45355</v>
      </c>
      <c r="E271" s="1">
        <v>45398</v>
      </c>
      <c r="F271" s="1">
        <v>45471</v>
      </c>
      <c r="G271" t="s">
        <v>2164</v>
      </c>
      <c r="H271" t="s">
        <v>2170</v>
      </c>
      <c r="I271" t="s">
        <v>2176</v>
      </c>
      <c r="J271">
        <v>17097</v>
      </c>
      <c r="K271">
        <v>513</v>
      </c>
      <c r="L271">
        <v>9.4</v>
      </c>
      <c r="M271">
        <v>5.5</v>
      </c>
      <c r="N271">
        <v>2</v>
      </c>
      <c r="O271">
        <v>7059</v>
      </c>
      <c r="P271" t="s">
        <v>2176</v>
      </c>
      <c r="Q271">
        <v>10</v>
      </c>
      <c r="R271">
        <v>14</v>
      </c>
      <c r="S271">
        <v>26</v>
      </c>
      <c r="T271">
        <v>673</v>
      </c>
      <c r="U271" t="s">
        <v>2201</v>
      </c>
      <c r="W271" t="s">
        <v>2209</v>
      </c>
      <c r="X271" t="s">
        <v>2211</v>
      </c>
      <c r="Y271" t="s">
        <v>2213</v>
      </c>
      <c r="Z271" s="1">
        <v>45467</v>
      </c>
      <c r="AA271" s="1">
        <v>45473</v>
      </c>
      <c r="AB271" t="s">
        <v>2214</v>
      </c>
      <c r="AC271" t="s">
        <v>2209</v>
      </c>
      <c r="AD271" t="s">
        <v>2219</v>
      </c>
      <c r="AE271" t="s">
        <v>2165</v>
      </c>
      <c r="AF271" t="s">
        <v>2161</v>
      </c>
      <c r="AG271" t="s">
        <v>2222</v>
      </c>
      <c r="AH271">
        <v>50</v>
      </c>
      <c r="AI271">
        <v>69</v>
      </c>
      <c r="AJ271">
        <v>19</v>
      </c>
      <c r="AK271">
        <v>4</v>
      </c>
      <c r="AL271" t="s">
        <v>2225</v>
      </c>
      <c r="AM271">
        <v>0</v>
      </c>
      <c r="AN271" t="s">
        <v>2177</v>
      </c>
      <c r="AO271" t="s">
        <v>2176</v>
      </c>
      <c r="AP271" t="s">
        <v>2177</v>
      </c>
      <c r="AQ271">
        <v>51.7</v>
      </c>
      <c r="AR271">
        <v>1</v>
      </c>
      <c r="AS271">
        <v>2</v>
      </c>
      <c r="AT271">
        <v>1</v>
      </c>
      <c r="AU271">
        <v>2</v>
      </c>
      <c r="AV271">
        <v>1.666666666666667</v>
      </c>
      <c r="AW271">
        <v>4.5999999999999996</v>
      </c>
      <c r="AX271">
        <v>4.3</v>
      </c>
      <c r="AY271">
        <v>4.5</v>
      </c>
      <c r="AZ271">
        <v>2</v>
      </c>
      <c r="BA271">
        <v>1</v>
      </c>
      <c r="BB271">
        <v>46</v>
      </c>
      <c r="BC271">
        <v>26</v>
      </c>
      <c r="BD271">
        <v>40.729999999999997</v>
      </c>
      <c r="BE271">
        <v>203</v>
      </c>
      <c r="BF271">
        <v>88.5</v>
      </c>
      <c r="BG271">
        <v>30</v>
      </c>
      <c r="BH271">
        <v>26</v>
      </c>
      <c r="BI271">
        <v>26.42</v>
      </c>
      <c r="BJ271">
        <v>126</v>
      </c>
      <c r="BK271">
        <v>88.1</v>
      </c>
      <c r="BL271">
        <v>341</v>
      </c>
      <c r="BM271">
        <v>3.2387000000000001</v>
      </c>
    </row>
    <row r="272" spans="1:65" x14ac:dyDescent="0.25">
      <c r="A272" t="s">
        <v>335</v>
      </c>
      <c r="B272" t="s">
        <v>1351</v>
      </c>
      <c r="C272" t="s">
        <v>2158</v>
      </c>
      <c r="D272" s="1">
        <v>45299</v>
      </c>
      <c r="E272" s="1">
        <v>45329</v>
      </c>
      <c r="F272" s="1">
        <v>45405</v>
      </c>
      <c r="G272" t="s">
        <v>2166</v>
      </c>
      <c r="H272" t="s">
        <v>2172</v>
      </c>
      <c r="I272" t="s">
        <v>2174</v>
      </c>
      <c r="J272">
        <v>14618</v>
      </c>
      <c r="K272">
        <v>439</v>
      </c>
      <c r="L272">
        <v>2.2999999999999998</v>
      </c>
      <c r="M272">
        <v>5.0999999999999996</v>
      </c>
      <c r="N272">
        <v>4</v>
      </c>
      <c r="O272">
        <v>2846</v>
      </c>
      <c r="P272" t="s">
        <v>2176</v>
      </c>
      <c r="Q272">
        <v>10</v>
      </c>
      <c r="R272">
        <v>14</v>
      </c>
      <c r="S272">
        <v>25</v>
      </c>
      <c r="T272">
        <v>602</v>
      </c>
      <c r="U272" t="s">
        <v>2166</v>
      </c>
      <c r="V272" t="s">
        <v>2172</v>
      </c>
      <c r="W272" t="s">
        <v>2208</v>
      </c>
      <c r="X272" t="s">
        <v>2210</v>
      </c>
      <c r="Y272" t="s">
        <v>2212</v>
      </c>
      <c r="Z272" s="1">
        <v>45397</v>
      </c>
      <c r="AA272" s="1">
        <v>45402</v>
      </c>
      <c r="AB272" t="s">
        <v>2214</v>
      </c>
      <c r="AC272" t="s">
        <v>2209</v>
      </c>
      <c r="AD272" t="s">
        <v>2216</v>
      </c>
      <c r="AE272" t="s">
        <v>2166</v>
      </c>
      <c r="AG272" t="s">
        <v>2220</v>
      </c>
      <c r="AH272">
        <v>49</v>
      </c>
      <c r="AI272">
        <v>68</v>
      </c>
      <c r="AJ272">
        <v>19</v>
      </c>
      <c r="AK272">
        <v>2</v>
      </c>
      <c r="AL272" t="s">
        <v>2228</v>
      </c>
      <c r="AM272">
        <v>0</v>
      </c>
      <c r="AN272" t="s">
        <v>2176</v>
      </c>
      <c r="AO272" t="s">
        <v>2177</v>
      </c>
      <c r="AP272" t="s">
        <v>2176</v>
      </c>
      <c r="AQ272">
        <v>11.73</v>
      </c>
      <c r="AR272">
        <v>1</v>
      </c>
      <c r="AS272">
        <v>1</v>
      </c>
      <c r="AT272">
        <v>2</v>
      </c>
      <c r="AU272">
        <v>1</v>
      </c>
      <c r="AV272">
        <v>1.333333333333333</v>
      </c>
      <c r="AW272">
        <v>4.8</v>
      </c>
      <c r="AY272">
        <v>4.8</v>
      </c>
      <c r="AZ272">
        <v>2</v>
      </c>
      <c r="BA272">
        <v>2</v>
      </c>
      <c r="BB272">
        <v>40</v>
      </c>
      <c r="BC272">
        <v>24</v>
      </c>
      <c r="BD272">
        <v>35.54</v>
      </c>
      <c r="BE272">
        <v>160</v>
      </c>
      <c r="BF272">
        <v>88.8</v>
      </c>
      <c r="BG272">
        <v>40</v>
      </c>
      <c r="BH272">
        <v>24</v>
      </c>
      <c r="BI272">
        <v>35.54</v>
      </c>
      <c r="BJ272">
        <v>160</v>
      </c>
      <c r="BK272">
        <v>88.8</v>
      </c>
      <c r="BL272">
        <v>160</v>
      </c>
      <c r="BM272">
        <v>3.8058000000000001</v>
      </c>
    </row>
    <row r="273" spans="1:65" x14ac:dyDescent="0.25">
      <c r="A273" t="s">
        <v>336</v>
      </c>
      <c r="B273" t="s">
        <v>1354</v>
      </c>
      <c r="C273" t="s">
        <v>2160</v>
      </c>
      <c r="D273" s="1">
        <v>45341</v>
      </c>
      <c r="E273" s="1">
        <v>45373</v>
      </c>
      <c r="F273" s="1">
        <v>45444</v>
      </c>
      <c r="G273" t="s">
        <v>2165</v>
      </c>
      <c r="H273" t="s">
        <v>2171</v>
      </c>
      <c r="I273" t="s">
        <v>2176</v>
      </c>
      <c r="J273">
        <v>16023</v>
      </c>
      <c r="K273">
        <v>481</v>
      </c>
      <c r="L273">
        <v>9.6999999999999993</v>
      </c>
      <c r="M273">
        <v>5.2</v>
      </c>
      <c r="N273">
        <v>2</v>
      </c>
      <c r="O273">
        <v>8391</v>
      </c>
      <c r="P273" t="s">
        <v>2176</v>
      </c>
      <c r="Q273">
        <v>10</v>
      </c>
      <c r="R273">
        <v>14</v>
      </c>
      <c r="S273">
        <v>23</v>
      </c>
      <c r="T273">
        <v>700</v>
      </c>
      <c r="U273" t="s">
        <v>2201</v>
      </c>
      <c r="W273" t="s">
        <v>2209</v>
      </c>
      <c r="X273" t="s">
        <v>2211</v>
      </c>
      <c r="Y273" t="s">
        <v>2213</v>
      </c>
      <c r="Z273" s="1">
        <v>45439</v>
      </c>
      <c r="AA273" s="1">
        <v>45444</v>
      </c>
      <c r="AB273" t="s">
        <v>2214</v>
      </c>
      <c r="AC273" t="s">
        <v>2209</v>
      </c>
      <c r="AD273" t="s">
        <v>2219</v>
      </c>
      <c r="AE273" t="s">
        <v>2165</v>
      </c>
      <c r="AF273" t="s">
        <v>2161</v>
      </c>
      <c r="AG273" t="s">
        <v>2222</v>
      </c>
      <c r="AH273">
        <v>47</v>
      </c>
      <c r="AI273">
        <v>66</v>
      </c>
      <c r="AJ273">
        <v>19</v>
      </c>
      <c r="AK273">
        <v>3</v>
      </c>
      <c r="AL273" t="s">
        <v>2227</v>
      </c>
      <c r="AM273">
        <v>0</v>
      </c>
      <c r="AN273" t="s">
        <v>2177</v>
      </c>
      <c r="AO273" t="s">
        <v>2176</v>
      </c>
      <c r="AP273" t="s">
        <v>2177</v>
      </c>
      <c r="AQ273">
        <v>50.44</v>
      </c>
      <c r="AR273">
        <v>1</v>
      </c>
      <c r="AS273">
        <v>2</v>
      </c>
      <c r="AT273">
        <v>1</v>
      </c>
      <c r="AU273">
        <v>2</v>
      </c>
      <c r="AV273">
        <v>1.666666666666667</v>
      </c>
      <c r="AW273">
        <v>4.5999999999999996</v>
      </c>
      <c r="AX273">
        <v>4.3</v>
      </c>
      <c r="AY273">
        <v>4.5999999999999996</v>
      </c>
      <c r="AZ273">
        <v>0</v>
      </c>
      <c r="BA273">
        <v>1</v>
      </c>
      <c r="BB273">
        <v>48</v>
      </c>
      <c r="BC273">
        <v>26</v>
      </c>
      <c r="BD273">
        <v>42.38</v>
      </c>
      <c r="BE273">
        <v>212</v>
      </c>
      <c r="BF273">
        <v>88.3</v>
      </c>
      <c r="BG273">
        <v>48</v>
      </c>
      <c r="BH273">
        <v>26</v>
      </c>
      <c r="BI273">
        <v>42.38</v>
      </c>
      <c r="BJ273">
        <v>212</v>
      </c>
      <c r="BK273">
        <v>88.3</v>
      </c>
      <c r="BL273">
        <v>376</v>
      </c>
      <c r="BM273">
        <v>2.9064000000000001</v>
      </c>
    </row>
    <row r="274" spans="1:65" x14ac:dyDescent="0.25">
      <c r="A274" t="s">
        <v>337</v>
      </c>
      <c r="B274" t="s">
        <v>1383</v>
      </c>
      <c r="C274" t="s">
        <v>2158</v>
      </c>
      <c r="D274" s="1">
        <v>45362</v>
      </c>
      <c r="E274" s="1">
        <v>45399</v>
      </c>
      <c r="F274" s="1">
        <v>45463</v>
      </c>
      <c r="G274" t="s">
        <v>2161</v>
      </c>
      <c r="H274" t="s">
        <v>2167</v>
      </c>
      <c r="I274" t="s">
        <v>2174</v>
      </c>
      <c r="J274">
        <v>7089</v>
      </c>
      <c r="K274">
        <v>213</v>
      </c>
      <c r="L274">
        <v>1.4</v>
      </c>
      <c r="M274">
        <v>1.6</v>
      </c>
      <c r="N274">
        <v>1</v>
      </c>
      <c r="O274">
        <v>3805</v>
      </c>
      <c r="P274" t="s">
        <v>2176</v>
      </c>
      <c r="Q274">
        <v>7</v>
      </c>
      <c r="R274">
        <v>10</v>
      </c>
      <c r="S274">
        <v>13</v>
      </c>
      <c r="T274">
        <v>570</v>
      </c>
      <c r="U274" t="s">
        <v>2201</v>
      </c>
      <c r="W274" t="s">
        <v>2209</v>
      </c>
      <c r="X274" t="s">
        <v>2211</v>
      </c>
      <c r="Y274" t="s">
        <v>2213</v>
      </c>
      <c r="Z274" s="1">
        <v>45445</v>
      </c>
      <c r="AA274" s="1">
        <v>45445</v>
      </c>
      <c r="AB274" t="s">
        <v>2214</v>
      </c>
      <c r="AC274" t="s">
        <v>2209</v>
      </c>
      <c r="AD274" t="s">
        <v>2219</v>
      </c>
      <c r="AE274" t="s">
        <v>2165</v>
      </c>
      <c r="AF274" t="s">
        <v>2161</v>
      </c>
      <c r="AG274" t="s">
        <v>2222</v>
      </c>
      <c r="AH274">
        <v>30</v>
      </c>
      <c r="AI274">
        <v>46</v>
      </c>
      <c r="AJ274">
        <v>16</v>
      </c>
      <c r="AK274">
        <v>4</v>
      </c>
      <c r="AL274" t="s">
        <v>2225</v>
      </c>
      <c r="AM274">
        <v>0</v>
      </c>
      <c r="AN274" t="s">
        <v>2176</v>
      </c>
      <c r="AO274" t="s">
        <v>2176</v>
      </c>
      <c r="AP274" t="s">
        <v>2176</v>
      </c>
      <c r="AQ274">
        <v>2.2400000000000002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4.5999999999999996</v>
      </c>
      <c r="AX274">
        <v>4.3</v>
      </c>
      <c r="AY274">
        <v>4.3</v>
      </c>
      <c r="AZ274">
        <v>2</v>
      </c>
      <c r="BA274">
        <v>2</v>
      </c>
      <c r="BB274">
        <v>46</v>
      </c>
      <c r="BC274">
        <v>26</v>
      </c>
      <c r="BD274">
        <v>40.729999999999997</v>
      </c>
      <c r="BE274">
        <v>203</v>
      </c>
      <c r="BF274">
        <v>88.5</v>
      </c>
      <c r="BG274">
        <v>32</v>
      </c>
      <c r="BH274">
        <v>26</v>
      </c>
      <c r="BI274">
        <v>28.46</v>
      </c>
      <c r="BJ274">
        <v>138</v>
      </c>
      <c r="BK274">
        <v>88.9</v>
      </c>
      <c r="BL274">
        <v>341</v>
      </c>
      <c r="BM274">
        <v>1.3429</v>
      </c>
    </row>
    <row r="275" spans="1:65" x14ac:dyDescent="0.25">
      <c r="A275" t="s">
        <v>338</v>
      </c>
      <c r="B275" t="s">
        <v>1384</v>
      </c>
      <c r="C275" t="s">
        <v>2160</v>
      </c>
      <c r="D275" s="1">
        <v>45362</v>
      </c>
      <c r="E275" s="1">
        <v>45404</v>
      </c>
      <c r="F275" s="1">
        <v>45494</v>
      </c>
      <c r="G275" t="s">
        <v>2161</v>
      </c>
      <c r="H275" t="s">
        <v>2167</v>
      </c>
      <c r="I275" t="s">
        <v>2174</v>
      </c>
      <c r="J275">
        <v>18895</v>
      </c>
      <c r="K275">
        <v>567</v>
      </c>
      <c r="L275">
        <v>2</v>
      </c>
      <c r="M275">
        <v>4.5</v>
      </c>
      <c r="N275">
        <v>4</v>
      </c>
      <c r="O275">
        <v>2215</v>
      </c>
      <c r="P275" t="s">
        <v>2176</v>
      </c>
      <c r="Q275">
        <v>10</v>
      </c>
      <c r="R275">
        <v>14</v>
      </c>
      <c r="S275">
        <v>29</v>
      </c>
      <c r="T275">
        <v>658</v>
      </c>
      <c r="U275" t="s">
        <v>2186</v>
      </c>
      <c r="W275" t="s">
        <v>2209</v>
      </c>
      <c r="X275" t="s">
        <v>2211</v>
      </c>
      <c r="Y275" t="s">
        <v>2213</v>
      </c>
      <c r="Z275" s="1">
        <v>45476</v>
      </c>
      <c r="AA275" s="1">
        <v>45480</v>
      </c>
      <c r="AB275" t="s">
        <v>2214</v>
      </c>
      <c r="AC275" t="s">
        <v>2209</v>
      </c>
      <c r="AD275" t="s">
        <v>2219</v>
      </c>
      <c r="AE275" t="s">
        <v>2161</v>
      </c>
      <c r="AF275" t="s">
        <v>2163</v>
      </c>
      <c r="AG275" t="s">
        <v>2222</v>
      </c>
      <c r="AH275">
        <v>53</v>
      </c>
      <c r="AI275">
        <v>72</v>
      </c>
      <c r="AJ275">
        <v>19</v>
      </c>
      <c r="AK275">
        <v>4</v>
      </c>
      <c r="AL275" t="s">
        <v>2225</v>
      </c>
      <c r="AM275">
        <v>0</v>
      </c>
      <c r="AN275" t="s">
        <v>2176</v>
      </c>
      <c r="AO275" t="s">
        <v>2177</v>
      </c>
      <c r="AP275" t="s">
        <v>2176</v>
      </c>
      <c r="AQ275">
        <v>9</v>
      </c>
      <c r="AR275">
        <v>1</v>
      </c>
      <c r="AS275">
        <v>1</v>
      </c>
      <c r="AT275">
        <v>2</v>
      </c>
      <c r="AU275">
        <v>1</v>
      </c>
      <c r="AV275">
        <v>1.333333333333333</v>
      </c>
      <c r="AW275">
        <v>4.3</v>
      </c>
      <c r="AX275">
        <v>4.4000000000000004</v>
      </c>
      <c r="AY275">
        <v>4.3</v>
      </c>
      <c r="AZ275">
        <v>0</v>
      </c>
      <c r="BA275">
        <v>2</v>
      </c>
      <c r="BB275">
        <v>32</v>
      </c>
      <c r="BC275">
        <v>26</v>
      </c>
      <c r="BD275">
        <v>28.46</v>
      </c>
      <c r="BE275">
        <v>138</v>
      </c>
      <c r="BF275">
        <v>88.9</v>
      </c>
      <c r="BG275">
        <v>32</v>
      </c>
      <c r="BH275">
        <v>26</v>
      </c>
      <c r="BI275">
        <v>28.46</v>
      </c>
      <c r="BJ275">
        <v>138</v>
      </c>
      <c r="BK275">
        <v>88.9</v>
      </c>
      <c r="BL275">
        <v>270</v>
      </c>
      <c r="BM275">
        <v>5.2647000000000004</v>
      </c>
    </row>
    <row r="276" spans="1:65" x14ac:dyDescent="0.25">
      <c r="A276" t="s">
        <v>339</v>
      </c>
      <c r="B276" t="s">
        <v>1385</v>
      </c>
      <c r="C276" t="s">
        <v>2158</v>
      </c>
      <c r="D276" s="1">
        <v>45453</v>
      </c>
      <c r="E276" s="1">
        <v>45484</v>
      </c>
      <c r="F276" s="1">
        <v>45576</v>
      </c>
      <c r="G276" t="s">
        <v>2166</v>
      </c>
      <c r="H276" t="s">
        <v>2172</v>
      </c>
      <c r="I276" t="s">
        <v>2174</v>
      </c>
      <c r="J276">
        <v>18918</v>
      </c>
      <c r="K276">
        <v>568</v>
      </c>
      <c r="L276">
        <v>6.7</v>
      </c>
      <c r="M276">
        <v>1.3</v>
      </c>
      <c r="N276">
        <v>2</v>
      </c>
      <c r="O276">
        <v>6996</v>
      </c>
      <c r="P276" t="s">
        <v>2176</v>
      </c>
      <c r="Q276">
        <v>10</v>
      </c>
      <c r="R276">
        <v>14</v>
      </c>
      <c r="S276">
        <v>35</v>
      </c>
      <c r="T276">
        <v>542</v>
      </c>
      <c r="U276" t="s">
        <v>2184</v>
      </c>
      <c r="W276" t="s">
        <v>2209</v>
      </c>
      <c r="X276" t="s">
        <v>2211</v>
      </c>
      <c r="Y276" t="s">
        <v>2213</v>
      </c>
      <c r="Z276" s="1">
        <v>45564</v>
      </c>
      <c r="AA276" s="1">
        <v>45564</v>
      </c>
      <c r="AB276" t="s">
        <v>2214</v>
      </c>
      <c r="AC276" t="s">
        <v>2209</v>
      </c>
      <c r="AD276" t="s">
        <v>2219</v>
      </c>
      <c r="AE276" t="s">
        <v>2163</v>
      </c>
      <c r="AF276" t="s">
        <v>2162</v>
      </c>
      <c r="AG276" t="s">
        <v>2222</v>
      </c>
      <c r="AH276">
        <v>59</v>
      </c>
      <c r="AI276">
        <v>80</v>
      </c>
      <c r="AJ276">
        <v>21</v>
      </c>
      <c r="AK276">
        <v>7</v>
      </c>
      <c r="AL276" t="s">
        <v>2226</v>
      </c>
      <c r="AM276">
        <v>0</v>
      </c>
      <c r="AN276" t="s">
        <v>2176</v>
      </c>
      <c r="AO276" t="s">
        <v>2176</v>
      </c>
      <c r="AP276" t="s">
        <v>2176</v>
      </c>
      <c r="AQ276">
        <v>8.7100000000000009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4.4000000000000004</v>
      </c>
      <c r="AX276">
        <v>4.2</v>
      </c>
      <c r="AY276">
        <v>4.8</v>
      </c>
      <c r="AZ276">
        <v>2</v>
      </c>
      <c r="BA276">
        <v>2</v>
      </c>
      <c r="BB276">
        <v>33</v>
      </c>
      <c r="BC276">
        <v>27</v>
      </c>
      <c r="BD276">
        <v>28.89</v>
      </c>
      <c r="BE276">
        <v>145</v>
      </c>
      <c r="BF276">
        <v>87.5</v>
      </c>
      <c r="BG276">
        <v>48</v>
      </c>
      <c r="BH276">
        <v>27</v>
      </c>
      <c r="BI276">
        <v>42.33</v>
      </c>
      <c r="BJ276">
        <v>216</v>
      </c>
      <c r="BK276">
        <v>88.2</v>
      </c>
      <c r="BL276">
        <v>278</v>
      </c>
      <c r="BM276">
        <v>4.8308999999999997</v>
      </c>
    </row>
    <row r="277" spans="1:65" x14ac:dyDescent="0.25">
      <c r="A277" t="s">
        <v>340</v>
      </c>
      <c r="B277" t="s">
        <v>1386</v>
      </c>
      <c r="C277" t="s">
        <v>2157</v>
      </c>
      <c r="D277" s="1">
        <v>45530</v>
      </c>
      <c r="E277" s="1">
        <v>45572</v>
      </c>
      <c r="F277" s="1">
        <v>45705</v>
      </c>
      <c r="G277" t="s">
        <v>2164</v>
      </c>
      <c r="H277" t="s">
        <v>2170</v>
      </c>
      <c r="I277" t="s">
        <v>2173</v>
      </c>
      <c r="J277">
        <v>46734</v>
      </c>
      <c r="K277">
        <v>1403</v>
      </c>
      <c r="L277">
        <v>9.3000000000000007</v>
      </c>
      <c r="M277">
        <v>11.2</v>
      </c>
      <c r="N277">
        <v>6</v>
      </c>
      <c r="O277">
        <v>8028</v>
      </c>
      <c r="P277" t="s">
        <v>2177</v>
      </c>
      <c r="Q277">
        <v>18</v>
      </c>
      <c r="R277">
        <v>30</v>
      </c>
      <c r="S277">
        <v>56</v>
      </c>
      <c r="T277">
        <v>846</v>
      </c>
      <c r="U277" t="s">
        <v>2193</v>
      </c>
      <c r="W277" t="s">
        <v>2209</v>
      </c>
      <c r="X277" t="s">
        <v>2211</v>
      </c>
      <c r="Y277" t="s">
        <v>2213</v>
      </c>
      <c r="Z277" s="1">
        <v>45704</v>
      </c>
      <c r="AA277" s="1">
        <v>45710</v>
      </c>
      <c r="AB277" t="s">
        <v>2214</v>
      </c>
      <c r="AC277" t="s">
        <v>2209</v>
      </c>
      <c r="AD277" t="s">
        <v>2219</v>
      </c>
      <c r="AE277" t="s">
        <v>2161</v>
      </c>
      <c r="AF277" t="s">
        <v>2165</v>
      </c>
      <c r="AG277" t="s">
        <v>2222</v>
      </c>
      <c r="AH277">
        <v>104</v>
      </c>
      <c r="AI277">
        <v>132</v>
      </c>
      <c r="AJ277">
        <v>28</v>
      </c>
      <c r="AK277">
        <v>10</v>
      </c>
      <c r="AL277" t="s">
        <v>2230</v>
      </c>
      <c r="AM277">
        <v>1</v>
      </c>
      <c r="AN277" t="s">
        <v>2177</v>
      </c>
      <c r="AO277" t="s">
        <v>2177</v>
      </c>
      <c r="AP277" t="s">
        <v>2177</v>
      </c>
      <c r="AQ277">
        <v>104.16</v>
      </c>
      <c r="AR277">
        <v>2</v>
      </c>
      <c r="AS277">
        <v>2</v>
      </c>
      <c r="AT277">
        <v>2</v>
      </c>
      <c r="AU277">
        <v>2</v>
      </c>
      <c r="AV277">
        <v>2</v>
      </c>
      <c r="AW277">
        <v>4.3</v>
      </c>
      <c r="AX277">
        <v>4.5999999999999996</v>
      </c>
      <c r="AY277">
        <v>4.5</v>
      </c>
      <c r="AZ277">
        <v>1</v>
      </c>
      <c r="BA277">
        <v>3</v>
      </c>
      <c r="BB277">
        <v>34</v>
      </c>
      <c r="BC277">
        <v>27</v>
      </c>
      <c r="BD277">
        <v>29.93</v>
      </c>
      <c r="BE277">
        <v>149</v>
      </c>
      <c r="BF277">
        <v>88</v>
      </c>
      <c r="BG277">
        <v>27</v>
      </c>
      <c r="BH277">
        <v>27</v>
      </c>
      <c r="BI277">
        <v>23.56</v>
      </c>
      <c r="BJ277">
        <v>116</v>
      </c>
      <c r="BK277">
        <v>87.3</v>
      </c>
      <c r="BL277">
        <v>343</v>
      </c>
      <c r="BM277">
        <v>11.613799999999999</v>
      </c>
    </row>
    <row r="278" spans="1:65" x14ac:dyDescent="0.25">
      <c r="A278" t="s">
        <v>341</v>
      </c>
      <c r="B278" t="s">
        <v>1387</v>
      </c>
      <c r="C278" t="s">
        <v>2159</v>
      </c>
      <c r="D278" s="1">
        <v>45306</v>
      </c>
      <c r="E278" s="1">
        <v>45340</v>
      </c>
      <c r="F278" s="1">
        <v>45413</v>
      </c>
      <c r="G278" t="s">
        <v>2162</v>
      </c>
      <c r="H278" t="s">
        <v>2168</v>
      </c>
      <c r="I278" t="s">
        <v>2174</v>
      </c>
      <c r="J278">
        <v>10322</v>
      </c>
      <c r="K278">
        <v>310</v>
      </c>
      <c r="L278">
        <v>2.2000000000000002</v>
      </c>
      <c r="M278">
        <v>7.9</v>
      </c>
      <c r="N278">
        <v>1</v>
      </c>
      <c r="O278">
        <v>4602</v>
      </c>
      <c r="P278" t="s">
        <v>2176</v>
      </c>
      <c r="Q278">
        <v>10</v>
      </c>
      <c r="R278">
        <v>14</v>
      </c>
      <c r="S278">
        <v>16</v>
      </c>
      <c r="T278">
        <v>650</v>
      </c>
      <c r="U278" t="s">
        <v>2162</v>
      </c>
      <c r="V278" t="s">
        <v>2168</v>
      </c>
      <c r="W278" t="s">
        <v>2208</v>
      </c>
      <c r="X278" t="s">
        <v>2210</v>
      </c>
      <c r="Y278" t="s">
        <v>2212</v>
      </c>
      <c r="Z278" s="1">
        <v>45397</v>
      </c>
      <c r="AA278" s="1">
        <v>45402</v>
      </c>
      <c r="AB278" t="s">
        <v>2214</v>
      </c>
      <c r="AC278" t="s">
        <v>2209</v>
      </c>
      <c r="AD278" t="s">
        <v>2216</v>
      </c>
      <c r="AE278" t="s">
        <v>2162</v>
      </c>
      <c r="AG278" t="s">
        <v>2220</v>
      </c>
      <c r="AH278">
        <v>40</v>
      </c>
      <c r="AI278">
        <v>57</v>
      </c>
      <c r="AJ278">
        <v>17</v>
      </c>
      <c r="AK278">
        <v>2</v>
      </c>
      <c r="AL278" t="s">
        <v>2228</v>
      </c>
      <c r="AM278">
        <v>0</v>
      </c>
      <c r="AN278" t="s">
        <v>2176</v>
      </c>
      <c r="AO278" t="s">
        <v>2176</v>
      </c>
      <c r="AP278" t="s">
        <v>2176</v>
      </c>
      <c r="AQ278">
        <v>17.38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4.2</v>
      </c>
      <c r="AY278">
        <v>4.2</v>
      </c>
      <c r="AZ278">
        <v>3</v>
      </c>
      <c r="BA278">
        <v>2</v>
      </c>
      <c r="BB278">
        <v>34</v>
      </c>
      <c r="BC278">
        <v>24</v>
      </c>
      <c r="BD278">
        <v>30.5</v>
      </c>
      <c r="BE278">
        <v>136</v>
      </c>
      <c r="BF278">
        <v>89.7</v>
      </c>
      <c r="BG278">
        <v>34</v>
      </c>
      <c r="BH278">
        <v>24</v>
      </c>
      <c r="BI278">
        <v>30.5</v>
      </c>
      <c r="BJ278">
        <v>136</v>
      </c>
      <c r="BK278">
        <v>89.7</v>
      </c>
      <c r="BL278">
        <v>136</v>
      </c>
      <c r="BM278">
        <v>3.1614</v>
      </c>
    </row>
    <row r="279" spans="1:65" x14ac:dyDescent="0.25">
      <c r="A279" t="s">
        <v>342</v>
      </c>
      <c r="B279" t="s">
        <v>1255</v>
      </c>
      <c r="C279" t="s">
        <v>2159</v>
      </c>
      <c r="D279" s="1">
        <v>45334</v>
      </c>
      <c r="E279" s="1">
        <v>45369</v>
      </c>
      <c r="F279" s="1">
        <v>45423</v>
      </c>
      <c r="G279" t="s">
        <v>2166</v>
      </c>
      <c r="H279" t="s">
        <v>2172</v>
      </c>
      <c r="I279" t="s">
        <v>2175</v>
      </c>
      <c r="J279">
        <v>18330</v>
      </c>
      <c r="K279">
        <v>550</v>
      </c>
      <c r="L279">
        <v>16</v>
      </c>
      <c r="M279">
        <v>10.1</v>
      </c>
      <c r="N279">
        <v>8</v>
      </c>
      <c r="O279">
        <v>15243</v>
      </c>
      <c r="P279" t="s">
        <v>2178</v>
      </c>
      <c r="Q279">
        <v>10</v>
      </c>
      <c r="R279">
        <v>14</v>
      </c>
      <c r="S279">
        <v>19</v>
      </c>
      <c r="T279">
        <v>988</v>
      </c>
      <c r="U279" t="s">
        <v>2199</v>
      </c>
      <c r="W279" t="s">
        <v>2209</v>
      </c>
      <c r="X279" t="s">
        <v>2211</v>
      </c>
      <c r="Y279" t="s">
        <v>2213</v>
      </c>
      <c r="Z279" s="1">
        <v>45430</v>
      </c>
      <c r="AA279" s="1">
        <v>45430</v>
      </c>
      <c r="AB279" t="s">
        <v>2215</v>
      </c>
      <c r="AC279" t="s">
        <v>2208</v>
      </c>
      <c r="AD279" t="s">
        <v>2219</v>
      </c>
      <c r="AE279" t="s">
        <v>2164</v>
      </c>
      <c r="AF279" t="s">
        <v>2163</v>
      </c>
      <c r="AG279" t="s">
        <v>2222</v>
      </c>
      <c r="AH279">
        <v>43</v>
      </c>
      <c r="AI279">
        <v>61</v>
      </c>
      <c r="AJ279">
        <v>18</v>
      </c>
      <c r="AK279">
        <v>3</v>
      </c>
      <c r="AL279" t="s">
        <v>2227</v>
      </c>
      <c r="AM279">
        <v>0</v>
      </c>
      <c r="AN279" t="s">
        <v>2175</v>
      </c>
      <c r="AO279" t="s">
        <v>2175</v>
      </c>
      <c r="AP279" t="s">
        <v>2175</v>
      </c>
      <c r="AQ279">
        <v>161.6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4.5</v>
      </c>
      <c r="AX279">
        <v>4.4000000000000004</v>
      </c>
      <c r="AY279">
        <v>4.8</v>
      </c>
      <c r="AZ279">
        <v>3</v>
      </c>
      <c r="BA279">
        <v>0</v>
      </c>
      <c r="BB279">
        <v>30</v>
      </c>
      <c r="BC279">
        <v>26</v>
      </c>
      <c r="BD279">
        <v>26.31</v>
      </c>
      <c r="BE279">
        <v>128</v>
      </c>
      <c r="BF279">
        <v>87.7</v>
      </c>
      <c r="BG279">
        <v>49</v>
      </c>
      <c r="BH279">
        <v>26</v>
      </c>
      <c r="BI279">
        <v>43.12</v>
      </c>
      <c r="BJ279">
        <v>216</v>
      </c>
      <c r="BK279">
        <v>88</v>
      </c>
      <c r="BL279">
        <v>277</v>
      </c>
      <c r="BM279">
        <v>5.5061999999999998</v>
      </c>
    </row>
    <row r="280" spans="1:65" x14ac:dyDescent="0.25">
      <c r="A280" t="s">
        <v>343</v>
      </c>
      <c r="B280" t="s">
        <v>1240</v>
      </c>
      <c r="C280" t="s">
        <v>2158</v>
      </c>
      <c r="D280" s="1">
        <v>45320</v>
      </c>
      <c r="E280" s="1">
        <v>45360</v>
      </c>
      <c r="F280" s="1">
        <v>45422</v>
      </c>
      <c r="G280" t="s">
        <v>2161</v>
      </c>
      <c r="H280" t="s">
        <v>2167</v>
      </c>
      <c r="I280" t="s">
        <v>2176</v>
      </c>
      <c r="J280">
        <v>11809</v>
      </c>
      <c r="K280">
        <v>355</v>
      </c>
      <c r="L280">
        <v>5.7</v>
      </c>
      <c r="M280">
        <v>7.9</v>
      </c>
      <c r="N280">
        <v>3</v>
      </c>
      <c r="O280">
        <v>7323</v>
      </c>
      <c r="P280" t="s">
        <v>2176</v>
      </c>
      <c r="Q280">
        <v>10</v>
      </c>
      <c r="R280">
        <v>14</v>
      </c>
      <c r="S280">
        <v>16</v>
      </c>
      <c r="T280">
        <v>780</v>
      </c>
      <c r="U280" t="s">
        <v>2163</v>
      </c>
      <c r="V280" t="s">
        <v>2169</v>
      </c>
      <c r="W280" t="s">
        <v>2209</v>
      </c>
      <c r="X280" t="s">
        <v>2211</v>
      </c>
      <c r="Y280" t="s">
        <v>2212</v>
      </c>
      <c r="Z280" s="1">
        <v>45417</v>
      </c>
      <c r="AA280" s="1">
        <v>45423</v>
      </c>
      <c r="AB280" t="s">
        <v>2214</v>
      </c>
      <c r="AC280" t="s">
        <v>2209</v>
      </c>
      <c r="AD280" t="s">
        <v>2218</v>
      </c>
      <c r="AE280" t="s">
        <v>2163</v>
      </c>
      <c r="AG280" t="s">
        <v>2221</v>
      </c>
      <c r="AH280">
        <v>40</v>
      </c>
      <c r="AI280">
        <v>57</v>
      </c>
      <c r="AJ280">
        <v>17</v>
      </c>
      <c r="AK280">
        <v>3</v>
      </c>
      <c r="AL280" t="s">
        <v>2227</v>
      </c>
      <c r="AM280">
        <v>0</v>
      </c>
      <c r="AN280" t="s">
        <v>2177</v>
      </c>
      <c r="AO280" t="s">
        <v>2176</v>
      </c>
      <c r="AP280" t="s">
        <v>2177</v>
      </c>
      <c r="AQ280">
        <v>45.03</v>
      </c>
      <c r="AR280">
        <v>1</v>
      </c>
      <c r="AS280">
        <v>2</v>
      </c>
      <c r="AT280">
        <v>1</v>
      </c>
      <c r="AU280">
        <v>2</v>
      </c>
      <c r="AV280">
        <v>1.666666666666667</v>
      </c>
      <c r="AW280">
        <v>4.4000000000000004</v>
      </c>
      <c r="AY280">
        <v>4.3</v>
      </c>
      <c r="AZ280">
        <v>2</v>
      </c>
      <c r="BA280">
        <v>1</v>
      </c>
      <c r="BB280">
        <v>35</v>
      </c>
      <c r="BC280">
        <v>26</v>
      </c>
      <c r="BD280">
        <v>31.08</v>
      </c>
      <c r="BE280">
        <v>149</v>
      </c>
      <c r="BF280">
        <v>88.8</v>
      </c>
      <c r="BG280">
        <v>38</v>
      </c>
      <c r="BH280">
        <v>26</v>
      </c>
      <c r="BI280">
        <v>33.729999999999997</v>
      </c>
      <c r="BJ280">
        <v>164</v>
      </c>
      <c r="BK280">
        <v>88.8</v>
      </c>
      <c r="BL280">
        <v>149</v>
      </c>
      <c r="BM280">
        <v>3.0474999999999999</v>
      </c>
    </row>
    <row r="281" spans="1:65" x14ac:dyDescent="0.25">
      <c r="A281" t="s">
        <v>344</v>
      </c>
      <c r="B281" t="s">
        <v>1388</v>
      </c>
      <c r="C281" t="s">
        <v>2160</v>
      </c>
      <c r="D281" s="1">
        <v>45390</v>
      </c>
      <c r="E281" s="1">
        <v>45434</v>
      </c>
      <c r="F281" s="1">
        <v>45490</v>
      </c>
      <c r="G281" t="s">
        <v>2162</v>
      </c>
      <c r="H281" t="s">
        <v>2168</v>
      </c>
      <c r="I281" t="s">
        <v>2176</v>
      </c>
      <c r="J281">
        <v>9633</v>
      </c>
      <c r="K281">
        <v>289</v>
      </c>
      <c r="L281">
        <v>9.9</v>
      </c>
      <c r="M281">
        <v>10.3</v>
      </c>
      <c r="N281">
        <v>5</v>
      </c>
      <c r="O281">
        <v>6347</v>
      </c>
      <c r="P281" t="s">
        <v>2176</v>
      </c>
      <c r="Q281">
        <v>7</v>
      </c>
      <c r="R281">
        <v>10</v>
      </c>
      <c r="S281">
        <v>13</v>
      </c>
      <c r="T281">
        <v>742</v>
      </c>
      <c r="U281" t="s">
        <v>2187</v>
      </c>
      <c r="W281" t="s">
        <v>2209</v>
      </c>
      <c r="X281" t="s">
        <v>2211</v>
      </c>
      <c r="Y281" t="s">
        <v>2213</v>
      </c>
      <c r="Z281" s="1">
        <v>45480</v>
      </c>
      <c r="AA281" s="1">
        <v>45480</v>
      </c>
      <c r="AB281" t="s">
        <v>2214</v>
      </c>
      <c r="AC281" t="s">
        <v>2209</v>
      </c>
      <c r="AD281" t="s">
        <v>2219</v>
      </c>
      <c r="AE281" t="s">
        <v>2161</v>
      </c>
      <c r="AF281" t="s">
        <v>2162</v>
      </c>
      <c r="AG281" t="s">
        <v>2222</v>
      </c>
      <c r="AH281">
        <v>30</v>
      </c>
      <c r="AI281">
        <v>46</v>
      </c>
      <c r="AJ281">
        <v>16</v>
      </c>
      <c r="AK281">
        <v>5</v>
      </c>
      <c r="AL281" t="s">
        <v>2224</v>
      </c>
      <c r="AM281">
        <v>0</v>
      </c>
      <c r="AN281" t="s">
        <v>2177</v>
      </c>
      <c r="AO281" t="s">
        <v>2177</v>
      </c>
      <c r="AP281" t="s">
        <v>2176</v>
      </c>
      <c r="AQ281">
        <v>101.97</v>
      </c>
      <c r="AR281">
        <v>1</v>
      </c>
      <c r="AS281">
        <v>2</v>
      </c>
      <c r="AT281">
        <v>2</v>
      </c>
      <c r="AU281">
        <v>1</v>
      </c>
      <c r="AV281">
        <v>1.666666666666667</v>
      </c>
      <c r="AW281">
        <v>4.3</v>
      </c>
      <c r="AX281">
        <v>4.2</v>
      </c>
      <c r="AY281">
        <v>4.2</v>
      </c>
      <c r="AZ281">
        <v>0</v>
      </c>
      <c r="BA281">
        <v>1</v>
      </c>
      <c r="BB281">
        <v>33</v>
      </c>
      <c r="BC281">
        <v>27</v>
      </c>
      <c r="BD281">
        <v>28.96</v>
      </c>
      <c r="BE281">
        <v>147</v>
      </c>
      <c r="BF281">
        <v>87.8</v>
      </c>
      <c r="BG281">
        <v>24</v>
      </c>
      <c r="BH281">
        <v>27</v>
      </c>
      <c r="BI281">
        <v>21.44</v>
      </c>
      <c r="BJ281">
        <v>108</v>
      </c>
      <c r="BK281">
        <v>89.3</v>
      </c>
      <c r="BL281">
        <v>255</v>
      </c>
      <c r="BM281">
        <v>2.4264000000000001</v>
      </c>
    </row>
    <row r="282" spans="1:65" x14ac:dyDescent="0.25">
      <c r="A282" t="s">
        <v>345</v>
      </c>
      <c r="B282" t="s">
        <v>1389</v>
      </c>
      <c r="C282" t="s">
        <v>2157</v>
      </c>
      <c r="D282" s="1">
        <v>45397</v>
      </c>
      <c r="E282" s="1">
        <v>45429</v>
      </c>
      <c r="F282" s="1">
        <v>45593</v>
      </c>
      <c r="G282" t="s">
        <v>2161</v>
      </c>
      <c r="H282" t="s">
        <v>2167</v>
      </c>
      <c r="I282" t="s">
        <v>2176</v>
      </c>
      <c r="J282">
        <v>48338</v>
      </c>
      <c r="K282">
        <v>1451</v>
      </c>
      <c r="L282">
        <v>10</v>
      </c>
      <c r="M282">
        <v>11.7</v>
      </c>
      <c r="N282">
        <v>3</v>
      </c>
      <c r="O282">
        <v>5558</v>
      </c>
      <c r="P282" t="s">
        <v>2176</v>
      </c>
      <c r="Q282">
        <v>18</v>
      </c>
      <c r="R282">
        <v>30</v>
      </c>
      <c r="S282">
        <v>78</v>
      </c>
      <c r="T282">
        <v>625</v>
      </c>
      <c r="U282" t="s">
        <v>2188</v>
      </c>
      <c r="W282" t="s">
        <v>2209</v>
      </c>
      <c r="X282" t="s">
        <v>2211</v>
      </c>
      <c r="Y282" t="s">
        <v>2213</v>
      </c>
      <c r="Z282" s="1">
        <v>45587</v>
      </c>
      <c r="AA282" s="1">
        <v>45592</v>
      </c>
      <c r="AB282" t="s">
        <v>2214</v>
      </c>
      <c r="AC282" t="s">
        <v>2209</v>
      </c>
      <c r="AD282" t="s">
        <v>2219</v>
      </c>
      <c r="AE282" t="s">
        <v>2162</v>
      </c>
      <c r="AF282" t="s">
        <v>2165</v>
      </c>
      <c r="AG282" t="s">
        <v>2222</v>
      </c>
      <c r="AH282">
        <v>126</v>
      </c>
      <c r="AI282">
        <v>158</v>
      </c>
      <c r="AJ282">
        <v>32</v>
      </c>
      <c r="AK282">
        <v>5</v>
      </c>
      <c r="AL282" t="s">
        <v>2224</v>
      </c>
      <c r="AM282">
        <v>0</v>
      </c>
      <c r="AN282" t="s">
        <v>2177</v>
      </c>
      <c r="AO282" t="s">
        <v>2176</v>
      </c>
      <c r="AP282" t="s">
        <v>2176</v>
      </c>
      <c r="AQ282">
        <v>117</v>
      </c>
      <c r="AR282">
        <v>1</v>
      </c>
      <c r="AS282">
        <v>2</v>
      </c>
      <c r="AT282">
        <v>1</v>
      </c>
      <c r="AU282">
        <v>1</v>
      </c>
      <c r="AV282">
        <v>1.333333333333333</v>
      </c>
      <c r="AW282">
        <v>4.2</v>
      </c>
      <c r="AX282">
        <v>4.5999999999999996</v>
      </c>
      <c r="AY282">
        <v>4.3</v>
      </c>
      <c r="AZ282">
        <v>1</v>
      </c>
      <c r="BA282">
        <v>1</v>
      </c>
      <c r="BB282">
        <v>24</v>
      </c>
      <c r="BC282">
        <v>27</v>
      </c>
      <c r="BD282">
        <v>21.44</v>
      </c>
      <c r="BE282">
        <v>108</v>
      </c>
      <c r="BF282">
        <v>89.3</v>
      </c>
      <c r="BG282">
        <v>33</v>
      </c>
      <c r="BH282">
        <v>27</v>
      </c>
      <c r="BI282">
        <v>28.96</v>
      </c>
      <c r="BJ282">
        <v>147</v>
      </c>
      <c r="BK282">
        <v>87.8</v>
      </c>
      <c r="BL282">
        <v>266</v>
      </c>
      <c r="BM282">
        <v>16.571100000000001</v>
      </c>
    </row>
    <row r="283" spans="1:65" x14ac:dyDescent="0.25">
      <c r="A283" t="s">
        <v>346</v>
      </c>
      <c r="B283" t="s">
        <v>1254</v>
      </c>
      <c r="C283" t="s">
        <v>2160</v>
      </c>
      <c r="D283" s="1">
        <v>45362</v>
      </c>
      <c r="E283" s="1">
        <v>45399</v>
      </c>
      <c r="F283" s="1">
        <v>45441</v>
      </c>
      <c r="G283" t="s">
        <v>2164</v>
      </c>
      <c r="H283" t="s">
        <v>2170</v>
      </c>
      <c r="I283" t="s">
        <v>2173</v>
      </c>
      <c r="J283">
        <v>6280</v>
      </c>
      <c r="K283">
        <v>189</v>
      </c>
      <c r="L283">
        <v>10.5</v>
      </c>
      <c r="M283">
        <v>9.1999999999999993</v>
      </c>
      <c r="N283">
        <v>6</v>
      </c>
      <c r="O283">
        <v>7211</v>
      </c>
      <c r="P283" t="s">
        <v>2177</v>
      </c>
      <c r="Q283">
        <v>7</v>
      </c>
      <c r="R283">
        <v>10</v>
      </c>
      <c r="S283">
        <v>10</v>
      </c>
      <c r="T283">
        <v>668</v>
      </c>
      <c r="U283" t="s">
        <v>2201</v>
      </c>
      <c r="W283" t="s">
        <v>2209</v>
      </c>
      <c r="X283" t="s">
        <v>2211</v>
      </c>
      <c r="Y283" t="s">
        <v>2213</v>
      </c>
      <c r="Z283" s="1">
        <v>45441</v>
      </c>
      <c r="AA283" s="1">
        <v>45445</v>
      </c>
      <c r="AB283" t="s">
        <v>2214</v>
      </c>
      <c r="AC283" t="s">
        <v>2209</v>
      </c>
      <c r="AD283" t="s">
        <v>2219</v>
      </c>
      <c r="AE283" t="s">
        <v>2165</v>
      </c>
      <c r="AF283" t="s">
        <v>2161</v>
      </c>
      <c r="AG283" t="s">
        <v>2222</v>
      </c>
      <c r="AH283">
        <v>27</v>
      </c>
      <c r="AI283">
        <v>42</v>
      </c>
      <c r="AJ283">
        <v>15</v>
      </c>
      <c r="AK283">
        <v>4</v>
      </c>
      <c r="AL283" t="s">
        <v>2225</v>
      </c>
      <c r="AM283">
        <v>0</v>
      </c>
      <c r="AN283" t="s">
        <v>2177</v>
      </c>
      <c r="AO283" t="s">
        <v>2177</v>
      </c>
      <c r="AP283" t="s">
        <v>2177</v>
      </c>
      <c r="AQ283">
        <v>96.6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4.5999999999999996</v>
      </c>
      <c r="AX283">
        <v>4.3</v>
      </c>
      <c r="AY283">
        <v>4.5</v>
      </c>
      <c r="AZ283">
        <v>0</v>
      </c>
      <c r="BA283">
        <v>3</v>
      </c>
      <c r="BB283">
        <v>46</v>
      </c>
      <c r="BC283">
        <v>26</v>
      </c>
      <c r="BD283">
        <v>40.729999999999997</v>
      </c>
      <c r="BE283">
        <v>203</v>
      </c>
      <c r="BF283">
        <v>88.5</v>
      </c>
      <c r="BG283">
        <v>30</v>
      </c>
      <c r="BH283">
        <v>26</v>
      </c>
      <c r="BI283">
        <v>26.42</v>
      </c>
      <c r="BJ283">
        <v>126</v>
      </c>
      <c r="BK283">
        <v>88.1</v>
      </c>
      <c r="BL283">
        <v>341</v>
      </c>
      <c r="BM283">
        <v>1.1896</v>
      </c>
    </row>
    <row r="284" spans="1:65" x14ac:dyDescent="0.25">
      <c r="A284" t="s">
        <v>347</v>
      </c>
      <c r="B284" t="s">
        <v>1390</v>
      </c>
      <c r="C284" t="s">
        <v>2158</v>
      </c>
      <c r="D284" s="1">
        <v>45439</v>
      </c>
      <c r="E284" s="1">
        <v>45475</v>
      </c>
      <c r="F284" s="1">
        <v>45532</v>
      </c>
      <c r="G284" t="s">
        <v>2161</v>
      </c>
      <c r="H284" t="s">
        <v>2167</v>
      </c>
      <c r="I284" t="s">
        <v>2174</v>
      </c>
      <c r="J284">
        <v>7697</v>
      </c>
      <c r="K284">
        <v>231</v>
      </c>
      <c r="L284">
        <v>3.7</v>
      </c>
      <c r="M284">
        <v>4.0999999999999996</v>
      </c>
      <c r="N284">
        <v>2</v>
      </c>
      <c r="O284">
        <v>2365</v>
      </c>
      <c r="P284" t="s">
        <v>2176</v>
      </c>
      <c r="Q284">
        <v>7</v>
      </c>
      <c r="R284">
        <v>10</v>
      </c>
      <c r="S284">
        <v>12</v>
      </c>
      <c r="T284">
        <v>652</v>
      </c>
      <c r="U284" t="s">
        <v>2182</v>
      </c>
      <c r="W284" t="s">
        <v>2209</v>
      </c>
      <c r="X284" t="s">
        <v>2211</v>
      </c>
      <c r="Y284" t="s">
        <v>2213</v>
      </c>
      <c r="Z284" s="1">
        <v>45519</v>
      </c>
      <c r="AA284" s="1">
        <v>45522</v>
      </c>
      <c r="AB284" t="s">
        <v>2214</v>
      </c>
      <c r="AC284" t="s">
        <v>2209</v>
      </c>
      <c r="AD284" t="s">
        <v>2219</v>
      </c>
      <c r="AE284" t="s">
        <v>2166</v>
      </c>
      <c r="AF284" t="s">
        <v>2162</v>
      </c>
      <c r="AG284" t="s">
        <v>2222</v>
      </c>
      <c r="AH284">
        <v>29</v>
      </c>
      <c r="AI284">
        <v>44</v>
      </c>
      <c r="AJ284">
        <v>15</v>
      </c>
      <c r="AK284">
        <v>7</v>
      </c>
      <c r="AL284" t="s">
        <v>2226</v>
      </c>
      <c r="AM284">
        <v>0</v>
      </c>
      <c r="AN284" t="s">
        <v>2176</v>
      </c>
      <c r="AO284" t="s">
        <v>2176</v>
      </c>
      <c r="AP284" t="s">
        <v>2176</v>
      </c>
      <c r="AQ284">
        <v>15.17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4.8</v>
      </c>
      <c r="AX284">
        <v>4.2</v>
      </c>
      <c r="AY284">
        <v>4.3</v>
      </c>
      <c r="AZ284">
        <v>2</v>
      </c>
      <c r="BA284">
        <v>2</v>
      </c>
      <c r="BB284">
        <v>48</v>
      </c>
      <c r="BC284">
        <v>27</v>
      </c>
      <c r="BD284">
        <v>42.33</v>
      </c>
      <c r="BE284">
        <v>216</v>
      </c>
      <c r="BF284">
        <v>88.2</v>
      </c>
      <c r="BG284">
        <v>28</v>
      </c>
      <c r="BH284">
        <v>27</v>
      </c>
      <c r="BI284">
        <v>25.26</v>
      </c>
      <c r="BJ284">
        <v>129</v>
      </c>
      <c r="BK284">
        <v>90.2</v>
      </c>
      <c r="BL284">
        <v>349</v>
      </c>
      <c r="BM284">
        <v>1.3196000000000001</v>
      </c>
    </row>
    <row r="285" spans="1:65" x14ac:dyDescent="0.25">
      <c r="A285" t="s">
        <v>348</v>
      </c>
      <c r="B285" t="s">
        <v>1203</v>
      </c>
      <c r="C285" t="s">
        <v>2160</v>
      </c>
      <c r="D285" s="1">
        <v>45341</v>
      </c>
      <c r="E285" s="1">
        <v>45382</v>
      </c>
      <c r="F285" s="1">
        <v>45426</v>
      </c>
      <c r="G285" t="s">
        <v>2161</v>
      </c>
      <c r="H285" t="s">
        <v>2167</v>
      </c>
      <c r="I285" t="s">
        <v>2174</v>
      </c>
      <c r="J285">
        <v>4825</v>
      </c>
      <c r="K285">
        <v>145</v>
      </c>
      <c r="L285">
        <v>2.2000000000000002</v>
      </c>
      <c r="M285">
        <v>4.0999999999999996</v>
      </c>
      <c r="N285">
        <v>4</v>
      </c>
      <c r="O285">
        <v>1448</v>
      </c>
      <c r="P285" t="s">
        <v>2176</v>
      </c>
      <c r="Q285">
        <v>5</v>
      </c>
      <c r="R285">
        <v>8</v>
      </c>
      <c r="S285">
        <v>9</v>
      </c>
      <c r="T285">
        <v>602</v>
      </c>
      <c r="U285" t="s">
        <v>2190</v>
      </c>
      <c r="W285" t="s">
        <v>2209</v>
      </c>
      <c r="X285" t="s">
        <v>2211</v>
      </c>
      <c r="Y285" t="s">
        <v>2213</v>
      </c>
      <c r="Z285" s="1">
        <v>45418</v>
      </c>
      <c r="AA285" s="1">
        <v>45423</v>
      </c>
      <c r="AB285" t="s">
        <v>2214</v>
      </c>
      <c r="AC285" t="s">
        <v>2209</v>
      </c>
      <c r="AD285" t="s">
        <v>2219</v>
      </c>
      <c r="AE285" t="s">
        <v>2164</v>
      </c>
      <c r="AF285" t="s">
        <v>2166</v>
      </c>
      <c r="AG285" t="s">
        <v>2222</v>
      </c>
      <c r="AH285">
        <v>22</v>
      </c>
      <c r="AI285">
        <v>36</v>
      </c>
      <c r="AJ285">
        <v>14</v>
      </c>
      <c r="AK285">
        <v>3</v>
      </c>
      <c r="AL285" t="s">
        <v>2227</v>
      </c>
      <c r="AM285">
        <v>0</v>
      </c>
      <c r="AN285" t="s">
        <v>2176</v>
      </c>
      <c r="AO285" t="s">
        <v>2177</v>
      </c>
      <c r="AP285" t="s">
        <v>2176</v>
      </c>
      <c r="AQ285">
        <v>9.02</v>
      </c>
      <c r="AR285">
        <v>1</v>
      </c>
      <c r="AS285">
        <v>1</v>
      </c>
      <c r="AT285">
        <v>2</v>
      </c>
      <c r="AU285">
        <v>1</v>
      </c>
      <c r="AV285">
        <v>1.333333333333333</v>
      </c>
      <c r="AW285">
        <v>4.5</v>
      </c>
      <c r="AX285">
        <v>4.8</v>
      </c>
      <c r="AY285">
        <v>4.3</v>
      </c>
      <c r="AZ285">
        <v>0</v>
      </c>
      <c r="BA285">
        <v>2</v>
      </c>
      <c r="BB285">
        <v>30</v>
      </c>
      <c r="BC285">
        <v>26</v>
      </c>
      <c r="BD285">
        <v>26.31</v>
      </c>
      <c r="BE285">
        <v>128</v>
      </c>
      <c r="BF285">
        <v>87.7</v>
      </c>
      <c r="BG285">
        <v>38</v>
      </c>
      <c r="BH285">
        <v>26</v>
      </c>
      <c r="BI285">
        <v>33.729999999999997</v>
      </c>
      <c r="BJ285">
        <v>164</v>
      </c>
      <c r="BK285">
        <v>88.8</v>
      </c>
      <c r="BL285">
        <v>344</v>
      </c>
      <c r="BM285">
        <v>1.4494</v>
      </c>
    </row>
    <row r="286" spans="1:65" x14ac:dyDescent="0.25">
      <c r="A286" t="s">
        <v>349</v>
      </c>
      <c r="B286" t="s">
        <v>1317</v>
      </c>
      <c r="C286" t="s">
        <v>2159</v>
      </c>
      <c r="D286" s="1">
        <v>45397</v>
      </c>
      <c r="E286" s="1">
        <v>45427</v>
      </c>
      <c r="F286" s="1">
        <v>45522</v>
      </c>
      <c r="G286" t="s">
        <v>2165</v>
      </c>
      <c r="H286" t="s">
        <v>2171</v>
      </c>
      <c r="I286" t="s">
        <v>2174</v>
      </c>
      <c r="J286">
        <v>19018</v>
      </c>
      <c r="K286">
        <v>571</v>
      </c>
      <c r="L286">
        <v>6.3</v>
      </c>
      <c r="M286">
        <v>5.9</v>
      </c>
      <c r="N286">
        <v>1</v>
      </c>
      <c r="O286">
        <v>1446</v>
      </c>
      <c r="P286" t="s">
        <v>2176</v>
      </c>
      <c r="Q286">
        <v>10</v>
      </c>
      <c r="R286">
        <v>14</v>
      </c>
      <c r="S286">
        <v>35</v>
      </c>
      <c r="T286">
        <v>546</v>
      </c>
      <c r="U286" t="s">
        <v>2179</v>
      </c>
      <c r="W286" t="s">
        <v>2209</v>
      </c>
      <c r="X286" t="s">
        <v>2211</v>
      </c>
      <c r="Y286" t="s">
        <v>2213</v>
      </c>
      <c r="Z286" s="1">
        <v>45506</v>
      </c>
      <c r="AA286" s="1">
        <v>45508</v>
      </c>
      <c r="AB286" t="s">
        <v>2214</v>
      </c>
      <c r="AC286" t="s">
        <v>2209</v>
      </c>
      <c r="AD286" t="s">
        <v>2219</v>
      </c>
      <c r="AE286" t="s">
        <v>2165</v>
      </c>
      <c r="AF286" t="s">
        <v>2162</v>
      </c>
      <c r="AG286" t="s">
        <v>2222</v>
      </c>
      <c r="AH286">
        <v>59</v>
      </c>
      <c r="AI286">
        <v>79</v>
      </c>
      <c r="AJ286">
        <v>20</v>
      </c>
      <c r="AK286">
        <v>5</v>
      </c>
      <c r="AL286" t="s">
        <v>2224</v>
      </c>
      <c r="AM286">
        <v>0</v>
      </c>
      <c r="AN286" t="s">
        <v>2177</v>
      </c>
      <c r="AO286" t="s">
        <v>2176</v>
      </c>
      <c r="AP286" t="s">
        <v>2176</v>
      </c>
      <c r="AQ286">
        <v>37.17</v>
      </c>
      <c r="AR286">
        <v>1</v>
      </c>
      <c r="AS286">
        <v>2</v>
      </c>
      <c r="AT286">
        <v>1</v>
      </c>
      <c r="AU286">
        <v>1</v>
      </c>
      <c r="AV286">
        <v>1.333333333333333</v>
      </c>
      <c r="AW286">
        <v>4.5999999999999996</v>
      </c>
      <c r="AX286">
        <v>4.2</v>
      </c>
      <c r="AY286">
        <v>4.5999999999999996</v>
      </c>
      <c r="AZ286">
        <v>3</v>
      </c>
      <c r="BA286">
        <v>2</v>
      </c>
      <c r="BB286">
        <v>36</v>
      </c>
      <c r="BC286">
        <v>27</v>
      </c>
      <c r="BD286">
        <v>31.37</v>
      </c>
      <c r="BE286">
        <v>158</v>
      </c>
      <c r="BF286">
        <v>87.1</v>
      </c>
      <c r="BG286">
        <v>36</v>
      </c>
      <c r="BH286">
        <v>27</v>
      </c>
      <c r="BI286">
        <v>31.37</v>
      </c>
      <c r="BJ286">
        <v>158</v>
      </c>
      <c r="BK286">
        <v>87.1</v>
      </c>
      <c r="BL286">
        <v>266</v>
      </c>
      <c r="BM286">
        <v>4.4569999999999999</v>
      </c>
    </row>
    <row r="287" spans="1:65" x14ac:dyDescent="0.25">
      <c r="A287" t="s">
        <v>350</v>
      </c>
      <c r="B287" t="s">
        <v>1193</v>
      </c>
      <c r="C287" t="s">
        <v>2157</v>
      </c>
      <c r="D287" s="1">
        <v>45397</v>
      </c>
      <c r="E287" s="1">
        <v>45429</v>
      </c>
      <c r="F287" s="1">
        <v>45584</v>
      </c>
      <c r="G287" t="s">
        <v>2165</v>
      </c>
      <c r="H287" t="s">
        <v>2171</v>
      </c>
      <c r="I287" t="s">
        <v>2174</v>
      </c>
      <c r="J287">
        <v>44891</v>
      </c>
      <c r="K287">
        <v>1347</v>
      </c>
      <c r="L287">
        <v>6.1</v>
      </c>
      <c r="M287">
        <v>6.7</v>
      </c>
      <c r="N287">
        <v>2</v>
      </c>
      <c r="O287">
        <v>6300</v>
      </c>
      <c r="P287" t="s">
        <v>2176</v>
      </c>
      <c r="Q287">
        <v>18</v>
      </c>
      <c r="R287">
        <v>30</v>
      </c>
      <c r="S287">
        <v>69</v>
      </c>
      <c r="T287">
        <v>657</v>
      </c>
      <c r="U287" t="s">
        <v>2188</v>
      </c>
      <c r="W287" t="s">
        <v>2209</v>
      </c>
      <c r="X287" t="s">
        <v>2211</v>
      </c>
      <c r="Y287" t="s">
        <v>2213</v>
      </c>
      <c r="Z287" s="1">
        <v>45576</v>
      </c>
      <c r="AA287" s="1">
        <v>45578</v>
      </c>
      <c r="AB287" t="s">
        <v>2214</v>
      </c>
      <c r="AC287" t="s">
        <v>2209</v>
      </c>
      <c r="AD287" t="s">
        <v>2219</v>
      </c>
      <c r="AE287" t="s">
        <v>2162</v>
      </c>
      <c r="AF287" t="s">
        <v>2165</v>
      </c>
      <c r="AG287" t="s">
        <v>2222</v>
      </c>
      <c r="AH287">
        <v>117</v>
      </c>
      <c r="AI287">
        <v>147</v>
      </c>
      <c r="AJ287">
        <v>30</v>
      </c>
      <c r="AK287">
        <v>5</v>
      </c>
      <c r="AL287" t="s">
        <v>2224</v>
      </c>
      <c r="AM287">
        <v>0</v>
      </c>
      <c r="AN287" t="s">
        <v>2177</v>
      </c>
      <c r="AO287" t="s">
        <v>2176</v>
      </c>
      <c r="AP287" t="s">
        <v>2176</v>
      </c>
      <c r="AQ287">
        <v>40.869999999999997</v>
      </c>
      <c r="AR287">
        <v>1</v>
      </c>
      <c r="AS287">
        <v>2</v>
      </c>
      <c r="AT287">
        <v>1</v>
      </c>
      <c r="AU287">
        <v>1</v>
      </c>
      <c r="AV287">
        <v>1.333333333333333</v>
      </c>
      <c r="AW287">
        <v>4.2</v>
      </c>
      <c r="AX287">
        <v>4.5999999999999996</v>
      </c>
      <c r="AY287">
        <v>4.5999999999999996</v>
      </c>
      <c r="AZ287">
        <v>1</v>
      </c>
      <c r="BA287">
        <v>2</v>
      </c>
      <c r="BB287">
        <v>24</v>
      </c>
      <c r="BC287">
        <v>27</v>
      </c>
      <c r="BD287">
        <v>21.44</v>
      </c>
      <c r="BE287">
        <v>108</v>
      </c>
      <c r="BF287">
        <v>89.3</v>
      </c>
      <c r="BG287">
        <v>36</v>
      </c>
      <c r="BH287">
        <v>27</v>
      </c>
      <c r="BI287">
        <v>31.37</v>
      </c>
      <c r="BJ287">
        <v>158</v>
      </c>
      <c r="BK287">
        <v>87.1</v>
      </c>
      <c r="BL287">
        <v>266</v>
      </c>
      <c r="BM287">
        <v>15.3894</v>
      </c>
    </row>
    <row r="288" spans="1:65" x14ac:dyDescent="0.25">
      <c r="A288" t="s">
        <v>351</v>
      </c>
      <c r="B288" t="s">
        <v>1391</v>
      </c>
      <c r="C288" t="s">
        <v>2160</v>
      </c>
      <c r="D288" s="1">
        <v>45313</v>
      </c>
      <c r="E288" s="1">
        <v>45358</v>
      </c>
      <c r="F288" s="1">
        <v>45396</v>
      </c>
      <c r="G288" t="s">
        <v>2163</v>
      </c>
      <c r="H288" t="s">
        <v>2169</v>
      </c>
      <c r="I288" t="s">
        <v>2175</v>
      </c>
      <c r="J288">
        <v>6035</v>
      </c>
      <c r="K288">
        <v>182</v>
      </c>
      <c r="L288">
        <v>16.3</v>
      </c>
      <c r="M288">
        <v>14.6</v>
      </c>
      <c r="N288">
        <v>8</v>
      </c>
      <c r="O288">
        <v>14334</v>
      </c>
      <c r="P288" t="s">
        <v>2178</v>
      </c>
      <c r="Q288">
        <v>7</v>
      </c>
      <c r="R288">
        <v>10</v>
      </c>
      <c r="S288">
        <v>8</v>
      </c>
      <c r="T288">
        <v>826</v>
      </c>
      <c r="U288" t="s">
        <v>2166</v>
      </c>
      <c r="V288" t="s">
        <v>2172</v>
      </c>
      <c r="W288" t="s">
        <v>2209</v>
      </c>
      <c r="X288" t="s">
        <v>2211</v>
      </c>
      <c r="Y288" t="s">
        <v>2212</v>
      </c>
      <c r="Z288" s="1">
        <v>45398</v>
      </c>
      <c r="AA288" s="1">
        <v>45402</v>
      </c>
      <c r="AB288" t="s">
        <v>2215</v>
      </c>
      <c r="AC288" t="s">
        <v>2208</v>
      </c>
      <c r="AD288" t="s">
        <v>2218</v>
      </c>
      <c r="AE288" t="s">
        <v>2166</v>
      </c>
      <c r="AG288" t="s">
        <v>2221</v>
      </c>
      <c r="AH288">
        <v>25</v>
      </c>
      <c r="AI288">
        <v>40</v>
      </c>
      <c r="AJ288">
        <v>15</v>
      </c>
      <c r="AK288">
        <v>3</v>
      </c>
      <c r="AL288" t="s">
        <v>2227</v>
      </c>
      <c r="AM288">
        <v>0</v>
      </c>
      <c r="AN288" t="s">
        <v>2175</v>
      </c>
      <c r="AO288" t="s">
        <v>2175</v>
      </c>
      <c r="AP288" t="s">
        <v>2177</v>
      </c>
      <c r="AQ288">
        <v>237.98</v>
      </c>
      <c r="AR288">
        <v>3</v>
      </c>
      <c r="AS288">
        <v>3</v>
      </c>
      <c r="AT288">
        <v>3</v>
      </c>
      <c r="AU288">
        <v>2</v>
      </c>
      <c r="AV288">
        <v>2.666666666666667</v>
      </c>
      <c r="AW288">
        <v>4.8</v>
      </c>
      <c r="AY288">
        <v>4.4000000000000004</v>
      </c>
      <c r="AZ288">
        <v>0</v>
      </c>
      <c r="BA288">
        <v>0</v>
      </c>
      <c r="BB288">
        <v>49</v>
      </c>
      <c r="BC288">
        <v>26</v>
      </c>
      <c r="BD288">
        <v>43.12</v>
      </c>
      <c r="BE288">
        <v>216</v>
      </c>
      <c r="BF288">
        <v>88</v>
      </c>
      <c r="BG288">
        <v>35</v>
      </c>
      <c r="BH288">
        <v>26</v>
      </c>
      <c r="BI288">
        <v>31.08</v>
      </c>
      <c r="BJ288">
        <v>149</v>
      </c>
      <c r="BK288">
        <v>88.8</v>
      </c>
      <c r="BL288">
        <v>216</v>
      </c>
      <c r="BM288">
        <v>1.0744</v>
      </c>
    </row>
    <row r="289" spans="1:65" x14ac:dyDescent="0.25">
      <c r="A289" t="s">
        <v>352</v>
      </c>
      <c r="B289" t="s">
        <v>1392</v>
      </c>
      <c r="C289" t="s">
        <v>2159</v>
      </c>
      <c r="D289" s="1">
        <v>45411</v>
      </c>
      <c r="E289" s="1">
        <v>45443</v>
      </c>
      <c r="F289" s="1">
        <v>45517</v>
      </c>
      <c r="G289" t="s">
        <v>2162</v>
      </c>
      <c r="H289" t="s">
        <v>2168</v>
      </c>
      <c r="I289" t="s">
        <v>2173</v>
      </c>
      <c r="J289">
        <v>18845</v>
      </c>
      <c r="K289">
        <v>566</v>
      </c>
      <c r="L289">
        <v>7.8</v>
      </c>
      <c r="M289">
        <v>8.1</v>
      </c>
      <c r="N289">
        <v>4</v>
      </c>
      <c r="O289">
        <v>11412</v>
      </c>
      <c r="P289" t="s">
        <v>2176</v>
      </c>
      <c r="Q289">
        <v>10</v>
      </c>
      <c r="R289">
        <v>14</v>
      </c>
      <c r="S289">
        <v>26</v>
      </c>
      <c r="T289">
        <v>740</v>
      </c>
      <c r="U289" t="s">
        <v>2189</v>
      </c>
      <c r="W289" t="s">
        <v>2209</v>
      </c>
      <c r="X289" t="s">
        <v>2211</v>
      </c>
      <c r="Y289" t="s">
        <v>2213</v>
      </c>
      <c r="Z289" s="1">
        <v>45512</v>
      </c>
      <c r="AA289" s="1">
        <v>45515</v>
      </c>
      <c r="AB289" t="s">
        <v>2214</v>
      </c>
      <c r="AC289" t="s">
        <v>2209</v>
      </c>
      <c r="AD289" t="s">
        <v>2219</v>
      </c>
      <c r="AE289" t="s">
        <v>2165</v>
      </c>
      <c r="AF289" t="s">
        <v>2166</v>
      </c>
      <c r="AG289" t="s">
        <v>2222</v>
      </c>
      <c r="AH289">
        <v>50</v>
      </c>
      <c r="AI289">
        <v>69</v>
      </c>
      <c r="AJ289">
        <v>19</v>
      </c>
      <c r="AK289">
        <v>5</v>
      </c>
      <c r="AL289" t="s">
        <v>2224</v>
      </c>
      <c r="AM289">
        <v>0</v>
      </c>
      <c r="AN289" t="s">
        <v>2177</v>
      </c>
      <c r="AO289" t="s">
        <v>2177</v>
      </c>
      <c r="AP289" t="s">
        <v>2177</v>
      </c>
      <c r="AQ289">
        <v>63.179999999999993</v>
      </c>
      <c r="AR289">
        <v>1</v>
      </c>
      <c r="AS289">
        <v>2</v>
      </c>
      <c r="AT289">
        <v>2</v>
      </c>
      <c r="AU289">
        <v>2</v>
      </c>
      <c r="AV289">
        <v>2</v>
      </c>
      <c r="AW289">
        <v>4.5999999999999996</v>
      </c>
      <c r="AX289">
        <v>4.8</v>
      </c>
      <c r="AY289">
        <v>4.2</v>
      </c>
      <c r="AZ289">
        <v>3</v>
      </c>
      <c r="BA289">
        <v>3</v>
      </c>
      <c r="BB289">
        <v>36</v>
      </c>
      <c r="BC289">
        <v>27</v>
      </c>
      <c r="BD289">
        <v>31.37</v>
      </c>
      <c r="BE289">
        <v>158</v>
      </c>
      <c r="BF289">
        <v>87.1</v>
      </c>
      <c r="BG289">
        <v>24</v>
      </c>
      <c r="BH289">
        <v>27</v>
      </c>
      <c r="BI289">
        <v>21.44</v>
      </c>
      <c r="BJ289">
        <v>108</v>
      </c>
      <c r="BK289">
        <v>89.3</v>
      </c>
      <c r="BL289">
        <v>351</v>
      </c>
      <c r="BM289">
        <v>4.4165000000000001</v>
      </c>
    </row>
    <row r="290" spans="1:65" x14ac:dyDescent="0.25">
      <c r="A290" t="s">
        <v>353</v>
      </c>
      <c r="B290" t="s">
        <v>1313</v>
      </c>
      <c r="C290" t="s">
        <v>2159</v>
      </c>
      <c r="D290" s="1">
        <v>45446</v>
      </c>
      <c r="E290" s="1">
        <v>45481</v>
      </c>
      <c r="F290" s="1">
        <v>45557</v>
      </c>
      <c r="G290" t="s">
        <v>2162</v>
      </c>
      <c r="H290" t="s">
        <v>2168</v>
      </c>
      <c r="I290" t="s">
        <v>2174</v>
      </c>
      <c r="J290">
        <v>11483</v>
      </c>
      <c r="K290">
        <v>345</v>
      </c>
      <c r="L290">
        <v>6.5</v>
      </c>
      <c r="M290">
        <v>5.4</v>
      </c>
      <c r="N290">
        <v>2</v>
      </c>
      <c r="O290">
        <v>2603</v>
      </c>
      <c r="P290" t="s">
        <v>2176</v>
      </c>
      <c r="Q290">
        <v>10</v>
      </c>
      <c r="R290">
        <v>14</v>
      </c>
      <c r="S290">
        <v>18</v>
      </c>
      <c r="T290">
        <v>654</v>
      </c>
      <c r="U290" t="s">
        <v>2189</v>
      </c>
      <c r="W290" t="s">
        <v>2209</v>
      </c>
      <c r="X290" t="s">
        <v>2211</v>
      </c>
      <c r="Y290" t="s">
        <v>2213</v>
      </c>
      <c r="Z290" s="1">
        <v>45540</v>
      </c>
      <c r="AA290" s="1">
        <v>45543</v>
      </c>
      <c r="AB290" t="s">
        <v>2214</v>
      </c>
      <c r="AC290" t="s">
        <v>2209</v>
      </c>
      <c r="AD290" t="s">
        <v>2219</v>
      </c>
      <c r="AE290" t="s">
        <v>2165</v>
      </c>
      <c r="AF290" t="s">
        <v>2166</v>
      </c>
      <c r="AG290" t="s">
        <v>2222</v>
      </c>
      <c r="AH290">
        <v>42</v>
      </c>
      <c r="AI290">
        <v>59</v>
      </c>
      <c r="AJ290">
        <v>17</v>
      </c>
      <c r="AK290">
        <v>7</v>
      </c>
      <c r="AL290" t="s">
        <v>2226</v>
      </c>
      <c r="AM290">
        <v>0</v>
      </c>
      <c r="AN290" t="s">
        <v>2177</v>
      </c>
      <c r="AO290" t="s">
        <v>2176</v>
      </c>
      <c r="AP290" t="s">
        <v>2176</v>
      </c>
      <c r="AQ290">
        <v>35.1</v>
      </c>
      <c r="AR290">
        <v>1</v>
      </c>
      <c r="AS290">
        <v>2</v>
      </c>
      <c r="AT290">
        <v>1</v>
      </c>
      <c r="AU290">
        <v>1</v>
      </c>
      <c r="AV290">
        <v>1.333333333333333</v>
      </c>
      <c r="AW290">
        <v>4.5999999999999996</v>
      </c>
      <c r="AX290">
        <v>4.8</v>
      </c>
      <c r="AY290">
        <v>4.2</v>
      </c>
      <c r="AZ290">
        <v>3</v>
      </c>
      <c r="BA290">
        <v>2</v>
      </c>
      <c r="BB290">
        <v>38</v>
      </c>
      <c r="BC290">
        <v>27</v>
      </c>
      <c r="BD290">
        <v>34</v>
      </c>
      <c r="BE290">
        <v>174</v>
      </c>
      <c r="BF290">
        <v>89.5</v>
      </c>
      <c r="BG290">
        <v>30</v>
      </c>
      <c r="BH290">
        <v>27</v>
      </c>
      <c r="BI290">
        <v>26.15</v>
      </c>
      <c r="BJ290">
        <v>133</v>
      </c>
      <c r="BK290">
        <v>87.2</v>
      </c>
      <c r="BL290">
        <v>390</v>
      </c>
      <c r="BM290">
        <v>2.4437000000000002</v>
      </c>
    </row>
    <row r="291" spans="1:65" x14ac:dyDescent="0.25">
      <c r="A291" t="s">
        <v>354</v>
      </c>
      <c r="B291" t="s">
        <v>1393</v>
      </c>
      <c r="C291" t="s">
        <v>2159</v>
      </c>
      <c r="D291" s="1">
        <v>45306</v>
      </c>
      <c r="E291" s="1">
        <v>45345</v>
      </c>
      <c r="F291" s="1">
        <v>45420</v>
      </c>
      <c r="G291" t="s">
        <v>2161</v>
      </c>
      <c r="H291" t="s">
        <v>2167</v>
      </c>
      <c r="I291" t="s">
        <v>2176</v>
      </c>
      <c r="J291">
        <v>14711</v>
      </c>
      <c r="K291">
        <v>442</v>
      </c>
      <c r="L291">
        <v>10.5</v>
      </c>
      <c r="M291">
        <v>6</v>
      </c>
      <c r="N291">
        <v>3</v>
      </c>
      <c r="O291">
        <v>6542</v>
      </c>
      <c r="P291" t="s">
        <v>2176</v>
      </c>
      <c r="Q291">
        <v>10</v>
      </c>
      <c r="R291">
        <v>14</v>
      </c>
      <c r="S291">
        <v>22</v>
      </c>
      <c r="T291">
        <v>682</v>
      </c>
      <c r="U291" t="s">
        <v>2161</v>
      </c>
      <c r="V291" t="s">
        <v>2167</v>
      </c>
      <c r="W291" t="s">
        <v>2208</v>
      </c>
      <c r="X291" t="s">
        <v>2210</v>
      </c>
      <c r="Y291" t="s">
        <v>2212</v>
      </c>
      <c r="Z291" s="1">
        <v>45410</v>
      </c>
      <c r="AA291" s="1">
        <v>45416</v>
      </c>
      <c r="AB291" t="s">
        <v>2214</v>
      </c>
      <c r="AC291" t="s">
        <v>2209</v>
      </c>
      <c r="AD291" t="s">
        <v>2216</v>
      </c>
      <c r="AE291" t="s">
        <v>2161</v>
      </c>
      <c r="AG291" t="s">
        <v>2220</v>
      </c>
      <c r="AH291">
        <v>46</v>
      </c>
      <c r="AI291">
        <v>65</v>
      </c>
      <c r="AJ291">
        <v>19</v>
      </c>
      <c r="AK291">
        <v>2</v>
      </c>
      <c r="AL291" t="s">
        <v>2228</v>
      </c>
      <c r="AM291">
        <v>0</v>
      </c>
      <c r="AN291" t="s">
        <v>2177</v>
      </c>
      <c r="AO291" t="s">
        <v>2176</v>
      </c>
      <c r="AP291" t="s">
        <v>2176</v>
      </c>
      <c r="AQ291">
        <v>63</v>
      </c>
      <c r="AR291">
        <v>1</v>
      </c>
      <c r="AS291">
        <v>2</v>
      </c>
      <c r="AT291">
        <v>1</v>
      </c>
      <c r="AU291">
        <v>1</v>
      </c>
      <c r="AV291">
        <v>1.333333333333333</v>
      </c>
      <c r="AW291">
        <v>4.3</v>
      </c>
      <c r="AY291">
        <v>4.3</v>
      </c>
      <c r="AZ291">
        <v>3</v>
      </c>
      <c r="BA291">
        <v>1</v>
      </c>
      <c r="BB291">
        <v>34</v>
      </c>
      <c r="BC291">
        <v>24</v>
      </c>
      <c r="BD291">
        <v>29.92</v>
      </c>
      <c r="BE291">
        <v>134</v>
      </c>
      <c r="BF291">
        <v>88</v>
      </c>
      <c r="BG291">
        <v>34</v>
      </c>
      <c r="BH291">
        <v>24</v>
      </c>
      <c r="BI291">
        <v>29.92</v>
      </c>
      <c r="BJ291">
        <v>134</v>
      </c>
      <c r="BK291">
        <v>88</v>
      </c>
      <c r="BL291">
        <v>134</v>
      </c>
      <c r="BM291">
        <v>4.5728999999999997</v>
      </c>
    </row>
    <row r="292" spans="1:65" x14ac:dyDescent="0.25">
      <c r="A292" t="s">
        <v>355</v>
      </c>
      <c r="B292" t="s">
        <v>1394</v>
      </c>
      <c r="C292" t="s">
        <v>2158</v>
      </c>
      <c r="D292" s="1">
        <v>45390</v>
      </c>
      <c r="E292" s="1">
        <v>45426</v>
      </c>
      <c r="F292" s="1">
        <v>45492</v>
      </c>
      <c r="G292" t="s">
        <v>2161</v>
      </c>
      <c r="H292" t="s">
        <v>2167</v>
      </c>
      <c r="I292" t="s">
        <v>2173</v>
      </c>
      <c r="J292">
        <v>14875</v>
      </c>
      <c r="K292">
        <v>447</v>
      </c>
      <c r="L292">
        <v>11</v>
      </c>
      <c r="M292">
        <v>10.1</v>
      </c>
      <c r="N292">
        <v>7</v>
      </c>
      <c r="O292">
        <v>14709</v>
      </c>
      <c r="P292" t="s">
        <v>2177</v>
      </c>
      <c r="Q292">
        <v>10</v>
      </c>
      <c r="R292">
        <v>14</v>
      </c>
      <c r="S292">
        <v>20</v>
      </c>
      <c r="T292">
        <v>749</v>
      </c>
      <c r="U292" t="s">
        <v>2187</v>
      </c>
      <c r="W292" t="s">
        <v>2209</v>
      </c>
      <c r="X292" t="s">
        <v>2211</v>
      </c>
      <c r="Y292" t="s">
        <v>2213</v>
      </c>
      <c r="Z292" s="1">
        <v>45488</v>
      </c>
      <c r="AA292" s="1">
        <v>45494</v>
      </c>
      <c r="AB292" t="s">
        <v>2214</v>
      </c>
      <c r="AC292" t="s">
        <v>2209</v>
      </c>
      <c r="AD292" t="s">
        <v>2219</v>
      </c>
      <c r="AE292" t="s">
        <v>2161</v>
      </c>
      <c r="AF292" t="s">
        <v>2162</v>
      </c>
      <c r="AG292" t="s">
        <v>2222</v>
      </c>
      <c r="AH292">
        <v>44</v>
      </c>
      <c r="AI292">
        <v>62</v>
      </c>
      <c r="AJ292">
        <v>18</v>
      </c>
      <c r="AK292">
        <v>5</v>
      </c>
      <c r="AL292" t="s">
        <v>2224</v>
      </c>
      <c r="AM292">
        <v>0</v>
      </c>
      <c r="AN292" t="s">
        <v>2175</v>
      </c>
      <c r="AO292" t="s">
        <v>2175</v>
      </c>
      <c r="AP292" t="s">
        <v>2177</v>
      </c>
      <c r="AQ292">
        <v>111.1</v>
      </c>
      <c r="AR292">
        <v>2</v>
      </c>
      <c r="AS292">
        <v>3</v>
      </c>
      <c r="AT292">
        <v>3</v>
      </c>
      <c r="AU292">
        <v>2</v>
      </c>
      <c r="AV292">
        <v>2.666666666666667</v>
      </c>
      <c r="AW292">
        <v>4.3</v>
      </c>
      <c r="AX292">
        <v>4.2</v>
      </c>
      <c r="AY292">
        <v>4.3</v>
      </c>
      <c r="AZ292">
        <v>2</v>
      </c>
      <c r="BA292">
        <v>3</v>
      </c>
      <c r="BB292">
        <v>33</v>
      </c>
      <c r="BC292">
        <v>27</v>
      </c>
      <c r="BD292">
        <v>28.96</v>
      </c>
      <c r="BE292">
        <v>147</v>
      </c>
      <c r="BF292">
        <v>87.8</v>
      </c>
      <c r="BG292">
        <v>33</v>
      </c>
      <c r="BH292">
        <v>27</v>
      </c>
      <c r="BI292">
        <v>28.96</v>
      </c>
      <c r="BJ292">
        <v>147</v>
      </c>
      <c r="BK292">
        <v>87.8</v>
      </c>
      <c r="BL292">
        <v>255</v>
      </c>
      <c r="BM292">
        <v>3.7469000000000001</v>
      </c>
    </row>
    <row r="293" spans="1:65" x14ac:dyDescent="0.25">
      <c r="A293" t="s">
        <v>356</v>
      </c>
      <c r="B293" t="s">
        <v>1395</v>
      </c>
      <c r="C293" t="s">
        <v>2159</v>
      </c>
      <c r="D293" s="1">
        <v>45418</v>
      </c>
      <c r="E293" s="1">
        <v>45448</v>
      </c>
      <c r="F293" s="1">
        <v>45546</v>
      </c>
      <c r="G293" t="s">
        <v>2165</v>
      </c>
      <c r="H293" t="s">
        <v>2171</v>
      </c>
      <c r="I293" t="s">
        <v>2174</v>
      </c>
      <c r="J293">
        <v>20624</v>
      </c>
      <c r="K293">
        <v>619</v>
      </c>
      <c r="L293">
        <v>3.9</v>
      </c>
      <c r="M293">
        <v>1.5</v>
      </c>
      <c r="N293">
        <v>4</v>
      </c>
      <c r="O293">
        <v>3157</v>
      </c>
      <c r="P293" t="s">
        <v>2176</v>
      </c>
      <c r="Q293">
        <v>14</v>
      </c>
      <c r="R293">
        <v>20</v>
      </c>
      <c r="S293">
        <v>33</v>
      </c>
      <c r="T293">
        <v>641</v>
      </c>
      <c r="U293" t="s">
        <v>2194</v>
      </c>
      <c r="W293" t="s">
        <v>2209</v>
      </c>
      <c r="X293" t="s">
        <v>2211</v>
      </c>
      <c r="Y293" t="s">
        <v>2213</v>
      </c>
      <c r="Z293" s="1">
        <v>45537</v>
      </c>
      <c r="AA293" s="1">
        <v>45543</v>
      </c>
      <c r="AB293" t="s">
        <v>2214</v>
      </c>
      <c r="AC293" t="s">
        <v>2209</v>
      </c>
      <c r="AD293" t="s">
        <v>2219</v>
      </c>
      <c r="AE293" t="s">
        <v>2166</v>
      </c>
      <c r="AF293" t="s">
        <v>2165</v>
      </c>
      <c r="AG293" t="s">
        <v>2222</v>
      </c>
      <c r="AH293">
        <v>67</v>
      </c>
      <c r="AI293">
        <v>89</v>
      </c>
      <c r="AJ293">
        <v>22</v>
      </c>
      <c r="AK293">
        <v>6</v>
      </c>
      <c r="AL293" t="s">
        <v>2223</v>
      </c>
      <c r="AM293">
        <v>0</v>
      </c>
      <c r="AN293" t="s">
        <v>2176</v>
      </c>
      <c r="AO293" t="s">
        <v>2177</v>
      </c>
      <c r="AP293" t="s">
        <v>2176</v>
      </c>
      <c r="AQ293">
        <v>5.85</v>
      </c>
      <c r="AR293">
        <v>1</v>
      </c>
      <c r="AS293">
        <v>1</v>
      </c>
      <c r="AT293">
        <v>2</v>
      </c>
      <c r="AU293">
        <v>1</v>
      </c>
      <c r="AV293">
        <v>1.333333333333333</v>
      </c>
      <c r="AW293">
        <v>4.8</v>
      </c>
      <c r="AX293">
        <v>4.5999999999999996</v>
      </c>
      <c r="AY293">
        <v>4.5999999999999996</v>
      </c>
      <c r="AZ293">
        <v>3</v>
      </c>
      <c r="BA293">
        <v>2</v>
      </c>
      <c r="BB293">
        <v>45</v>
      </c>
      <c r="BC293">
        <v>25</v>
      </c>
      <c r="BD293">
        <v>39.200000000000003</v>
      </c>
      <c r="BE293">
        <v>186</v>
      </c>
      <c r="BF293">
        <v>87.1</v>
      </c>
      <c r="BG293">
        <v>40</v>
      </c>
      <c r="BH293">
        <v>25</v>
      </c>
      <c r="BI293">
        <v>34.72</v>
      </c>
      <c r="BJ293">
        <v>161</v>
      </c>
      <c r="BK293">
        <v>86.8</v>
      </c>
      <c r="BL293">
        <v>347</v>
      </c>
      <c r="BM293">
        <v>4.4343000000000004</v>
      </c>
    </row>
    <row r="294" spans="1:65" x14ac:dyDescent="0.25">
      <c r="A294" t="s">
        <v>357</v>
      </c>
      <c r="B294" t="s">
        <v>1396</v>
      </c>
      <c r="C294" t="s">
        <v>2157</v>
      </c>
      <c r="D294" s="1">
        <v>45306</v>
      </c>
      <c r="E294" s="1">
        <v>45343</v>
      </c>
      <c r="F294" s="1">
        <v>45464</v>
      </c>
      <c r="G294" t="s">
        <v>2164</v>
      </c>
      <c r="H294" t="s">
        <v>2170</v>
      </c>
      <c r="I294" t="s">
        <v>2175</v>
      </c>
      <c r="J294">
        <v>42867</v>
      </c>
      <c r="K294">
        <v>1287</v>
      </c>
      <c r="L294">
        <v>14.6</v>
      </c>
      <c r="M294">
        <v>16.399999999999999</v>
      </c>
      <c r="N294">
        <v>9</v>
      </c>
      <c r="O294">
        <v>18809</v>
      </c>
      <c r="P294" t="s">
        <v>2178</v>
      </c>
      <c r="Q294">
        <v>18</v>
      </c>
      <c r="R294">
        <v>30</v>
      </c>
      <c r="S294">
        <v>45</v>
      </c>
      <c r="T294">
        <v>971</v>
      </c>
      <c r="U294" t="s">
        <v>2205</v>
      </c>
      <c r="W294" t="s">
        <v>2209</v>
      </c>
      <c r="X294" t="s">
        <v>2211</v>
      </c>
      <c r="Y294" t="s">
        <v>2213</v>
      </c>
      <c r="Z294" s="1">
        <v>45462</v>
      </c>
      <c r="AA294" s="1">
        <v>45465</v>
      </c>
      <c r="AB294" t="s">
        <v>2214</v>
      </c>
      <c r="AC294" t="s">
        <v>2209</v>
      </c>
      <c r="AD294" t="s">
        <v>2219</v>
      </c>
      <c r="AE294" t="s">
        <v>2165</v>
      </c>
      <c r="AF294" t="s">
        <v>2164</v>
      </c>
      <c r="AG294" t="s">
        <v>2222</v>
      </c>
      <c r="AH294">
        <v>93</v>
      </c>
      <c r="AI294">
        <v>119</v>
      </c>
      <c r="AJ294">
        <v>26</v>
      </c>
      <c r="AK294">
        <v>2</v>
      </c>
      <c r="AL294" t="s">
        <v>2228</v>
      </c>
      <c r="AM294">
        <v>0</v>
      </c>
      <c r="AN294" t="s">
        <v>2175</v>
      </c>
      <c r="AO294" t="s">
        <v>2175</v>
      </c>
      <c r="AP294" t="s">
        <v>2175</v>
      </c>
      <c r="AQ294">
        <v>239.44</v>
      </c>
      <c r="AR294">
        <v>3</v>
      </c>
      <c r="AS294">
        <v>3</v>
      </c>
      <c r="AT294">
        <v>3</v>
      </c>
      <c r="AU294">
        <v>3</v>
      </c>
      <c r="AV294">
        <v>3</v>
      </c>
      <c r="AW294">
        <v>4.5999999999999996</v>
      </c>
      <c r="AX294">
        <v>4.5</v>
      </c>
      <c r="AY294">
        <v>4.5</v>
      </c>
      <c r="AZ294">
        <v>1</v>
      </c>
      <c r="BA294">
        <v>0</v>
      </c>
      <c r="BB294">
        <v>36</v>
      </c>
      <c r="BC294">
        <v>24</v>
      </c>
      <c r="BD294">
        <v>31.79</v>
      </c>
      <c r="BE294">
        <v>142</v>
      </c>
      <c r="BF294">
        <v>88.3</v>
      </c>
      <c r="BG294">
        <v>27</v>
      </c>
      <c r="BH294">
        <v>24</v>
      </c>
      <c r="BI294">
        <v>24.04</v>
      </c>
      <c r="BJ294">
        <v>106</v>
      </c>
      <c r="BK294">
        <v>89</v>
      </c>
      <c r="BL294">
        <v>248</v>
      </c>
      <c r="BM294">
        <v>12.5747</v>
      </c>
    </row>
    <row r="295" spans="1:65" x14ac:dyDescent="0.25">
      <c r="A295" t="s">
        <v>358</v>
      </c>
      <c r="B295" t="s">
        <v>1397</v>
      </c>
      <c r="C295" t="s">
        <v>2158</v>
      </c>
      <c r="D295" s="1">
        <v>45404</v>
      </c>
      <c r="E295" s="1">
        <v>45446</v>
      </c>
      <c r="F295" s="1">
        <v>45505</v>
      </c>
      <c r="G295" t="s">
        <v>2166</v>
      </c>
      <c r="H295" t="s">
        <v>2172</v>
      </c>
      <c r="I295" t="s">
        <v>2176</v>
      </c>
      <c r="J295">
        <v>10285</v>
      </c>
      <c r="K295">
        <v>309</v>
      </c>
      <c r="L295">
        <v>11.7</v>
      </c>
      <c r="M295">
        <v>3.5</v>
      </c>
      <c r="N295">
        <v>2</v>
      </c>
      <c r="O295">
        <v>4679</v>
      </c>
      <c r="P295" t="s">
        <v>2176</v>
      </c>
      <c r="Q295">
        <v>10</v>
      </c>
      <c r="R295">
        <v>14</v>
      </c>
      <c r="S295">
        <v>14</v>
      </c>
      <c r="T295">
        <v>748</v>
      </c>
      <c r="U295" t="s">
        <v>2179</v>
      </c>
      <c r="W295" t="s">
        <v>2209</v>
      </c>
      <c r="X295" t="s">
        <v>2211</v>
      </c>
      <c r="Y295" t="s">
        <v>2213</v>
      </c>
      <c r="Z295" s="1">
        <v>45501</v>
      </c>
      <c r="AA295" s="1">
        <v>45501</v>
      </c>
      <c r="AB295" t="s">
        <v>2214</v>
      </c>
      <c r="AC295" t="s">
        <v>2209</v>
      </c>
      <c r="AD295" t="s">
        <v>2219</v>
      </c>
      <c r="AE295" t="s">
        <v>2165</v>
      </c>
      <c r="AF295" t="s">
        <v>2162</v>
      </c>
      <c r="AG295" t="s">
        <v>2222</v>
      </c>
      <c r="AH295">
        <v>38</v>
      </c>
      <c r="AI295">
        <v>55</v>
      </c>
      <c r="AJ295">
        <v>17</v>
      </c>
      <c r="AK295">
        <v>6</v>
      </c>
      <c r="AL295" t="s">
        <v>2223</v>
      </c>
      <c r="AM295">
        <v>0</v>
      </c>
      <c r="AN295" t="s">
        <v>2177</v>
      </c>
      <c r="AO295" t="s">
        <v>2176</v>
      </c>
      <c r="AP295" t="s">
        <v>2176</v>
      </c>
      <c r="AQ295">
        <v>40.950000000000003</v>
      </c>
      <c r="AR295">
        <v>1</v>
      </c>
      <c r="AS295">
        <v>2</v>
      </c>
      <c r="AT295">
        <v>1</v>
      </c>
      <c r="AU295">
        <v>1</v>
      </c>
      <c r="AV295">
        <v>1.333333333333333</v>
      </c>
      <c r="AW295">
        <v>4.5999999999999996</v>
      </c>
      <c r="AX295">
        <v>4.2</v>
      </c>
      <c r="AY295">
        <v>4.8</v>
      </c>
      <c r="AZ295">
        <v>2</v>
      </c>
      <c r="BA295">
        <v>1</v>
      </c>
      <c r="BB295">
        <v>40</v>
      </c>
      <c r="BC295">
        <v>25</v>
      </c>
      <c r="BD295">
        <v>34.72</v>
      </c>
      <c r="BE295">
        <v>161</v>
      </c>
      <c r="BF295">
        <v>86.8</v>
      </c>
      <c r="BG295">
        <v>45</v>
      </c>
      <c r="BH295">
        <v>25</v>
      </c>
      <c r="BI295">
        <v>39.200000000000003</v>
      </c>
      <c r="BJ295">
        <v>186</v>
      </c>
      <c r="BK295">
        <v>87.1</v>
      </c>
      <c r="BL295">
        <v>278</v>
      </c>
      <c r="BM295">
        <v>2.5546000000000002</v>
      </c>
    </row>
    <row r="296" spans="1:65" x14ac:dyDescent="0.25">
      <c r="A296" t="s">
        <v>359</v>
      </c>
      <c r="B296" t="s">
        <v>1398</v>
      </c>
      <c r="C296" t="s">
        <v>2159</v>
      </c>
      <c r="D296" s="1">
        <v>45404</v>
      </c>
      <c r="E296" s="1">
        <v>45447</v>
      </c>
      <c r="F296" s="1">
        <v>45552</v>
      </c>
      <c r="G296" t="s">
        <v>2166</v>
      </c>
      <c r="H296" t="s">
        <v>2172</v>
      </c>
      <c r="I296" t="s">
        <v>2174</v>
      </c>
      <c r="J296">
        <v>20250</v>
      </c>
      <c r="K296">
        <v>608</v>
      </c>
      <c r="L296">
        <v>5.5</v>
      </c>
      <c r="M296">
        <v>3.1</v>
      </c>
      <c r="N296">
        <v>3</v>
      </c>
      <c r="O296">
        <v>2553</v>
      </c>
      <c r="P296" t="s">
        <v>2176</v>
      </c>
      <c r="Q296">
        <v>14</v>
      </c>
      <c r="R296">
        <v>20</v>
      </c>
      <c r="S296">
        <v>36</v>
      </c>
      <c r="T296">
        <v>572</v>
      </c>
      <c r="U296" t="s">
        <v>2194</v>
      </c>
      <c r="W296" t="s">
        <v>2209</v>
      </c>
      <c r="X296" t="s">
        <v>2211</v>
      </c>
      <c r="Y296" t="s">
        <v>2213</v>
      </c>
      <c r="Z296" s="1">
        <v>45539</v>
      </c>
      <c r="AA296" s="1">
        <v>45543</v>
      </c>
      <c r="AB296" t="s">
        <v>2214</v>
      </c>
      <c r="AC296" t="s">
        <v>2209</v>
      </c>
      <c r="AD296" t="s">
        <v>2219</v>
      </c>
      <c r="AE296" t="s">
        <v>2166</v>
      </c>
      <c r="AF296" t="s">
        <v>2165</v>
      </c>
      <c r="AG296" t="s">
        <v>2222</v>
      </c>
      <c r="AH296">
        <v>70</v>
      </c>
      <c r="AI296">
        <v>92</v>
      </c>
      <c r="AJ296">
        <v>22</v>
      </c>
      <c r="AK296">
        <v>6</v>
      </c>
      <c r="AL296" t="s">
        <v>2223</v>
      </c>
      <c r="AM296">
        <v>0</v>
      </c>
      <c r="AN296" t="s">
        <v>2176</v>
      </c>
      <c r="AO296" t="s">
        <v>2176</v>
      </c>
      <c r="AP296" t="s">
        <v>2176</v>
      </c>
      <c r="AQ296">
        <v>17.05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4.8</v>
      </c>
      <c r="AX296">
        <v>4.5999999999999996</v>
      </c>
      <c r="AY296">
        <v>4.8</v>
      </c>
      <c r="AZ296">
        <v>3</v>
      </c>
      <c r="BA296">
        <v>2</v>
      </c>
      <c r="BB296">
        <v>45</v>
      </c>
      <c r="BC296">
        <v>25</v>
      </c>
      <c r="BD296">
        <v>39.200000000000003</v>
      </c>
      <c r="BE296">
        <v>186</v>
      </c>
      <c r="BF296">
        <v>87.1</v>
      </c>
      <c r="BG296">
        <v>45</v>
      </c>
      <c r="BH296">
        <v>25</v>
      </c>
      <c r="BI296">
        <v>39.200000000000003</v>
      </c>
      <c r="BJ296">
        <v>186</v>
      </c>
      <c r="BK296">
        <v>87.1</v>
      </c>
      <c r="BL296">
        <v>347</v>
      </c>
      <c r="BM296">
        <v>4.3539000000000003</v>
      </c>
    </row>
    <row r="297" spans="1:65" x14ac:dyDescent="0.25">
      <c r="A297" t="s">
        <v>360</v>
      </c>
      <c r="B297" t="s">
        <v>1399</v>
      </c>
      <c r="C297" t="s">
        <v>2157</v>
      </c>
      <c r="D297" s="1">
        <v>45348</v>
      </c>
      <c r="E297" s="1">
        <v>45387</v>
      </c>
      <c r="F297" s="1">
        <v>45542</v>
      </c>
      <c r="G297" t="s">
        <v>2163</v>
      </c>
      <c r="H297" t="s">
        <v>2169</v>
      </c>
      <c r="I297" t="s">
        <v>2176</v>
      </c>
      <c r="J297">
        <v>41963</v>
      </c>
      <c r="K297">
        <v>1259</v>
      </c>
      <c r="L297">
        <v>11.8</v>
      </c>
      <c r="M297">
        <v>7.7</v>
      </c>
      <c r="N297">
        <v>2</v>
      </c>
      <c r="O297">
        <v>8038</v>
      </c>
      <c r="P297" t="s">
        <v>2176</v>
      </c>
      <c r="Q297">
        <v>18</v>
      </c>
      <c r="R297">
        <v>30</v>
      </c>
      <c r="S297">
        <v>71</v>
      </c>
      <c r="T297">
        <v>597</v>
      </c>
      <c r="U297" t="s">
        <v>2179</v>
      </c>
      <c r="W297" t="s">
        <v>2209</v>
      </c>
      <c r="X297" t="s">
        <v>2211</v>
      </c>
      <c r="Y297" t="s">
        <v>2213</v>
      </c>
      <c r="Z297" s="1">
        <v>45537</v>
      </c>
      <c r="AA297" s="1">
        <v>45542</v>
      </c>
      <c r="AB297" t="s">
        <v>2214</v>
      </c>
      <c r="AC297" t="s">
        <v>2209</v>
      </c>
      <c r="AD297" t="s">
        <v>2219</v>
      </c>
      <c r="AE297" t="s">
        <v>2165</v>
      </c>
      <c r="AF297" t="s">
        <v>2162</v>
      </c>
      <c r="AG297" t="s">
        <v>2222</v>
      </c>
      <c r="AH297">
        <v>119</v>
      </c>
      <c r="AI297">
        <v>150</v>
      </c>
      <c r="AJ297">
        <v>31</v>
      </c>
      <c r="AK297">
        <v>4</v>
      </c>
      <c r="AL297" t="s">
        <v>2225</v>
      </c>
      <c r="AM297">
        <v>0</v>
      </c>
      <c r="AN297" t="s">
        <v>2177</v>
      </c>
      <c r="AO297" t="s">
        <v>2176</v>
      </c>
      <c r="AP297" t="s">
        <v>2177</v>
      </c>
      <c r="AQ297">
        <v>90.860000000000014</v>
      </c>
      <c r="AR297">
        <v>1</v>
      </c>
      <c r="AS297">
        <v>2</v>
      </c>
      <c r="AT297">
        <v>1</v>
      </c>
      <c r="AU297">
        <v>2</v>
      </c>
      <c r="AV297">
        <v>1.666666666666667</v>
      </c>
      <c r="AW297">
        <v>4.5999999999999996</v>
      </c>
      <c r="AX297">
        <v>4.2</v>
      </c>
      <c r="AY297">
        <v>4.4000000000000004</v>
      </c>
      <c r="AZ297">
        <v>1</v>
      </c>
      <c r="BA297">
        <v>1</v>
      </c>
      <c r="BB297">
        <v>46</v>
      </c>
      <c r="BC297">
        <v>26</v>
      </c>
      <c r="BD297">
        <v>40.729999999999997</v>
      </c>
      <c r="BE297">
        <v>203</v>
      </c>
      <c r="BF297">
        <v>88.5</v>
      </c>
      <c r="BG297">
        <v>31</v>
      </c>
      <c r="BH297">
        <v>26</v>
      </c>
      <c r="BI297">
        <v>27.23</v>
      </c>
      <c r="BJ297">
        <v>132</v>
      </c>
      <c r="BK297">
        <v>87.8</v>
      </c>
      <c r="BL297">
        <v>307</v>
      </c>
      <c r="BM297">
        <v>7.9489999999999998</v>
      </c>
    </row>
    <row r="298" spans="1:65" x14ac:dyDescent="0.25">
      <c r="A298" t="s">
        <v>361</v>
      </c>
      <c r="B298" t="s">
        <v>1400</v>
      </c>
      <c r="C298" t="s">
        <v>2159</v>
      </c>
      <c r="D298" s="1">
        <v>45418</v>
      </c>
      <c r="E298" s="1">
        <v>45460</v>
      </c>
      <c r="F298" s="1">
        <v>45565</v>
      </c>
      <c r="G298" t="s">
        <v>2166</v>
      </c>
      <c r="H298" t="s">
        <v>2172</v>
      </c>
      <c r="I298" t="s">
        <v>2176</v>
      </c>
      <c r="J298">
        <v>25470</v>
      </c>
      <c r="K298">
        <v>765</v>
      </c>
      <c r="L298">
        <v>11.1</v>
      </c>
      <c r="M298">
        <v>11.8</v>
      </c>
      <c r="N298">
        <v>3</v>
      </c>
      <c r="O298">
        <v>6788</v>
      </c>
      <c r="P298" t="s">
        <v>2176</v>
      </c>
      <c r="Q298">
        <v>14</v>
      </c>
      <c r="R298">
        <v>20</v>
      </c>
      <c r="S298">
        <v>39</v>
      </c>
      <c r="T298">
        <v>663</v>
      </c>
      <c r="U298" t="s">
        <v>2184</v>
      </c>
      <c r="W298" t="s">
        <v>2209</v>
      </c>
      <c r="X298" t="s">
        <v>2211</v>
      </c>
      <c r="Y298" t="s">
        <v>2213</v>
      </c>
      <c r="Z298" s="1">
        <v>45555</v>
      </c>
      <c r="AA298" s="1">
        <v>45557</v>
      </c>
      <c r="AB298" t="s">
        <v>2214</v>
      </c>
      <c r="AC298" t="s">
        <v>2209</v>
      </c>
      <c r="AD298" t="s">
        <v>2219</v>
      </c>
      <c r="AE298" t="s">
        <v>2163</v>
      </c>
      <c r="AF298" t="s">
        <v>2162</v>
      </c>
      <c r="AG298" t="s">
        <v>2222</v>
      </c>
      <c r="AH298">
        <v>73</v>
      </c>
      <c r="AI298">
        <v>95</v>
      </c>
      <c r="AJ298">
        <v>22</v>
      </c>
      <c r="AK298">
        <v>6</v>
      </c>
      <c r="AL298" t="s">
        <v>2223</v>
      </c>
      <c r="AM298">
        <v>0</v>
      </c>
      <c r="AN298" t="s">
        <v>2175</v>
      </c>
      <c r="AO298" t="s">
        <v>2176</v>
      </c>
      <c r="AP298" t="s">
        <v>2176</v>
      </c>
      <c r="AQ298">
        <v>130.97999999999999</v>
      </c>
      <c r="AR298">
        <v>1</v>
      </c>
      <c r="AS298">
        <v>3</v>
      </c>
      <c r="AT298">
        <v>1</v>
      </c>
      <c r="AU298">
        <v>1</v>
      </c>
      <c r="AV298">
        <v>1.666666666666667</v>
      </c>
      <c r="AW298">
        <v>4.4000000000000004</v>
      </c>
      <c r="AX298">
        <v>4.2</v>
      </c>
      <c r="AY298">
        <v>4.8</v>
      </c>
      <c r="AZ298">
        <v>3</v>
      </c>
      <c r="BA298">
        <v>1</v>
      </c>
      <c r="BB298">
        <v>30</v>
      </c>
      <c r="BC298">
        <v>25</v>
      </c>
      <c r="BD298">
        <v>26.48</v>
      </c>
      <c r="BE298">
        <v>121</v>
      </c>
      <c r="BF298">
        <v>88.3</v>
      </c>
      <c r="BG298">
        <v>45</v>
      </c>
      <c r="BH298">
        <v>25</v>
      </c>
      <c r="BI298">
        <v>39.200000000000003</v>
      </c>
      <c r="BJ298">
        <v>186</v>
      </c>
      <c r="BK298">
        <v>87.1</v>
      </c>
      <c r="BL298">
        <v>238</v>
      </c>
      <c r="BM298">
        <v>8.4170999999999996</v>
      </c>
    </row>
    <row r="299" spans="1:65" x14ac:dyDescent="0.25">
      <c r="A299" t="s">
        <v>362</v>
      </c>
      <c r="B299" t="s">
        <v>1401</v>
      </c>
      <c r="C299" t="s">
        <v>2159</v>
      </c>
      <c r="D299" s="1">
        <v>45306</v>
      </c>
      <c r="E299" s="1">
        <v>45347</v>
      </c>
      <c r="F299" s="1">
        <v>45454</v>
      </c>
      <c r="G299" t="s">
        <v>2165</v>
      </c>
      <c r="H299" t="s">
        <v>2171</v>
      </c>
      <c r="I299" t="s">
        <v>2174</v>
      </c>
      <c r="J299">
        <v>20108</v>
      </c>
      <c r="K299">
        <v>604</v>
      </c>
      <c r="L299">
        <v>7</v>
      </c>
      <c r="M299">
        <v>4</v>
      </c>
      <c r="N299">
        <v>1</v>
      </c>
      <c r="O299">
        <v>5073</v>
      </c>
      <c r="P299" t="s">
        <v>2176</v>
      </c>
      <c r="Q299">
        <v>14</v>
      </c>
      <c r="R299">
        <v>20</v>
      </c>
      <c r="S299">
        <v>35</v>
      </c>
      <c r="T299">
        <v>578</v>
      </c>
      <c r="U299" t="s">
        <v>2192</v>
      </c>
      <c r="W299" t="s">
        <v>2209</v>
      </c>
      <c r="X299" t="s">
        <v>2211</v>
      </c>
      <c r="Y299" t="s">
        <v>2213</v>
      </c>
      <c r="Z299" s="1">
        <v>45438</v>
      </c>
      <c r="AA299" s="1">
        <v>45444</v>
      </c>
      <c r="AB299" t="s">
        <v>2214</v>
      </c>
      <c r="AC299" t="s">
        <v>2209</v>
      </c>
      <c r="AD299" t="s">
        <v>2219</v>
      </c>
      <c r="AE299" t="s">
        <v>2164</v>
      </c>
      <c r="AF299" t="s">
        <v>2165</v>
      </c>
      <c r="AG299" t="s">
        <v>2222</v>
      </c>
      <c r="AH299">
        <v>69</v>
      </c>
      <c r="AI299">
        <v>91</v>
      </c>
      <c r="AJ299">
        <v>22</v>
      </c>
      <c r="AK299">
        <v>2</v>
      </c>
      <c r="AL299" t="s">
        <v>2228</v>
      </c>
      <c r="AM299">
        <v>0</v>
      </c>
      <c r="AN299" t="s">
        <v>2176</v>
      </c>
      <c r="AO299" t="s">
        <v>2176</v>
      </c>
      <c r="AP299" t="s">
        <v>2176</v>
      </c>
      <c r="AQ299">
        <v>28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4.5</v>
      </c>
      <c r="AX299">
        <v>4.5999999999999996</v>
      </c>
      <c r="AY299">
        <v>4.5999999999999996</v>
      </c>
      <c r="AZ299">
        <v>3</v>
      </c>
      <c r="BA299">
        <v>2</v>
      </c>
      <c r="BB299">
        <v>27</v>
      </c>
      <c r="BC299">
        <v>24</v>
      </c>
      <c r="BD299">
        <v>24.04</v>
      </c>
      <c r="BE299">
        <v>106</v>
      </c>
      <c r="BF299">
        <v>89</v>
      </c>
      <c r="BG299">
        <v>36</v>
      </c>
      <c r="BH299">
        <v>24</v>
      </c>
      <c r="BI299">
        <v>31.79</v>
      </c>
      <c r="BJ299">
        <v>142</v>
      </c>
      <c r="BK299">
        <v>88.3</v>
      </c>
      <c r="BL299">
        <v>248</v>
      </c>
      <c r="BM299">
        <v>7.9009999999999998</v>
      </c>
    </row>
    <row r="300" spans="1:65" x14ac:dyDescent="0.25">
      <c r="A300" t="s">
        <v>363</v>
      </c>
      <c r="B300" t="s">
        <v>1402</v>
      </c>
      <c r="C300" t="s">
        <v>2157</v>
      </c>
      <c r="D300" s="1">
        <v>45432</v>
      </c>
      <c r="E300" s="1">
        <v>45473</v>
      </c>
      <c r="F300" s="1">
        <v>45618</v>
      </c>
      <c r="G300" t="s">
        <v>2164</v>
      </c>
      <c r="H300" t="s">
        <v>2170</v>
      </c>
      <c r="I300" t="s">
        <v>2173</v>
      </c>
      <c r="J300">
        <v>52886</v>
      </c>
      <c r="K300">
        <v>1587</v>
      </c>
      <c r="L300">
        <v>12.2</v>
      </c>
      <c r="M300">
        <v>6.4</v>
      </c>
      <c r="N300">
        <v>3</v>
      </c>
      <c r="O300">
        <v>14852</v>
      </c>
      <c r="P300" t="s">
        <v>2176</v>
      </c>
      <c r="Q300">
        <v>18</v>
      </c>
      <c r="R300">
        <v>30</v>
      </c>
      <c r="S300">
        <v>63</v>
      </c>
      <c r="T300">
        <v>847</v>
      </c>
      <c r="U300" t="s">
        <v>2165</v>
      </c>
      <c r="V300" t="s">
        <v>2171</v>
      </c>
      <c r="W300" t="s">
        <v>2209</v>
      </c>
      <c r="X300" t="s">
        <v>2211</v>
      </c>
      <c r="Y300" t="s">
        <v>2212</v>
      </c>
      <c r="Z300" s="1">
        <v>45613</v>
      </c>
      <c r="AA300" s="1">
        <v>45613</v>
      </c>
      <c r="AB300" t="s">
        <v>2214</v>
      </c>
      <c r="AC300" t="s">
        <v>2209</v>
      </c>
      <c r="AD300" t="s">
        <v>2218</v>
      </c>
      <c r="AE300" t="s">
        <v>2165</v>
      </c>
      <c r="AG300" t="s">
        <v>2221</v>
      </c>
      <c r="AH300">
        <v>111</v>
      </c>
      <c r="AI300">
        <v>140</v>
      </c>
      <c r="AJ300">
        <v>29</v>
      </c>
      <c r="AK300">
        <v>6</v>
      </c>
      <c r="AL300" t="s">
        <v>2223</v>
      </c>
      <c r="AM300">
        <v>0</v>
      </c>
      <c r="AN300" t="s">
        <v>2177</v>
      </c>
      <c r="AO300" t="s">
        <v>2176</v>
      </c>
      <c r="AP300" t="s">
        <v>2177</v>
      </c>
      <c r="AQ300">
        <v>78.08</v>
      </c>
      <c r="AR300">
        <v>1</v>
      </c>
      <c r="AS300">
        <v>2</v>
      </c>
      <c r="AT300">
        <v>1</v>
      </c>
      <c r="AU300">
        <v>2</v>
      </c>
      <c r="AV300">
        <v>1.666666666666667</v>
      </c>
      <c r="AW300">
        <v>4.5999999999999996</v>
      </c>
      <c r="AY300">
        <v>4.5</v>
      </c>
      <c r="AZ300">
        <v>1</v>
      </c>
      <c r="BA300">
        <v>3</v>
      </c>
      <c r="BB300">
        <v>40</v>
      </c>
      <c r="BC300">
        <v>25</v>
      </c>
      <c r="BD300">
        <v>34.72</v>
      </c>
      <c r="BE300">
        <v>161</v>
      </c>
      <c r="BF300">
        <v>86.8</v>
      </c>
      <c r="BG300">
        <v>33</v>
      </c>
      <c r="BH300">
        <v>25</v>
      </c>
      <c r="BI300">
        <v>28.64</v>
      </c>
      <c r="BJ300">
        <v>133</v>
      </c>
      <c r="BK300">
        <v>86.8</v>
      </c>
      <c r="BL300">
        <v>161</v>
      </c>
      <c r="BM300">
        <v>13.136100000000001</v>
      </c>
    </row>
    <row r="301" spans="1:65" x14ac:dyDescent="0.25">
      <c r="A301" t="s">
        <v>364</v>
      </c>
      <c r="B301" t="s">
        <v>1403</v>
      </c>
      <c r="C301" t="s">
        <v>2157</v>
      </c>
      <c r="D301" s="1">
        <v>45341</v>
      </c>
      <c r="E301" s="1">
        <v>45385</v>
      </c>
      <c r="F301" s="1">
        <v>45557</v>
      </c>
      <c r="G301" t="s">
        <v>2166</v>
      </c>
      <c r="H301" t="s">
        <v>2172</v>
      </c>
      <c r="I301" t="s">
        <v>2174</v>
      </c>
      <c r="J301">
        <v>55090</v>
      </c>
      <c r="K301">
        <v>1653</v>
      </c>
      <c r="L301">
        <v>3.4</v>
      </c>
      <c r="M301">
        <v>2.7</v>
      </c>
      <c r="N301">
        <v>4</v>
      </c>
      <c r="O301">
        <v>5861</v>
      </c>
      <c r="P301" t="s">
        <v>2176</v>
      </c>
      <c r="Q301">
        <v>18</v>
      </c>
      <c r="R301">
        <v>30</v>
      </c>
      <c r="S301">
        <v>80</v>
      </c>
      <c r="T301">
        <v>694</v>
      </c>
      <c r="U301" t="s">
        <v>2189</v>
      </c>
      <c r="W301" t="s">
        <v>2209</v>
      </c>
      <c r="X301" t="s">
        <v>2211</v>
      </c>
      <c r="Y301" t="s">
        <v>2213</v>
      </c>
      <c r="Z301" s="1">
        <v>45545</v>
      </c>
      <c r="AA301" s="1">
        <v>45549</v>
      </c>
      <c r="AB301" t="s">
        <v>2214</v>
      </c>
      <c r="AC301" t="s">
        <v>2209</v>
      </c>
      <c r="AD301" t="s">
        <v>2219</v>
      </c>
      <c r="AE301" t="s">
        <v>2165</v>
      </c>
      <c r="AF301" t="s">
        <v>2166</v>
      </c>
      <c r="AG301" t="s">
        <v>2222</v>
      </c>
      <c r="AH301">
        <v>128</v>
      </c>
      <c r="AI301">
        <v>160</v>
      </c>
      <c r="AJ301">
        <v>32</v>
      </c>
      <c r="AK301">
        <v>4</v>
      </c>
      <c r="AL301" t="s">
        <v>2225</v>
      </c>
      <c r="AM301">
        <v>0</v>
      </c>
      <c r="AN301" t="s">
        <v>2176</v>
      </c>
      <c r="AO301" t="s">
        <v>2177</v>
      </c>
      <c r="AP301" t="s">
        <v>2176</v>
      </c>
      <c r="AQ301">
        <v>9.18</v>
      </c>
      <c r="AR301">
        <v>1</v>
      </c>
      <c r="AS301">
        <v>1</v>
      </c>
      <c r="AT301">
        <v>2</v>
      </c>
      <c r="AU301">
        <v>1</v>
      </c>
      <c r="AV301">
        <v>1.333333333333333</v>
      </c>
      <c r="AW301">
        <v>4.5999999999999996</v>
      </c>
      <c r="AX301">
        <v>4.8</v>
      </c>
      <c r="AY301">
        <v>4.8</v>
      </c>
      <c r="AZ301">
        <v>1</v>
      </c>
      <c r="BA301">
        <v>2</v>
      </c>
      <c r="BB301">
        <v>46</v>
      </c>
      <c r="BC301">
        <v>26</v>
      </c>
      <c r="BD301">
        <v>40.729999999999997</v>
      </c>
      <c r="BE301">
        <v>203</v>
      </c>
      <c r="BF301">
        <v>88.5</v>
      </c>
      <c r="BG301">
        <v>45</v>
      </c>
      <c r="BH301">
        <v>26</v>
      </c>
      <c r="BI301">
        <v>40.270000000000003</v>
      </c>
      <c r="BJ301">
        <v>199</v>
      </c>
      <c r="BK301">
        <v>89.5</v>
      </c>
      <c r="BL301">
        <v>402</v>
      </c>
      <c r="BM301">
        <v>10.435700000000001</v>
      </c>
    </row>
    <row r="302" spans="1:65" x14ac:dyDescent="0.25">
      <c r="A302" t="s">
        <v>365</v>
      </c>
      <c r="B302" t="s">
        <v>1404</v>
      </c>
      <c r="C302" t="s">
        <v>2160</v>
      </c>
      <c r="D302" s="1">
        <v>45341</v>
      </c>
      <c r="E302" s="1">
        <v>45382</v>
      </c>
      <c r="F302" s="1">
        <v>45473</v>
      </c>
      <c r="G302" t="s">
        <v>2165</v>
      </c>
      <c r="H302" t="s">
        <v>2171</v>
      </c>
      <c r="I302" t="s">
        <v>2174</v>
      </c>
      <c r="J302">
        <v>16861</v>
      </c>
      <c r="K302">
        <v>506</v>
      </c>
      <c r="L302">
        <v>1.2</v>
      </c>
      <c r="M302">
        <v>6.5</v>
      </c>
      <c r="N302">
        <v>1</v>
      </c>
      <c r="O302">
        <v>5030</v>
      </c>
      <c r="P302" t="s">
        <v>2176</v>
      </c>
      <c r="Q302">
        <v>10</v>
      </c>
      <c r="R302">
        <v>14</v>
      </c>
      <c r="S302">
        <v>30</v>
      </c>
      <c r="T302">
        <v>568</v>
      </c>
      <c r="U302" t="s">
        <v>2179</v>
      </c>
      <c r="W302" t="s">
        <v>2209</v>
      </c>
      <c r="X302" t="s">
        <v>2211</v>
      </c>
      <c r="Y302" t="s">
        <v>2213</v>
      </c>
      <c r="Z302" s="1">
        <v>45455</v>
      </c>
      <c r="AA302" s="1">
        <v>45458</v>
      </c>
      <c r="AB302" t="s">
        <v>2214</v>
      </c>
      <c r="AC302" t="s">
        <v>2209</v>
      </c>
      <c r="AD302" t="s">
        <v>2219</v>
      </c>
      <c r="AE302" t="s">
        <v>2165</v>
      </c>
      <c r="AF302" t="s">
        <v>2162</v>
      </c>
      <c r="AG302" t="s">
        <v>2222</v>
      </c>
      <c r="AH302">
        <v>54</v>
      </c>
      <c r="AI302">
        <v>73</v>
      </c>
      <c r="AJ302">
        <v>19</v>
      </c>
      <c r="AK302">
        <v>3</v>
      </c>
      <c r="AL302" t="s">
        <v>2227</v>
      </c>
      <c r="AM302">
        <v>0</v>
      </c>
      <c r="AN302" t="s">
        <v>2176</v>
      </c>
      <c r="AO302" t="s">
        <v>2176</v>
      </c>
      <c r="AP302" t="s">
        <v>2176</v>
      </c>
      <c r="AQ302">
        <v>7.8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4.5999999999999996</v>
      </c>
      <c r="AX302">
        <v>4.2</v>
      </c>
      <c r="AY302">
        <v>4.5999999999999996</v>
      </c>
      <c r="AZ302">
        <v>0</v>
      </c>
      <c r="BA302">
        <v>2</v>
      </c>
      <c r="BB302">
        <v>48</v>
      </c>
      <c r="BC302">
        <v>26</v>
      </c>
      <c r="BD302">
        <v>42.38</v>
      </c>
      <c r="BE302">
        <v>212</v>
      </c>
      <c r="BF302">
        <v>88.3</v>
      </c>
      <c r="BG302">
        <v>48</v>
      </c>
      <c r="BH302">
        <v>26</v>
      </c>
      <c r="BI302">
        <v>42.38</v>
      </c>
      <c r="BJ302">
        <v>212</v>
      </c>
      <c r="BK302">
        <v>88.3</v>
      </c>
      <c r="BL302">
        <v>342</v>
      </c>
      <c r="BM302">
        <v>3.0583999999999998</v>
      </c>
    </row>
    <row r="303" spans="1:65" x14ac:dyDescent="0.25">
      <c r="A303" t="s">
        <v>366</v>
      </c>
      <c r="B303" t="s">
        <v>1353</v>
      </c>
      <c r="C303" t="s">
        <v>2160</v>
      </c>
      <c r="D303" s="1">
        <v>45418</v>
      </c>
      <c r="E303" s="1">
        <v>45462</v>
      </c>
      <c r="F303" s="1">
        <v>45530</v>
      </c>
      <c r="G303" t="s">
        <v>2163</v>
      </c>
      <c r="H303" t="s">
        <v>2169</v>
      </c>
      <c r="I303" t="s">
        <v>2176</v>
      </c>
      <c r="J303">
        <v>14137</v>
      </c>
      <c r="K303">
        <v>425</v>
      </c>
      <c r="L303">
        <v>7.9</v>
      </c>
      <c r="M303">
        <v>3.4</v>
      </c>
      <c r="N303">
        <v>4</v>
      </c>
      <c r="O303">
        <v>6573</v>
      </c>
      <c r="P303" t="s">
        <v>2176</v>
      </c>
      <c r="Q303">
        <v>10</v>
      </c>
      <c r="R303">
        <v>14</v>
      </c>
      <c r="S303">
        <v>22</v>
      </c>
      <c r="T303">
        <v>672</v>
      </c>
      <c r="U303" t="s">
        <v>2181</v>
      </c>
      <c r="W303" t="s">
        <v>2209</v>
      </c>
      <c r="X303" t="s">
        <v>2211</v>
      </c>
      <c r="Y303" t="s">
        <v>2213</v>
      </c>
      <c r="Z303" s="1">
        <v>45526</v>
      </c>
      <c r="AA303" s="1">
        <v>45529</v>
      </c>
      <c r="AB303" t="s">
        <v>2214</v>
      </c>
      <c r="AC303" t="s">
        <v>2209</v>
      </c>
      <c r="AD303" t="s">
        <v>2219</v>
      </c>
      <c r="AE303" t="s">
        <v>2166</v>
      </c>
      <c r="AF303" t="s">
        <v>2163</v>
      </c>
      <c r="AG303" t="s">
        <v>2222</v>
      </c>
      <c r="AH303">
        <v>46</v>
      </c>
      <c r="AI303">
        <v>64</v>
      </c>
      <c r="AJ303">
        <v>18</v>
      </c>
      <c r="AK303">
        <v>6</v>
      </c>
      <c r="AL303" t="s">
        <v>2223</v>
      </c>
      <c r="AM303">
        <v>0</v>
      </c>
      <c r="AN303" t="s">
        <v>2176</v>
      </c>
      <c r="AO303" t="s">
        <v>2177</v>
      </c>
      <c r="AP303" t="s">
        <v>2176</v>
      </c>
      <c r="AQ303">
        <v>26.86</v>
      </c>
      <c r="AR303">
        <v>1</v>
      </c>
      <c r="AS303">
        <v>1</v>
      </c>
      <c r="AT303">
        <v>2</v>
      </c>
      <c r="AU303">
        <v>1</v>
      </c>
      <c r="AV303">
        <v>1.333333333333333</v>
      </c>
      <c r="AW303">
        <v>4.8</v>
      </c>
      <c r="AX303">
        <v>4.4000000000000004</v>
      </c>
      <c r="AY303">
        <v>4.4000000000000004</v>
      </c>
      <c r="AZ303">
        <v>0</v>
      </c>
      <c r="BA303">
        <v>1</v>
      </c>
      <c r="BB303">
        <v>45</v>
      </c>
      <c r="BC303">
        <v>25</v>
      </c>
      <c r="BD303">
        <v>39.200000000000003</v>
      </c>
      <c r="BE303">
        <v>186</v>
      </c>
      <c r="BF303">
        <v>87.1</v>
      </c>
      <c r="BG303">
        <v>30</v>
      </c>
      <c r="BH303">
        <v>25</v>
      </c>
      <c r="BI303">
        <v>26.48</v>
      </c>
      <c r="BJ303">
        <v>121</v>
      </c>
      <c r="BK303">
        <v>88.3</v>
      </c>
      <c r="BL303">
        <v>307</v>
      </c>
      <c r="BM303">
        <v>3.0396000000000001</v>
      </c>
    </row>
    <row r="304" spans="1:65" x14ac:dyDescent="0.25">
      <c r="A304" t="s">
        <v>367</v>
      </c>
      <c r="B304" t="s">
        <v>1405</v>
      </c>
      <c r="C304" t="s">
        <v>2159</v>
      </c>
      <c r="D304" s="1">
        <v>45313</v>
      </c>
      <c r="E304" s="1">
        <v>45352</v>
      </c>
      <c r="F304" s="1">
        <v>45432</v>
      </c>
      <c r="G304" t="s">
        <v>2164</v>
      </c>
      <c r="H304" t="s">
        <v>2170</v>
      </c>
      <c r="I304" t="s">
        <v>2175</v>
      </c>
      <c r="J304">
        <v>28069</v>
      </c>
      <c r="K304">
        <v>843</v>
      </c>
      <c r="L304">
        <v>13.1</v>
      </c>
      <c r="M304">
        <v>11.4</v>
      </c>
      <c r="N304">
        <v>7</v>
      </c>
      <c r="O304">
        <v>12211</v>
      </c>
      <c r="P304" t="s">
        <v>2177</v>
      </c>
      <c r="Q304">
        <v>14</v>
      </c>
      <c r="R304">
        <v>20</v>
      </c>
      <c r="S304">
        <v>31</v>
      </c>
      <c r="T304">
        <v>907</v>
      </c>
      <c r="U304" t="s">
        <v>2192</v>
      </c>
      <c r="W304" t="s">
        <v>2209</v>
      </c>
      <c r="X304" t="s">
        <v>2211</v>
      </c>
      <c r="Y304" t="s">
        <v>2213</v>
      </c>
      <c r="Z304" s="1">
        <v>45439</v>
      </c>
      <c r="AA304" s="1">
        <v>45444</v>
      </c>
      <c r="AB304" t="s">
        <v>2215</v>
      </c>
      <c r="AC304" t="s">
        <v>2208</v>
      </c>
      <c r="AD304" t="s">
        <v>2219</v>
      </c>
      <c r="AE304" t="s">
        <v>2164</v>
      </c>
      <c r="AF304" t="s">
        <v>2165</v>
      </c>
      <c r="AG304" t="s">
        <v>2222</v>
      </c>
      <c r="AH304">
        <v>65</v>
      </c>
      <c r="AI304">
        <v>87</v>
      </c>
      <c r="AJ304">
        <v>22</v>
      </c>
      <c r="AK304">
        <v>3</v>
      </c>
      <c r="AL304" t="s">
        <v>2227</v>
      </c>
      <c r="AM304">
        <v>0</v>
      </c>
      <c r="AN304" t="s">
        <v>2175</v>
      </c>
      <c r="AO304" t="s">
        <v>2175</v>
      </c>
      <c r="AP304" t="s">
        <v>2177</v>
      </c>
      <c r="AQ304">
        <v>149.34</v>
      </c>
      <c r="AR304">
        <v>2</v>
      </c>
      <c r="AS304">
        <v>3</v>
      </c>
      <c r="AT304">
        <v>3</v>
      </c>
      <c r="AU304">
        <v>2</v>
      </c>
      <c r="AV304">
        <v>2.666666666666667</v>
      </c>
      <c r="AW304">
        <v>4.5</v>
      </c>
      <c r="AX304">
        <v>4.5999999999999996</v>
      </c>
      <c r="AY304">
        <v>4.5</v>
      </c>
      <c r="AZ304">
        <v>3</v>
      </c>
      <c r="BA304">
        <v>0</v>
      </c>
      <c r="BB304">
        <v>30</v>
      </c>
      <c r="BC304">
        <v>26</v>
      </c>
      <c r="BD304">
        <v>26.31</v>
      </c>
      <c r="BE304">
        <v>128</v>
      </c>
      <c r="BF304">
        <v>87.7</v>
      </c>
      <c r="BG304">
        <v>30</v>
      </c>
      <c r="BH304">
        <v>26</v>
      </c>
      <c r="BI304">
        <v>26.31</v>
      </c>
      <c r="BJ304">
        <v>128</v>
      </c>
      <c r="BK304">
        <v>87.7</v>
      </c>
      <c r="BL304">
        <v>340</v>
      </c>
      <c r="BM304">
        <v>8.4316999999999993</v>
      </c>
    </row>
    <row r="305" spans="1:65" x14ac:dyDescent="0.25">
      <c r="A305" t="s">
        <v>368</v>
      </c>
      <c r="B305" t="s">
        <v>1406</v>
      </c>
      <c r="C305" t="s">
        <v>2160</v>
      </c>
      <c r="D305" s="1">
        <v>45404</v>
      </c>
      <c r="E305" s="1">
        <v>45445</v>
      </c>
      <c r="F305" s="1">
        <v>45507</v>
      </c>
      <c r="G305" t="s">
        <v>2161</v>
      </c>
      <c r="H305" t="s">
        <v>2167</v>
      </c>
      <c r="I305" t="s">
        <v>2173</v>
      </c>
      <c r="J305">
        <v>14082</v>
      </c>
      <c r="K305">
        <v>423</v>
      </c>
      <c r="L305">
        <v>12.9</v>
      </c>
      <c r="M305">
        <v>10.5</v>
      </c>
      <c r="N305">
        <v>3</v>
      </c>
      <c r="O305">
        <v>14175</v>
      </c>
      <c r="P305" t="s">
        <v>2176</v>
      </c>
      <c r="Q305">
        <v>10</v>
      </c>
      <c r="R305">
        <v>14</v>
      </c>
      <c r="S305">
        <v>17</v>
      </c>
      <c r="T305">
        <v>842</v>
      </c>
      <c r="U305" t="s">
        <v>2179</v>
      </c>
      <c r="W305" t="s">
        <v>2209</v>
      </c>
      <c r="X305" t="s">
        <v>2211</v>
      </c>
      <c r="Y305" t="s">
        <v>2213</v>
      </c>
      <c r="Z305" s="1">
        <v>45503</v>
      </c>
      <c r="AA305" s="1">
        <v>45508</v>
      </c>
      <c r="AB305" t="s">
        <v>2214</v>
      </c>
      <c r="AC305" t="s">
        <v>2209</v>
      </c>
      <c r="AD305" t="s">
        <v>2219</v>
      </c>
      <c r="AE305" t="s">
        <v>2165</v>
      </c>
      <c r="AF305" t="s">
        <v>2162</v>
      </c>
      <c r="AG305" t="s">
        <v>2222</v>
      </c>
      <c r="AH305">
        <v>41</v>
      </c>
      <c r="AI305">
        <v>58</v>
      </c>
      <c r="AJ305">
        <v>17</v>
      </c>
      <c r="AK305">
        <v>6</v>
      </c>
      <c r="AL305" t="s">
        <v>2223</v>
      </c>
      <c r="AM305">
        <v>0</v>
      </c>
      <c r="AN305" t="s">
        <v>2175</v>
      </c>
      <c r="AO305" t="s">
        <v>2176</v>
      </c>
      <c r="AP305" t="s">
        <v>2177</v>
      </c>
      <c r="AQ305">
        <v>135.44999999999999</v>
      </c>
      <c r="AR305">
        <v>1</v>
      </c>
      <c r="AS305">
        <v>3</v>
      </c>
      <c r="AT305">
        <v>1</v>
      </c>
      <c r="AU305">
        <v>2</v>
      </c>
      <c r="AV305">
        <v>2</v>
      </c>
      <c r="AW305">
        <v>4.5999999999999996</v>
      </c>
      <c r="AX305">
        <v>4.2</v>
      </c>
      <c r="AY305">
        <v>4.3</v>
      </c>
      <c r="AZ305">
        <v>0</v>
      </c>
      <c r="BA305">
        <v>3</v>
      </c>
      <c r="BB305">
        <v>40</v>
      </c>
      <c r="BC305">
        <v>25</v>
      </c>
      <c r="BD305">
        <v>34.72</v>
      </c>
      <c r="BE305">
        <v>161</v>
      </c>
      <c r="BF305">
        <v>86.8</v>
      </c>
      <c r="BG305">
        <v>36</v>
      </c>
      <c r="BH305">
        <v>25</v>
      </c>
      <c r="BI305">
        <v>31.92</v>
      </c>
      <c r="BJ305">
        <v>149</v>
      </c>
      <c r="BK305">
        <v>88.7</v>
      </c>
      <c r="BL305">
        <v>278</v>
      </c>
      <c r="BM305">
        <v>3.4977999999999998</v>
      </c>
    </row>
    <row r="306" spans="1:65" x14ac:dyDescent="0.25">
      <c r="A306" t="s">
        <v>369</v>
      </c>
      <c r="B306" t="s">
        <v>1360</v>
      </c>
      <c r="C306" t="s">
        <v>2158</v>
      </c>
      <c r="D306" s="1">
        <v>45327</v>
      </c>
      <c r="E306" s="1">
        <v>45359</v>
      </c>
      <c r="F306" s="1">
        <v>45417</v>
      </c>
      <c r="G306" t="s">
        <v>2166</v>
      </c>
      <c r="H306" t="s">
        <v>2172</v>
      </c>
      <c r="I306" t="s">
        <v>2174</v>
      </c>
      <c r="J306">
        <v>6731</v>
      </c>
      <c r="K306">
        <v>202</v>
      </c>
      <c r="L306">
        <v>7.2</v>
      </c>
      <c r="M306">
        <v>4.4000000000000004</v>
      </c>
      <c r="N306">
        <v>3</v>
      </c>
      <c r="O306">
        <v>6664</v>
      </c>
      <c r="P306" t="s">
        <v>2176</v>
      </c>
      <c r="Q306">
        <v>7</v>
      </c>
      <c r="R306">
        <v>10</v>
      </c>
      <c r="S306">
        <v>11</v>
      </c>
      <c r="T306">
        <v>666</v>
      </c>
      <c r="U306" t="s">
        <v>2166</v>
      </c>
      <c r="V306" t="s">
        <v>2172</v>
      </c>
      <c r="W306" t="s">
        <v>2208</v>
      </c>
      <c r="X306" t="s">
        <v>2210</v>
      </c>
      <c r="Y306" t="s">
        <v>2212</v>
      </c>
      <c r="Z306" s="1">
        <v>45403</v>
      </c>
      <c r="AA306" s="1">
        <v>45409</v>
      </c>
      <c r="AB306" t="s">
        <v>2214</v>
      </c>
      <c r="AC306" t="s">
        <v>2209</v>
      </c>
      <c r="AD306" t="s">
        <v>2216</v>
      </c>
      <c r="AE306" t="s">
        <v>2166</v>
      </c>
      <c r="AG306" t="s">
        <v>2220</v>
      </c>
      <c r="AH306">
        <v>28</v>
      </c>
      <c r="AI306">
        <v>44</v>
      </c>
      <c r="AJ306">
        <v>16</v>
      </c>
      <c r="AK306">
        <v>3</v>
      </c>
      <c r="AL306" t="s">
        <v>2227</v>
      </c>
      <c r="AM306">
        <v>0</v>
      </c>
      <c r="AN306" t="s">
        <v>2176</v>
      </c>
      <c r="AO306" t="s">
        <v>2176</v>
      </c>
      <c r="AP306" t="s">
        <v>2176</v>
      </c>
      <c r="AQ306">
        <v>31.68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4.8</v>
      </c>
      <c r="AY306">
        <v>4.8</v>
      </c>
      <c r="AZ306">
        <v>2</v>
      </c>
      <c r="BA306">
        <v>2</v>
      </c>
      <c r="BB306">
        <v>49</v>
      </c>
      <c r="BC306">
        <v>26</v>
      </c>
      <c r="BD306">
        <v>43.12</v>
      </c>
      <c r="BE306">
        <v>216</v>
      </c>
      <c r="BF306">
        <v>88</v>
      </c>
      <c r="BG306">
        <v>49</v>
      </c>
      <c r="BH306">
        <v>26</v>
      </c>
      <c r="BI306">
        <v>43.12</v>
      </c>
      <c r="BJ306">
        <v>216</v>
      </c>
      <c r="BK306">
        <v>88</v>
      </c>
      <c r="BL306">
        <v>216</v>
      </c>
      <c r="BM306">
        <v>1.1982999999999999</v>
      </c>
    </row>
    <row r="307" spans="1:65" x14ac:dyDescent="0.25">
      <c r="A307" t="s">
        <v>370</v>
      </c>
      <c r="B307" t="s">
        <v>1199</v>
      </c>
      <c r="C307" t="s">
        <v>2160</v>
      </c>
      <c r="D307" s="1">
        <v>45453</v>
      </c>
      <c r="E307" s="1">
        <v>45484</v>
      </c>
      <c r="F307" s="1">
        <v>45539</v>
      </c>
      <c r="G307" t="s">
        <v>2165</v>
      </c>
      <c r="H307" t="s">
        <v>2171</v>
      </c>
      <c r="I307" t="s">
        <v>2175</v>
      </c>
      <c r="J307">
        <v>16873</v>
      </c>
      <c r="K307">
        <v>507</v>
      </c>
      <c r="L307">
        <v>12.9</v>
      </c>
      <c r="M307">
        <v>13.2</v>
      </c>
      <c r="N307">
        <v>7</v>
      </c>
      <c r="O307">
        <v>13126</v>
      </c>
      <c r="P307" t="s">
        <v>2177</v>
      </c>
      <c r="Q307">
        <v>10</v>
      </c>
      <c r="R307">
        <v>14</v>
      </c>
      <c r="S307">
        <v>20</v>
      </c>
      <c r="T307">
        <v>848</v>
      </c>
      <c r="U307" t="s">
        <v>2184</v>
      </c>
      <c r="W307" t="s">
        <v>2209</v>
      </c>
      <c r="X307" t="s">
        <v>2211</v>
      </c>
      <c r="Y307" t="s">
        <v>2213</v>
      </c>
      <c r="Z307" s="1">
        <v>45546</v>
      </c>
      <c r="AA307" s="1">
        <v>45550</v>
      </c>
      <c r="AB307" t="s">
        <v>2215</v>
      </c>
      <c r="AC307" t="s">
        <v>2208</v>
      </c>
      <c r="AD307" t="s">
        <v>2219</v>
      </c>
      <c r="AE307" t="s">
        <v>2163</v>
      </c>
      <c r="AF307" t="s">
        <v>2162</v>
      </c>
      <c r="AG307" t="s">
        <v>2222</v>
      </c>
      <c r="AH307">
        <v>44</v>
      </c>
      <c r="AI307">
        <v>62</v>
      </c>
      <c r="AJ307">
        <v>18</v>
      </c>
      <c r="AK307">
        <v>7</v>
      </c>
      <c r="AL307" t="s">
        <v>2226</v>
      </c>
      <c r="AM307">
        <v>0</v>
      </c>
      <c r="AN307" t="s">
        <v>2175</v>
      </c>
      <c r="AO307" t="s">
        <v>2175</v>
      </c>
      <c r="AP307" t="s">
        <v>2177</v>
      </c>
      <c r="AQ307">
        <v>170.28</v>
      </c>
      <c r="AR307">
        <v>2</v>
      </c>
      <c r="AS307">
        <v>3</v>
      </c>
      <c r="AT307">
        <v>3</v>
      </c>
      <c r="AU307">
        <v>2</v>
      </c>
      <c r="AV307">
        <v>2.666666666666667</v>
      </c>
      <c r="AW307">
        <v>4.4000000000000004</v>
      </c>
      <c r="AX307">
        <v>4.2</v>
      </c>
      <c r="AY307">
        <v>4.5999999999999996</v>
      </c>
      <c r="AZ307">
        <v>0</v>
      </c>
      <c r="BA307">
        <v>0</v>
      </c>
      <c r="BB307">
        <v>33</v>
      </c>
      <c r="BC307">
        <v>27</v>
      </c>
      <c r="BD307">
        <v>28.89</v>
      </c>
      <c r="BE307">
        <v>145</v>
      </c>
      <c r="BF307">
        <v>87.5</v>
      </c>
      <c r="BG307">
        <v>38</v>
      </c>
      <c r="BH307">
        <v>27</v>
      </c>
      <c r="BI307">
        <v>34</v>
      </c>
      <c r="BJ307">
        <v>174</v>
      </c>
      <c r="BK307">
        <v>89.5</v>
      </c>
      <c r="BL307">
        <v>278</v>
      </c>
      <c r="BM307">
        <v>4.3087</v>
      </c>
    </row>
    <row r="308" spans="1:65" x14ac:dyDescent="0.25">
      <c r="A308" t="s">
        <v>371</v>
      </c>
      <c r="B308" t="s">
        <v>1407</v>
      </c>
      <c r="C308" t="s">
        <v>2159</v>
      </c>
      <c r="D308" s="1">
        <v>45397</v>
      </c>
      <c r="E308" s="1">
        <v>45434</v>
      </c>
      <c r="F308" s="1">
        <v>45542</v>
      </c>
      <c r="G308" t="s">
        <v>2161</v>
      </c>
      <c r="H308" t="s">
        <v>2167</v>
      </c>
      <c r="I308" t="s">
        <v>2174</v>
      </c>
      <c r="J308">
        <v>22951</v>
      </c>
      <c r="K308">
        <v>689</v>
      </c>
      <c r="L308">
        <v>2.5</v>
      </c>
      <c r="M308">
        <v>1.6</v>
      </c>
      <c r="N308">
        <v>2</v>
      </c>
      <c r="O308">
        <v>5119</v>
      </c>
      <c r="P308" t="s">
        <v>2176</v>
      </c>
      <c r="Q308">
        <v>14</v>
      </c>
      <c r="R308">
        <v>20</v>
      </c>
      <c r="S308">
        <v>40</v>
      </c>
      <c r="T308">
        <v>582</v>
      </c>
      <c r="U308" t="s">
        <v>2182</v>
      </c>
      <c r="W308" t="s">
        <v>2209</v>
      </c>
      <c r="X308" t="s">
        <v>2211</v>
      </c>
      <c r="Y308" t="s">
        <v>2213</v>
      </c>
      <c r="Z308" s="1">
        <v>45531</v>
      </c>
      <c r="AA308" s="1">
        <v>45536</v>
      </c>
      <c r="AB308" t="s">
        <v>2214</v>
      </c>
      <c r="AC308" t="s">
        <v>2209</v>
      </c>
      <c r="AD308" t="s">
        <v>2219</v>
      </c>
      <c r="AE308" t="s">
        <v>2166</v>
      </c>
      <c r="AF308" t="s">
        <v>2162</v>
      </c>
      <c r="AG308" t="s">
        <v>2222</v>
      </c>
      <c r="AH308">
        <v>74</v>
      </c>
      <c r="AI308">
        <v>97</v>
      </c>
      <c r="AJ308">
        <v>23</v>
      </c>
      <c r="AK308">
        <v>5</v>
      </c>
      <c r="AL308" t="s">
        <v>2224</v>
      </c>
      <c r="AM308">
        <v>0</v>
      </c>
      <c r="AN308" t="s">
        <v>2176</v>
      </c>
      <c r="AO308" t="s">
        <v>2176</v>
      </c>
      <c r="AP308" t="s">
        <v>2176</v>
      </c>
      <c r="AQ308">
        <v>4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4.8</v>
      </c>
      <c r="AX308">
        <v>4.2</v>
      </c>
      <c r="AY308">
        <v>4.3</v>
      </c>
      <c r="AZ308">
        <v>3</v>
      </c>
      <c r="BA308">
        <v>2</v>
      </c>
      <c r="BB308">
        <v>43</v>
      </c>
      <c r="BC308">
        <v>27</v>
      </c>
      <c r="BD308">
        <v>37.299999999999997</v>
      </c>
      <c r="BE308">
        <v>193</v>
      </c>
      <c r="BF308">
        <v>86.7</v>
      </c>
      <c r="BG308">
        <v>33</v>
      </c>
      <c r="BH308">
        <v>27</v>
      </c>
      <c r="BI308">
        <v>28.96</v>
      </c>
      <c r="BJ308">
        <v>147</v>
      </c>
      <c r="BK308">
        <v>87.8</v>
      </c>
      <c r="BL308">
        <v>301</v>
      </c>
      <c r="BM308">
        <v>4.4035000000000002</v>
      </c>
    </row>
    <row r="309" spans="1:65" x14ac:dyDescent="0.25">
      <c r="A309" t="s">
        <v>372</v>
      </c>
      <c r="B309" t="s">
        <v>1253</v>
      </c>
      <c r="C309" t="s">
        <v>2159</v>
      </c>
      <c r="D309" s="1">
        <v>45362</v>
      </c>
      <c r="E309" s="1">
        <v>45404</v>
      </c>
      <c r="F309" s="1">
        <v>45482</v>
      </c>
      <c r="G309" t="s">
        <v>2162</v>
      </c>
      <c r="H309" t="s">
        <v>2168</v>
      </c>
      <c r="I309" t="s">
        <v>2174</v>
      </c>
      <c r="J309">
        <v>12154</v>
      </c>
      <c r="K309">
        <v>365</v>
      </c>
      <c r="L309">
        <v>2.9</v>
      </c>
      <c r="M309">
        <v>2.6</v>
      </c>
      <c r="N309">
        <v>3</v>
      </c>
      <c r="O309">
        <v>2233</v>
      </c>
      <c r="P309" t="s">
        <v>2176</v>
      </c>
      <c r="Q309">
        <v>10</v>
      </c>
      <c r="R309">
        <v>14</v>
      </c>
      <c r="S309">
        <v>19</v>
      </c>
      <c r="T309">
        <v>640</v>
      </c>
      <c r="U309" t="s">
        <v>2201</v>
      </c>
      <c r="W309" t="s">
        <v>2209</v>
      </c>
      <c r="X309" t="s">
        <v>2211</v>
      </c>
      <c r="Y309" t="s">
        <v>2213</v>
      </c>
      <c r="Z309" s="1">
        <v>45464</v>
      </c>
      <c r="AA309" s="1">
        <v>45466</v>
      </c>
      <c r="AB309" t="s">
        <v>2214</v>
      </c>
      <c r="AC309" t="s">
        <v>2209</v>
      </c>
      <c r="AD309" t="s">
        <v>2219</v>
      </c>
      <c r="AE309" t="s">
        <v>2165</v>
      </c>
      <c r="AF309" t="s">
        <v>2161</v>
      </c>
      <c r="AG309" t="s">
        <v>2222</v>
      </c>
      <c r="AH309">
        <v>43</v>
      </c>
      <c r="AI309">
        <v>60</v>
      </c>
      <c r="AJ309">
        <v>17</v>
      </c>
      <c r="AK309">
        <v>4</v>
      </c>
      <c r="AL309" t="s">
        <v>2225</v>
      </c>
      <c r="AM309">
        <v>0</v>
      </c>
      <c r="AN309" t="s">
        <v>2176</v>
      </c>
      <c r="AO309" t="s">
        <v>2176</v>
      </c>
      <c r="AP309" t="s">
        <v>2176</v>
      </c>
      <c r="AQ309">
        <v>7.54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4.5999999999999996</v>
      </c>
      <c r="AX309">
        <v>4.3</v>
      </c>
      <c r="AY309">
        <v>4.2</v>
      </c>
      <c r="AZ309">
        <v>3</v>
      </c>
      <c r="BA309">
        <v>2</v>
      </c>
      <c r="BB309">
        <v>46</v>
      </c>
      <c r="BC309">
        <v>26</v>
      </c>
      <c r="BD309">
        <v>40.729999999999997</v>
      </c>
      <c r="BE309">
        <v>203</v>
      </c>
      <c r="BF309">
        <v>88.5</v>
      </c>
      <c r="BG309">
        <v>25</v>
      </c>
      <c r="BH309">
        <v>26</v>
      </c>
      <c r="BI309">
        <v>21.81</v>
      </c>
      <c r="BJ309">
        <v>104</v>
      </c>
      <c r="BK309">
        <v>87.2</v>
      </c>
      <c r="BL309">
        <v>341</v>
      </c>
      <c r="BM309">
        <v>2.3022999999999998</v>
      </c>
    </row>
    <row r="310" spans="1:65" x14ac:dyDescent="0.25">
      <c r="A310" t="s">
        <v>373</v>
      </c>
      <c r="B310" t="s">
        <v>1361</v>
      </c>
      <c r="C310" t="s">
        <v>2160</v>
      </c>
      <c r="D310" s="1">
        <v>45334</v>
      </c>
      <c r="E310" s="1">
        <v>45374</v>
      </c>
      <c r="F310" s="1">
        <v>45422</v>
      </c>
      <c r="G310" t="s">
        <v>2163</v>
      </c>
      <c r="H310" t="s">
        <v>2169</v>
      </c>
      <c r="I310" t="s">
        <v>2176</v>
      </c>
      <c r="J310">
        <v>5240</v>
      </c>
      <c r="K310">
        <v>158</v>
      </c>
      <c r="L310">
        <v>4.2</v>
      </c>
      <c r="M310">
        <v>10.3</v>
      </c>
      <c r="N310">
        <v>5</v>
      </c>
      <c r="O310">
        <v>6715</v>
      </c>
      <c r="P310" t="s">
        <v>2176</v>
      </c>
      <c r="Q310">
        <v>7</v>
      </c>
      <c r="R310">
        <v>10</v>
      </c>
      <c r="S310">
        <v>7</v>
      </c>
      <c r="T310">
        <v>764</v>
      </c>
      <c r="U310" t="s">
        <v>2164</v>
      </c>
      <c r="V310" t="s">
        <v>2170</v>
      </c>
      <c r="W310" t="s">
        <v>2209</v>
      </c>
      <c r="X310" t="s">
        <v>2211</v>
      </c>
      <c r="Y310" t="s">
        <v>2212</v>
      </c>
      <c r="Z310" s="1">
        <v>45412</v>
      </c>
      <c r="AA310" s="1">
        <v>45416</v>
      </c>
      <c r="AB310" t="s">
        <v>2214</v>
      </c>
      <c r="AC310" t="s">
        <v>2209</v>
      </c>
      <c r="AD310" t="s">
        <v>2218</v>
      </c>
      <c r="AE310" t="s">
        <v>2164</v>
      </c>
      <c r="AG310" t="s">
        <v>2221</v>
      </c>
      <c r="AH310">
        <v>24</v>
      </c>
      <c r="AI310">
        <v>38</v>
      </c>
      <c r="AJ310">
        <v>14</v>
      </c>
      <c r="AK310">
        <v>3</v>
      </c>
      <c r="AL310" t="s">
        <v>2227</v>
      </c>
      <c r="AM310">
        <v>0</v>
      </c>
      <c r="AN310" t="s">
        <v>2177</v>
      </c>
      <c r="AO310" t="s">
        <v>2177</v>
      </c>
      <c r="AP310" t="s">
        <v>2176</v>
      </c>
      <c r="AQ310">
        <v>43.260000000000012</v>
      </c>
      <c r="AR310">
        <v>1</v>
      </c>
      <c r="AS310">
        <v>2</v>
      </c>
      <c r="AT310">
        <v>2</v>
      </c>
      <c r="AU310">
        <v>1</v>
      </c>
      <c r="AV310">
        <v>1.666666666666667</v>
      </c>
      <c r="AW310">
        <v>4.5</v>
      </c>
      <c r="AY310">
        <v>4.4000000000000004</v>
      </c>
      <c r="AZ310">
        <v>0</v>
      </c>
      <c r="BA310">
        <v>1</v>
      </c>
      <c r="BB310">
        <v>30</v>
      </c>
      <c r="BC310">
        <v>26</v>
      </c>
      <c r="BD310">
        <v>26.31</v>
      </c>
      <c r="BE310">
        <v>128</v>
      </c>
      <c r="BF310">
        <v>87.7</v>
      </c>
      <c r="BG310">
        <v>35</v>
      </c>
      <c r="BH310">
        <v>26</v>
      </c>
      <c r="BI310">
        <v>31.08</v>
      </c>
      <c r="BJ310">
        <v>149</v>
      </c>
      <c r="BK310">
        <v>88.8</v>
      </c>
      <c r="BL310">
        <v>128</v>
      </c>
      <c r="BM310">
        <v>1.5740000000000001</v>
      </c>
    </row>
    <row r="311" spans="1:65" x14ac:dyDescent="0.25">
      <c r="A311" t="s">
        <v>374</v>
      </c>
      <c r="B311" t="s">
        <v>1408</v>
      </c>
      <c r="C311" t="s">
        <v>2159</v>
      </c>
      <c r="D311" s="1">
        <v>45369</v>
      </c>
      <c r="E311" s="1">
        <v>45412</v>
      </c>
      <c r="F311" s="1">
        <v>45514</v>
      </c>
      <c r="G311" t="s">
        <v>2165</v>
      </c>
      <c r="H311" t="s">
        <v>2171</v>
      </c>
      <c r="I311" t="s">
        <v>2176</v>
      </c>
      <c r="J311">
        <v>28507</v>
      </c>
      <c r="K311">
        <v>856</v>
      </c>
      <c r="L311">
        <v>9.9</v>
      </c>
      <c r="M311">
        <v>10.4</v>
      </c>
      <c r="N311">
        <v>5</v>
      </c>
      <c r="O311">
        <v>9468</v>
      </c>
      <c r="P311" t="s">
        <v>2177</v>
      </c>
      <c r="Q311">
        <v>14</v>
      </c>
      <c r="R311">
        <v>20</v>
      </c>
      <c r="S311">
        <v>38</v>
      </c>
      <c r="T311">
        <v>756</v>
      </c>
      <c r="U311" t="s">
        <v>2187</v>
      </c>
      <c r="W311" t="s">
        <v>2209</v>
      </c>
      <c r="X311" t="s">
        <v>2211</v>
      </c>
      <c r="Y311" t="s">
        <v>2213</v>
      </c>
      <c r="Z311" s="1">
        <v>45506</v>
      </c>
      <c r="AA311" s="1">
        <v>45508</v>
      </c>
      <c r="AB311" t="s">
        <v>2214</v>
      </c>
      <c r="AC311" t="s">
        <v>2209</v>
      </c>
      <c r="AD311" t="s">
        <v>2219</v>
      </c>
      <c r="AE311" t="s">
        <v>2161</v>
      </c>
      <c r="AF311" t="s">
        <v>2162</v>
      </c>
      <c r="AG311" t="s">
        <v>2222</v>
      </c>
      <c r="AH311">
        <v>72</v>
      </c>
      <c r="AI311">
        <v>94</v>
      </c>
      <c r="AJ311">
        <v>22</v>
      </c>
      <c r="AK311">
        <v>4</v>
      </c>
      <c r="AL311" t="s">
        <v>2225</v>
      </c>
      <c r="AM311">
        <v>0</v>
      </c>
      <c r="AN311" t="s">
        <v>2177</v>
      </c>
      <c r="AO311" t="s">
        <v>2177</v>
      </c>
      <c r="AP311" t="s">
        <v>2177</v>
      </c>
      <c r="AQ311">
        <v>102.96</v>
      </c>
      <c r="AR311">
        <v>2</v>
      </c>
      <c r="AS311">
        <v>2</v>
      </c>
      <c r="AT311">
        <v>2</v>
      </c>
      <c r="AU311">
        <v>2</v>
      </c>
      <c r="AV311">
        <v>2</v>
      </c>
      <c r="AW311">
        <v>4.3</v>
      </c>
      <c r="AX311">
        <v>4.2</v>
      </c>
      <c r="AY311">
        <v>4.5999999999999996</v>
      </c>
      <c r="AZ311">
        <v>3</v>
      </c>
      <c r="BA311">
        <v>1</v>
      </c>
      <c r="BB311">
        <v>32</v>
      </c>
      <c r="BC311">
        <v>26</v>
      </c>
      <c r="BD311">
        <v>28.46</v>
      </c>
      <c r="BE311">
        <v>138</v>
      </c>
      <c r="BF311">
        <v>88.9</v>
      </c>
      <c r="BG311">
        <v>46</v>
      </c>
      <c r="BH311">
        <v>26</v>
      </c>
      <c r="BI311">
        <v>40.729999999999997</v>
      </c>
      <c r="BJ311">
        <v>203</v>
      </c>
      <c r="BK311">
        <v>88.5</v>
      </c>
      <c r="BL311">
        <v>242</v>
      </c>
      <c r="BM311">
        <v>7.9428999999999998</v>
      </c>
    </row>
    <row r="312" spans="1:65" x14ac:dyDescent="0.25">
      <c r="A312" t="s">
        <v>375</v>
      </c>
      <c r="B312" t="s">
        <v>1233</v>
      </c>
      <c r="C312" t="s">
        <v>2158</v>
      </c>
      <c r="D312" s="1">
        <v>45439</v>
      </c>
      <c r="E312" s="1">
        <v>45472</v>
      </c>
      <c r="F312" s="1">
        <v>45546</v>
      </c>
      <c r="G312" t="s">
        <v>2162</v>
      </c>
      <c r="H312" t="s">
        <v>2168</v>
      </c>
      <c r="I312" t="s">
        <v>2174</v>
      </c>
      <c r="J312">
        <v>12279</v>
      </c>
      <c r="K312">
        <v>369</v>
      </c>
      <c r="L312">
        <v>2.1</v>
      </c>
      <c r="M312">
        <v>7</v>
      </c>
      <c r="N312">
        <v>1</v>
      </c>
      <c r="O312">
        <v>6368</v>
      </c>
      <c r="P312" t="s">
        <v>2176</v>
      </c>
      <c r="Q312">
        <v>10</v>
      </c>
      <c r="R312">
        <v>14</v>
      </c>
      <c r="S312">
        <v>18</v>
      </c>
      <c r="T312">
        <v>699</v>
      </c>
      <c r="U312" t="s">
        <v>2182</v>
      </c>
      <c r="W312" t="s">
        <v>2209</v>
      </c>
      <c r="X312" t="s">
        <v>2211</v>
      </c>
      <c r="Y312" t="s">
        <v>2213</v>
      </c>
      <c r="Z312" s="1">
        <v>45532</v>
      </c>
      <c r="AA312" s="1">
        <v>45536</v>
      </c>
      <c r="AB312" t="s">
        <v>2214</v>
      </c>
      <c r="AC312" t="s">
        <v>2209</v>
      </c>
      <c r="AD312" t="s">
        <v>2219</v>
      </c>
      <c r="AE312" t="s">
        <v>2166</v>
      </c>
      <c r="AF312" t="s">
        <v>2162</v>
      </c>
      <c r="AG312" t="s">
        <v>2222</v>
      </c>
      <c r="AH312">
        <v>42</v>
      </c>
      <c r="AI312">
        <v>60</v>
      </c>
      <c r="AJ312">
        <v>18</v>
      </c>
      <c r="AK312">
        <v>6</v>
      </c>
      <c r="AL312" t="s">
        <v>2223</v>
      </c>
      <c r="AM312">
        <v>0</v>
      </c>
      <c r="AN312" t="s">
        <v>2176</v>
      </c>
      <c r="AO312" t="s">
        <v>2176</v>
      </c>
      <c r="AP312" t="s">
        <v>2176</v>
      </c>
      <c r="AQ312">
        <v>14.7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4.8</v>
      </c>
      <c r="AX312">
        <v>4.2</v>
      </c>
      <c r="AY312">
        <v>4.2</v>
      </c>
      <c r="AZ312">
        <v>2</v>
      </c>
      <c r="BA312">
        <v>2</v>
      </c>
      <c r="BB312">
        <v>45</v>
      </c>
      <c r="BC312">
        <v>25</v>
      </c>
      <c r="BD312">
        <v>39.200000000000003</v>
      </c>
      <c r="BE312">
        <v>186</v>
      </c>
      <c r="BF312">
        <v>87.1</v>
      </c>
      <c r="BG312">
        <v>29</v>
      </c>
      <c r="BH312">
        <v>25</v>
      </c>
      <c r="BI312">
        <v>25.56</v>
      </c>
      <c r="BJ312">
        <v>117</v>
      </c>
      <c r="BK312">
        <v>88.1</v>
      </c>
      <c r="BL312">
        <v>303</v>
      </c>
      <c r="BM312">
        <v>2.6400999999999999</v>
      </c>
    </row>
    <row r="313" spans="1:65" x14ac:dyDescent="0.25">
      <c r="A313" t="s">
        <v>376</v>
      </c>
      <c r="B313" t="s">
        <v>1409</v>
      </c>
      <c r="C313" t="s">
        <v>2157</v>
      </c>
      <c r="D313" s="1">
        <v>45327</v>
      </c>
      <c r="E313" s="1">
        <v>45371</v>
      </c>
      <c r="F313" s="1">
        <v>45537</v>
      </c>
      <c r="G313" t="s">
        <v>2161</v>
      </c>
      <c r="H313" t="s">
        <v>2167</v>
      </c>
      <c r="I313" t="s">
        <v>2176</v>
      </c>
      <c r="J313">
        <v>52401</v>
      </c>
      <c r="K313">
        <v>1573</v>
      </c>
      <c r="L313">
        <v>5.0999999999999996</v>
      </c>
      <c r="M313">
        <v>10.8</v>
      </c>
      <c r="N313">
        <v>5</v>
      </c>
      <c r="O313">
        <v>9473</v>
      </c>
      <c r="P313" t="s">
        <v>2177</v>
      </c>
      <c r="Q313">
        <v>18</v>
      </c>
      <c r="R313">
        <v>30</v>
      </c>
      <c r="S313">
        <v>80</v>
      </c>
      <c r="T313">
        <v>656</v>
      </c>
      <c r="U313" t="s">
        <v>2179</v>
      </c>
      <c r="W313" t="s">
        <v>2209</v>
      </c>
      <c r="X313" t="s">
        <v>2211</v>
      </c>
      <c r="Y313" t="s">
        <v>2213</v>
      </c>
      <c r="Z313" s="1">
        <v>45531</v>
      </c>
      <c r="AA313" s="1">
        <v>45535</v>
      </c>
      <c r="AB313" t="s">
        <v>2214</v>
      </c>
      <c r="AC313" t="s">
        <v>2209</v>
      </c>
      <c r="AD313" t="s">
        <v>2219</v>
      </c>
      <c r="AE313" t="s">
        <v>2165</v>
      </c>
      <c r="AF313" t="s">
        <v>2162</v>
      </c>
      <c r="AG313" t="s">
        <v>2222</v>
      </c>
      <c r="AH313">
        <v>128</v>
      </c>
      <c r="AI313">
        <v>160</v>
      </c>
      <c r="AJ313">
        <v>32</v>
      </c>
      <c r="AK313">
        <v>3</v>
      </c>
      <c r="AL313" t="s">
        <v>2227</v>
      </c>
      <c r="AM313">
        <v>0</v>
      </c>
      <c r="AN313" t="s">
        <v>2177</v>
      </c>
      <c r="AO313" t="s">
        <v>2177</v>
      </c>
      <c r="AP313" t="s">
        <v>2177</v>
      </c>
      <c r="AQ313">
        <v>55.08</v>
      </c>
      <c r="AR313">
        <v>2</v>
      </c>
      <c r="AS313">
        <v>2</v>
      </c>
      <c r="AT313">
        <v>2</v>
      </c>
      <c r="AU313">
        <v>2</v>
      </c>
      <c r="AV313">
        <v>2</v>
      </c>
      <c r="AW313">
        <v>4.5999999999999996</v>
      </c>
      <c r="AX313">
        <v>4.2</v>
      </c>
      <c r="AY313">
        <v>4.3</v>
      </c>
      <c r="AZ313">
        <v>1</v>
      </c>
      <c r="BA313">
        <v>1</v>
      </c>
      <c r="BB313">
        <v>48</v>
      </c>
      <c r="BC313">
        <v>26</v>
      </c>
      <c r="BD313">
        <v>42.38</v>
      </c>
      <c r="BE313">
        <v>212</v>
      </c>
      <c r="BF313">
        <v>88.3</v>
      </c>
      <c r="BG313">
        <v>38</v>
      </c>
      <c r="BH313">
        <v>26</v>
      </c>
      <c r="BI313">
        <v>33.729999999999997</v>
      </c>
      <c r="BJ313">
        <v>164</v>
      </c>
      <c r="BK313">
        <v>88.8</v>
      </c>
      <c r="BL313">
        <v>342</v>
      </c>
      <c r="BM313">
        <v>9.5050000000000008</v>
      </c>
    </row>
    <row r="314" spans="1:65" x14ac:dyDescent="0.25">
      <c r="A314" t="s">
        <v>377</v>
      </c>
      <c r="B314" t="s">
        <v>1278</v>
      </c>
      <c r="C314" t="s">
        <v>2160</v>
      </c>
      <c r="D314" s="1">
        <v>45425</v>
      </c>
      <c r="E314" s="1">
        <v>45469</v>
      </c>
      <c r="F314" s="1">
        <v>45514</v>
      </c>
      <c r="G314" t="s">
        <v>2165</v>
      </c>
      <c r="H314" t="s">
        <v>2171</v>
      </c>
      <c r="I314" t="s">
        <v>2174</v>
      </c>
      <c r="J314">
        <v>2069</v>
      </c>
      <c r="K314">
        <v>63</v>
      </c>
      <c r="L314">
        <v>5.3</v>
      </c>
      <c r="M314">
        <v>7.8</v>
      </c>
      <c r="N314">
        <v>3</v>
      </c>
      <c r="O314">
        <v>5174</v>
      </c>
      <c r="P314" t="s">
        <v>2176</v>
      </c>
      <c r="Q314">
        <v>5</v>
      </c>
      <c r="R314">
        <v>8</v>
      </c>
      <c r="S314">
        <v>4</v>
      </c>
      <c r="T314">
        <v>683</v>
      </c>
      <c r="U314" t="s">
        <v>2165</v>
      </c>
      <c r="V314" t="s">
        <v>2171</v>
      </c>
      <c r="W314" t="s">
        <v>2208</v>
      </c>
      <c r="X314" t="s">
        <v>2210</v>
      </c>
      <c r="Y314" t="s">
        <v>2212</v>
      </c>
      <c r="Z314" s="1">
        <v>45499</v>
      </c>
      <c r="AA314" s="1">
        <v>45501</v>
      </c>
      <c r="AB314" t="s">
        <v>2214</v>
      </c>
      <c r="AC314" t="s">
        <v>2209</v>
      </c>
      <c r="AD314" t="s">
        <v>2216</v>
      </c>
      <c r="AE314" t="s">
        <v>2165</v>
      </c>
      <c r="AG314" t="s">
        <v>2220</v>
      </c>
      <c r="AH314">
        <v>17</v>
      </c>
      <c r="AI314">
        <v>30</v>
      </c>
      <c r="AJ314">
        <v>13</v>
      </c>
      <c r="AK314">
        <v>6</v>
      </c>
      <c r="AL314" t="s">
        <v>2223</v>
      </c>
      <c r="AM314">
        <v>0</v>
      </c>
      <c r="AN314" t="s">
        <v>2177</v>
      </c>
      <c r="AO314" t="s">
        <v>2176</v>
      </c>
      <c r="AP314" t="s">
        <v>2176</v>
      </c>
      <c r="AQ314">
        <v>41.34</v>
      </c>
      <c r="AR314">
        <v>1</v>
      </c>
      <c r="AS314">
        <v>2</v>
      </c>
      <c r="AT314">
        <v>1</v>
      </c>
      <c r="AU314">
        <v>1</v>
      </c>
      <c r="AV314">
        <v>1.333333333333333</v>
      </c>
      <c r="AW314">
        <v>4.5999999999999996</v>
      </c>
      <c r="AY314">
        <v>4.5999999999999996</v>
      </c>
      <c r="AZ314">
        <v>0</v>
      </c>
      <c r="BA314">
        <v>2</v>
      </c>
      <c r="BB314">
        <v>40</v>
      </c>
      <c r="BC314">
        <v>25</v>
      </c>
      <c r="BD314">
        <v>34.72</v>
      </c>
      <c r="BE314">
        <v>161</v>
      </c>
      <c r="BF314">
        <v>86.8</v>
      </c>
      <c r="BG314">
        <v>40</v>
      </c>
      <c r="BH314">
        <v>25</v>
      </c>
      <c r="BI314">
        <v>34.72</v>
      </c>
      <c r="BJ314">
        <v>161</v>
      </c>
      <c r="BK314">
        <v>86.8</v>
      </c>
      <c r="BL314">
        <v>161</v>
      </c>
      <c r="BM314">
        <v>0.51390000000000002</v>
      </c>
    </row>
    <row r="315" spans="1:65" x14ac:dyDescent="0.25">
      <c r="A315" t="s">
        <v>378</v>
      </c>
      <c r="B315" t="s">
        <v>1399</v>
      </c>
      <c r="C315" t="s">
        <v>2157</v>
      </c>
      <c r="D315" s="1">
        <v>45348</v>
      </c>
      <c r="E315" s="1">
        <v>45384</v>
      </c>
      <c r="F315" s="1">
        <v>45535</v>
      </c>
      <c r="G315" t="s">
        <v>2163</v>
      </c>
      <c r="H315" t="s">
        <v>2169</v>
      </c>
      <c r="I315" t="s">
        <v>2176</v>
      </c>
      <c r="J315">
        <v>50578</v>
      </c>
      <c r="K315">
        <v>1518</v>
      </c>
      <c r="L315">
        <v>11.3</v>
      </c>
      <c r="M315">
        <v>11.6</v>
      </c>
      <c r="N315">
        <v>3</v>
      </c>
      <c r="O315">
        <v>5089</v>
      </c>
      <c r="P315" t="s">
        <v>2176</v>
      </c>
      <c r="Q315">
        <v>18</v>
      </c>
      <c r="R315">
        <v>30</v>
      </c>
      <c r="S315">
        <v>68</v>
      </c>
      <c r="T315">
        <v>753</v>
      </c>
      <c r="U315" t="s">
        <v>2201</v>
      </c>
      <c r="W315" t="s">
        <v>2209</v>
      </c>
      <c r="X315" t="s">
        <v>2211</v>
      </c>
      <c r="Y315" t="s">
        <v>2213</v>
      </c>
      <c r="Z315" s="1">
        <v>45530</v>
      </c>
      <c r="AA315" s="1">
        <v>45535</v>
      </c>
      <c r="AB315" t="s">
        <v>2214</v>
      </c>
      <c r="AC315" t="s">
        <v>2209</v>
      </c>
      <c r="AD315" t="s">
        <v>2219</v>
      </c>
      <c r="AE315" t="s">
        <v>2165</v>
      </c>
      <c r="AF315" t="s">
        <v>2161</v>
      </c>
      <c r="AG315" t="s">
        <v>2222</v>
      </c>
      <c r="AH315">
        <v>116</v>
      </c>
      <c r="AI315">
        <v>146</v>
      </c>
      <c r="AJ315">
        <v>30</v>
      </c>
      <c r="AK315">
        <v>4</v>
      </c>
      <c r="AL315" t="s">
        <v>2225</v>
      </c>
      <c r="AM315">
        <v>0</v>
      </c>
      <c r="AN315" t="s">
        <v>2175</v>
      </c>
      <c r="AO315" t="s">
        <v>2176</v>
      </c>
      <c r="AP315" t="s">
        <v>2176</v>
      </c>
      <c r="AQ315">
        <v>131.08000000000001</v>
      </c>
      <c r="AR315">
        <v>1</v>
      </c>
      <c r="AS315">
        <v>3</v>
      </c>
      <c r="AT315">
        <v>1</v>
      </c>
      <c r="AU315">
        <v>1</v>
      </c>
      <c r="AV315">
        <v>1.666666666666667</v>
      </c>
      <c r="AW315">
        <v>4.5999999999999996</v>
      </c>
      <c r="AX315">
        <v>4.3</v>
      </c>
      <c r="AY315">
        <v>4.4000000000000004</v>
      </c>
      <c r="AZ315">
        <v>1</v>
      </c>
      <c r="BA315">
        <v>1</v>
      </c>
      <c r="BB315">
        <v>46</v>
      </c>
      <c r="BC315">
        <v>26</v>
      </c>
      <c r="BD315">
        <v>40.729999999999997</v>
      </c>
      <c r="BE315">
        <v>203</v>
      </c>
      <c r="BF315">
        <v>88.5</v>
      </c>
      <c r="BG315">
        <v>31</v>
      </c>
      <c r="BH315">
        <v>26</v>
      </c>
      <c r="BI315">
        <v>27.23</v>
      </c>
      <c r="BJ315">
        <v>132</v>
      </c>
      <c r="BK315">
        <v>87.8</v>
      </c>
      <c r="BL315">
        <v>341</v>
      </c>
      <c r="BM315">
        <v>9.5809999999999995</v>
      </c>
    </row>
    <row r="316" spans="1:65" x14ac:dyDescent="0.25">
      <c r="A316" t="s">
        <v>379</v>
      </c>
      <c r="B316" t="s">
        <v>1189</v>
      </c>
      <c r="C316" t="s">
        <v>2158</v>
      </c>
      <c r="D316" s="1">
        <v>45376</v>
      </c>
      <c r="E316" s="1">
        <v>45413</v>
      </c>
      <c r="F316" s="1">
        <v>45468</v>
      </c>
      <c r="G316" t="s">
        <v>2164</v>
      </c>
      <c r="H316" t="s">
        <v>2170</v>
      </c>
      <c r="I316" t="s">
        <v>2175</v>
      </c>
      <c r="J316">
        <v>15540</v>
      </c>
      <c r="K316">
        <v>467</v>
      </c>
      <c r="L316">
        <v>14.7</v>
      </c>
      <c r="M316">
        <v>18.7</v>
      </c>
      <c r="N316">
        <v>6</v>
      </c>
      <c r="O316">
        <v>16385</v>
      </c>
      <c r="P316" t="s">
        <v>2178</v>
      </c>
      <c r="Q316">
        <v>10</v>
      </c>
      <c r="R316">
        <v>14</v>
      </c>
      <c r="S316">
        <v>17</v>
      </c>
      <c r="T316">
        <v>963</v>
      </c>
      <c r="U316" t="s">
        <v>2161</v>
      </c>
      <c r="V316" t="s">
        <v>2167</v>
      </c>
      <c r="W316" t="s">
        <v>2209</v>
      </c>
      <c r="X316" t="s">
        <v>2211</v>
      </c>
      <c r="Y316" t="s">
        <v>2212</v>
      </c>
      <c r="Z316" s="1">
        <v>45471</v>
      </c>
      <c r="AA316" s="1">
        <v>45473</v>
      </c>
      <c r="AB316" t="s">
        <v>2215</v>
      </c>
      <c r="AC316" t="s">
        <v>2208</v>
      </c>
      <c r="AD316" t="s">
        <v>2218</v>
      </c>
      <c r="AE316" t="s">
        <v>2161</v>
      </c>
      <c r="AG316" t="s">
        <v>2221</v>
      </c>
      <c r="AH316">
        <v>41</v>
      </c>
      <c r="AI316">
        <v>58</v>
      </c>
      <c r="AJ316">
        <v>17</v>
      </c>
      <c r="AK316">
        <v>5</v>
      </c>
      <c r="AL316" t="s">
        <v>2224</v>
      </c>
      <c r="AM316">
        <v>0</v>
      </c>
      <c r="AN316" t="s">
        <v>2175</v>
      </c>
      <c r="AO316" t="s">
        <v>2177</v>
      </c>
      <c r="AP316" t="s">
        <v>2175</v>
      </c>
      <c r="AQ316">
        <v>274.89</v>
      </c>
      <c r="AR316">
        <v>3</v>
      </c>
      <c r="AS316">
        <v>3</v>
      </c>
      <c r="AT316">
        <v>2</v>
      </c>
      <c r="AU316">
        <v>3</v>
      </c>
      <c r="AV316">
        <v>2.666666666666667</v>
      </c>
      <c r="AW316">
        <v>4.3</v>
      </c>
      <c r="AY316">
        <v>4.5</v>
      </c>
      <c r="AZ316">
        <v>2</v>
      </c>
      <c r="BA316">
        <v>0</v>
      </c>
      <c r="BB316">
        <v>33</v>
      </c>
      <c r="BC316">
        <v>27</v>
      </c>
      <c r="BD316">
        <v>28.96</v>
      </c>
      <c r="BE316">
        <v>147</v>
      </c>
      <c r="BF316">
        <v>87.8</v>
      </c>
      <c r="BG316">
        <v>35</v>
      </c>
      <c r="BH316">
        <v>27</v>
      </c>
      <c r="BI316">
        <v>30.96</v>
      </c>
      <c r="BJ316">
        <v>158</v>
      </c>
      <c r="BK316">
        <v>88.5</v>
      </c>
      <c r="BL316">
        <v>147</v>
      </c>
      <c r="BM316">
        <v>3.9144000000000001</v>
      </c>
    </row>
    <row r="317" spans="1:65" x14ac:dyDescent="0.25">
      <c r="A317" t="s">
        <v>380</v>
      </c>
      <c r="B317" t="s">
        <v>1410</v>
      </c>
      <c r="C317" t="s">
        <v>2158</v>
      </c>
      <c r="D317" s="1">
        <v>45383</v>
      </c>
      <c r="E317" s="1">
        <v>45426</v>
      </c>
      <c r="F317" s="1">
        <v>45489</v>
      </c>
      <c r="G317" t="s">
        <v>2166</v>
      </c>
      <c r="H317" t="s">
        <v>2172</v>
      </c>
      <c r="I317" t="s">
        <v>2176</v>
      </c>
      <c r="J317">
        <v>10209</v>
      </c>
      <c r="K317">
        <v>307</v>
      </c>
      <c r="L317">
        <v>6.2</v>
      </c>
      <c r="M317">
        <v>5.6</v>
      </c>
      <c r="N317">
        <v>3</v>
      </c>
      <c r="O317">
        <v>7282</v>
      </c>
      <c r="P317" t="s">
        <v>2176</v>
      </c>
      <c r="Q317">
        <v>10</v>
      </c>
      <c r="R317">
        <v>14</v>
      </c>
      <c r="S317">
        <v>18</v>
      </c>
      <c r="T317">
        <v>572</v>
      </c>
      <c r="U317" t="s">
        <v>2185</v>
      </c>
      <c r="W317" t="s">
        <v>2209</v>
      </c>
      <c r="X317" t="s">
        <v>2211</v>
      </c>
      <c r="Y317" t="s">
        <v>2213</v>
      </c>
      <c r="Z317" s="1">
        <v>45485</v>
      </c>
      <c r="AA317" s="1">
        <v>45487</v>
      </c>
      <c r="AB317" t="s">
        <v>2214</v>
      </c>
      <c r="AC317" t="s">
        <v>2209</v>
      </c>
      <c r="AD317" t="s">
        <v>2219</v>
      </c>
      <c r="AE317" t="s">
        <v>2163</v>
      </c>
      <c r="AF317" t="s">
        <v>2161</v>
      </c>
      <c r="AG317" t="s">
        <v>2222</v>
      </c>
      <c r="AH317">
        <v>42</v>
      </c>
      <c r="AI317">
        <v>59</v>
      </c>
      <c r="AJ317">
        <v>17</v>
      </c>
      <c r="AK317">
        <v>5</v>
      </c>
      <c r="AL317" t="s">
        <v>2224</v>
      </c>
      <c r="AM317">
        <v>0</v>
      </c>
      <c r="AN317" t="s">
        <v>2177</v>
      </c>
      <c r="AO317" t="s">
        <v>2176</v>
      </c>
      <c r="AP317" t="s">
        <v>2177</v>
      </c>
      <c r="AQ317">
        <v>34.72</v>
      </c>
      <c r="AR317">
        <v>1</v>
      </c>
      <c r="AS317">
        <v>2</v>
      </c>
      <c r="AT317">
        <v>1</v>
      </c>
      <c r="AU317">
        <v>2</v>
      </c>
      <c r="AV317">
        <v>1.666666666666667</v>
      </c>
      <c r="AW317">
        <v>4.4000000000000004</v>
      </c>
      <c r="AX317">
        <v>4.3</v>
      </c>
      <c r="AY317">
        <v>4.8</v>
      </c>
      <c r="AZ317">
        <v>2</v>
      </c>
      <c r="BA317">
        <v>1</v>
      </c>
      <c r="BB317">
        <v>38</v>
      </c>
      <c r="BC317">
        <v>27</v>
      </c>
      <c r="BD317">
        <v>33.33</v>
      </c>
      <c r="BE317">
        <v>171</v>
      </c>
      <c r="BF317">
        <v>87.7</v>
      </c>
      <c r="BG317">
        <v>43</v>
      </c>
      <c r="BH317">
        <v>27</v>
      </c>
      <c r="BI317">
        <v>37.299999999999997</v>
      </c>
      <c r="BJ317">
        <v>193</v>
      </c>
      <c r="BK317">
        <v>86.7</v>
      </c>
      <c r="BL317">
        <v>318</v>
      </c>
      <c r="BM317">
        <v>2.2107000000000001</v>
      </c>
    </row>
    <row r="318" spans="1:65" x14ac:dyDescent="0.25">
      <c r="A318" t="s">
        <v>381</v>
      </c>
      <c r="B318" t="s">
        <v>1411</v>
      </c>
      <c r="C318" t="s">
        <v>2160</v>
      </c>
      <c r="D318" s="1">
        <v>45383</v>
      </c>
      <c r="E318" s="1">
        <v>45414</v>
      </c>
      <c r="F318" s="1">
        <v>45470</v>
      </c>
      <c r="G318" t="s">
        <v>2164</v>
      </c>
      <c r="H318" t="s">
        <v>2170</v>
      </c>
      <c r="I318" t="s">
        <v>2173</v>
      </c>
      <c r="J318">
        <v>10587</v>
      </c>
      <c r="K318">
        <v>318</v>
      </c>
      <c r="L318">
        <v>14.1</v>
      </c>
      <c r="M318">
        <v>13.1</v>
      </c>
      <c r="N318">
        <v>3</v>
      </c>
      <c r="O318">
        <v>11203</v>
      </c>
      <c r="P318" t="s">
        <v>2176</v>
      </c>
      <c r="Q318">
        <v>10</v>
      </c>
      <c r="R318">
        <v>14</v>
      </c>
      <c r="S318">
        <v>14</v>
      </c>
      <c r="T318">
        <v>757</v>
      </c>
      <c r="U318" t="s">
        <v>2180</v>
      </c>
      <c r="W318" t="s">
        <v>2209</v>
      </c>
      <c r="X318" t="s">
        <v>2211</v>
      </c>
      <c r="Y318" t="s">
        <v>2213</v>
      </c>
      <c r="Z318" s="1">
        <v>45469</v>
      </c>
      <c r="AA318" s="1">
        <v>45473</v>
      </c>
      <c r="AB318" t="s">
        <v>2214</v>
      </c>
      <c r="AC318" t="s">
        <v>2209</v>
      </c>
      <c r="AD318" t="s">
        <v>2219</v>
      </c>
      <c r="AE318" t="s">
        <v>2163</v>
      </c>
      <c r="AF318" t="s">
        <v>2165</v>
      </c>
      <c r="AG318" t="s">
        <v>2222</v>
      </c>
      <c r="AH318">
        <v>38</v>
      </c>
      <c r="AI318">
        <v>55</v>
      </c>
      <c r="AJ318">
        <v>17</v>
      </c>
      <c r="AK318">
        <v>5</v>
      </c>
      <c r="AL318" t="s">
        <v>2224</v>
      </c>
      <c r="AM318">
        <v>0</v>
      </c>
      <c r="AN318" t="s">
        <v>2175</v>
      </c>
      <c r="AO318" t="s">
        <v>2176</v>
      </c>
      <c r="AP318" t="s">
        <v>2177</v>
      </c>
      <c r="AQ318">
        <v>184.71</v>
      </c>
      <c r="AR318">
        <v>1</v>
      </c>
      <c r="AS318">
        <v>3</v>
      </c>
      <c r="AT318">
        <v>1</v>
      </c>
      <c r="AU318">
        <v>2</v>
      </c>
      <c r="AV318">
        <v>2</v>
      </c>
      <c r="AW318">
        <v>4.4000000000000004</v>
      </c>
      <c r="AX318">
        <v>4.5999999999999996</v>
      </c>
      <c r="AY318">
        <v>4.5</v>
      </c>
      <c r="AZ318">
        <v>0</v>
      </c>
      <c r="BA318">
        <v>3</v>
      </c>
      <c r="BB318">
        <v>38</v>
      </c>
      <c r="BC318">
        <v>27</v>
      </c>
      <c r="BD318">
        <v>33.33</v>
      </c>
      <c r="BE318">
        <v>171</v>
      </c>
      <c r="BF318">
        <v>87.7</v>
      </c>
      <c r="BG318">
        <v>35</v>
      </c>
      <c r="BH318">
        <v>27</v>
      </c>
      <c r="BI318">
        <v>30.96</v>
      </c>
      <c r="BJ318">
        <v>158</v>
      </c>
      <c r="BK318">
        <v>88.5</v>
      </c>
      <c r="BL318">
        <v>329</v>
      </c>
      <c r="BM318">
        <v>2.2926000000000002</v>
      </c>
    </row>
    <row r="319" spans="1:65" x14ac:dyDescent="0.25">
      <c r="A319" t="s">
        <v>382</v>
      </c>
      <c r="B319" t="s">
        <v>1412</v>
      </c>
      <c r="C319" t="s">
        <v>2158</v>
      </c>
      <c r="D319" s="1">
        <v>45397</v>
      </c>
      <c r="E319" s="1">
        <v>45436</v>
      </c>
      <c r="F319" s="1">
        <v>45502</v>
      </c>
      <c r="G319" t="s">
        <v>2162</v>
      </c>
      <c r="H319" t="s">
        <v>2168</v>
      </c>
      <c r="I319" t="s">
        <v>2173</v>
      </c>
      <c r="J319">
        <v>15882</v>
      </c>
      <c r="K319">
        <v>477</v>
      </c>
      <c r="L319">
        <v>13.9</v>
      </c>
      <c r="M319">
        <v>6.1</v>
      </c>
      <c r="N319">
        <v>3</v>
      </c>
      <c r="O319">
        <v>15975</v>
      </c>
      <c r="P319" t="s">
        <v>2177</v>
      </c>
      <c r="Q319">
        <v>10</v>
      </c>
      <c r="R319">
        <v>14</v>
      </c>
      <c r="S319">
        <v>22</v>
      </c>
      <c r="T319">
        <v>731</v>
      </c>
      <c r="U319" t="s">
        <v>2188</v>
      </c>
      <c r="W319" t="s">
        <v>2209</v>
      </c>
      <c r="X319" t="s">
        <v>2211</v>
      </c>
      <c r="Y319" t="s">
        <v>2213</v>
      </c>
      <c r="Z319" s="1">
        <v>45501</v>
      </c>
      <c r="AA319" s="1">
        <v>45501</v>
      </c>
      <c r="AB319" t="s">
        <v>2214</v>
      </c>
      <c r="AC319" t="s">
        <v>2209</v>
      </c>
      <c r="AD319" t="s">
        <v>2219</v>
      </c>
      <c r="AE319" t="s">
        <v>2162</v>
      </c>
      <c r="AF319" t="s">
        <v>2165</v>
      </c>
      <c r="AG319" t="s">
        <v>2222</v>
      </c>
      <c r="AH319">
        <v>46</v>
      </c>
      <c r="AI319">
        <v>65</v>
      </c>
      <c r="AJ319">
        <v>19</v>
      </c>
      <c r="AK319">
        <v>5</v>
      </c>
      <c r="AL319" t="s">
        <v>2224</v>
      </c>
      <c r="AM319">
        <v>0</v>
      </c>
      <c r="AN319" t="s">
        <v>2177</v>
      </c>
      <c r="AO319" t="s">
        <v>2176</v>
      </c>
      <c r="AP319" t="s">
        <v>2175</v>
      </c>
      <c r="AQ319">
        <v>84.789999999999992</v>
      </c>
      <c r="AR319">
        <v>2</v>
      </c>
      <c r="AS319">
        <v>2</v>
      </c>
      <c r="AT319">
        <v>1</v>
      </c>
      <c r="AU319">
        <v>3</v>
      </c>
      <c r="AV319">
        <v>2</v>
      </c>
      <c r="AW319">
        <v>4.2</v>
      </c>
      <c r="AX319">
        <v>4.5999999999999996</v>
      </c>
      <c r="AY319">
        <v>4.2</v>
      </c>
      <c r="AZ319">
        <v>2</v>
      </c>
      <c r="BA319">
        <v>3</v>
      </c>
      <c r="BB319">
        <v>24</v>
      </c>
      <c r="BC319">
        <v>27</v>
      </c>
      <c r="BD319">
        <v>21.44</v>
      </c>
      <c r="BE319">
        <v>108</v>
      </c>
      <c r="BF319">
        <v>89.3</v>
      </c>
      <c r="BG319">
        <v>24</v>
      </c>
      <c r="BH319">
        <v>27</v>
      </c>
      <c r="BI319">
        <v>21.44</v>
      </c>
      <c r="BJ319">
        <v>108</v>
      </c>
      <c r="BK319">
        <v>89.3</v>
      </c>
      <c r="BL319">
        <v>266</v>
      </c>
      <c r="BM319">
        <v>5.4446000000000003</v>
      </c>
    </row>
    <row r="320" spans="1:65" x14ac:dyDescent="0.25">
      <c r="A320" t="s">
        <v>383</v>
      </c>
      <c r="B320" t="s">
        <v>1413</v>
      </c>
      <c r="C320" t="s">
        <v>2160</v>
      </c>
      <c r="D320" s="1">
        <v>45404</v>
      </c>
      <c r="E320" s="1">
        <v>45439</v>
      </c>
      <c r="F320" s="1">
        <v>45489</v>
      </c>
      <c r="G320" t="s">
        <v>2164</v>
      </c>
      <c r="H320" t="s">
        <v>2170</v>
      </c>
      <c r="I320" t="s">
        <v>2175</v>
      </c>
      <c r="J320">
        <v>14095</v>
      </c>
      <c r="K320">
        <v>423</v>
      </c>
      <c r="L320">
        <v>12.6</v>
      </c>
      <c r="M320">
        <v>10.7</v>
      </c>
      <c r="N320">
        <v>9</v>
      </c>
      <c r="O320">
        <v>15371</v>
      </c>
      <c r="P320" t="s">
        <v>2178</v>
      </c>
      <c r="Q320">
        <v>10</v>
      </c>
      <c r="R320">
        <v>14</v>
      </c>
      <c r="S320">
        <v>16</v>
      </c>
      <c r="T320">
        <v>898</v>
      </c>
      <c r="U320" t="s">
        <v>2203</v>
      </c>
      <c r="W320" t="s">
        <v>2209</v>
      </c>
      <c r="X320" t="s">
        <v>2211</v>
      </c>
      <c r="Y320" t="s">
        <v>2213</v>
      </c>
      <c r="Z320" s="1">
        <v>45496</v>
      </c>
      <c r="AA320" s="1">
        <v>45501</v>
      </c>
      <c r="AB320" t="s">
        <v>2215</v>
      </c>
      <c r="AC320" t="s">
        <v>2208</v>
      </c>
      <c r="AD320" t="s">
        <v>2219</v>
      </c>
      <c r="AE320" t="s">
        <v>2162</v>
      </c>
      <c r="AF320" t="s">
        <v>2166</v>
      </c>
      <c r="AG320" t="s">
        <v>2222</v>
      </c>
      <c r="AH320">
        <v>40</v>
      </c>
      <c r="AI320">
        <v>57</v>
      </c>
      <c r="AJ320">
        <v>17</v>
      </c>
      <c r="AK320">
        <v>5</v>
      </c>
      <c r="AL320" t="s">
        <v>2224</v>
      </c>
      <c r="AM320">
        <v>0</v>
      </c>
      <c r="AN320" t="s">
        <v>2175</v>
      </c>
      <c r="AO320" t="s">
        <v>2175</v>
      </c>
      <c r="AP320" t="s">
        <v>2175</v>
      </c>
      <c r="AQ320">
        <v>134.82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4.2</v>
      </c>
      <c r="AX320">
        <v>4.8</v>
      </c>
      <c r="AY320">
        <v>4.5</v>
      </c>
      <c r="AZ320">
        <v>0</v>
      </c>
      <c r="BA320">
        <v>0</v>
      </c>
      <c r="BB320">
        <v>24</v>
      </c>
      <c r="BC320">
        <v>27</v>
      </c>
      <c r="BD320">
        <v>21.44</v>
      </c>
      <c r="BE320">
        <v>108</v>
      </c>
      <c r="BF320">
        <v>89.3</v>
      </c>
      <c r="BG320">
        <v>35</v>
      </c>
      <c r="BH320">
        <v>27</v>
      </c>
      <c r="BI320">
        <v>30.96</v>
      </c>
      <c r="BJ320">
        <v>158</v>
      </c>
      <c r="BK320">
        <v>88.5</v>
      </c>
      <c r="BL320">
        <v>301</v>
      </c>
      <c r="BM320">
        <v>4.8319999999999999</v>
      </c>
    </row>
    <row r="321" spans="1:65" x14ac:dyDescent="0.25">
      <c r="A321" t="s">
        <v>384</v>
      </c>
      <c r="B321" t="s">
        <v>1414</v>
      </c>
      <c r="C321" t="s">
        <v>2159</v>
      </c>
      <c r="D321" s="1">
        <v>45327</v>
      </c>
      <c r="E321" s="1">
        <v>45365</v>
      </c>
      <c r="F321" s="1">
        <v>45448</v>
      </c>
      <c r="G321" t="s">
        <v>2161</v>
      </c>
      <c r="H321" t="s">
        <v>2167</v>
      </c>
      <c r="I321" t="s">
        <v>2174</v>
      </c>
      <c r="J321">
        <v>17070</v>
      </c>
      <c r="K321">
        <v>513</v>
      </c>
      <c r="L321">
        <v>4.0999999999999996</v>
      </c>
      <c r="M321">
        <v>3.5</v>
      </c>
      <c r="N321">
        <v>3</v>
      </c>
      <c r="O321">
        <v>4549</v>
      </c>
      <c r="P321" t="s">
        <v>2176</v>
      </c>
      <c r="Q321">
        <v>10</v>
      </c>
      <c r="R321">
        <v>14</v>
      </c>
      <c r="S321">
        <v>30</v>
      </c>
      <c r="T321">
        <v>582</v>
      </c>
      <c r="U321" t="s">
        <v>2201</v>
      </c>
      <c r="W321" t="s">
        <v>2209</v>
      </c>
      <c r="X321" t="s">
        <v>2211</v>
      </c>
      <c r="Y321" t="s">
        <v>2213</v>
      </c>
      <c r="Z321" s="1">
        <v>45439</v>
      </c>
      <c r="AA321" s="1">
        <v>45444</v>
      </c>
      <c r="AB321" t="s">
        <v>2214</v>
      </c>
      <c r="AC321" t="s">
        <v>2209</v>
      </c>
      <c r="AD321" t="s">
        <v>2219</v>
      </c>
      <c r="AE321" t="s">
        <v>2165</v>
      </c>
      <c r="AF321" t="s">
        <v>2161</v>
      </c>
      <c r="AG321" t="s">
        <v>2222</v>
      </c>
      <c r="AH321">
        <v>54</v>
      </c>
      <c r="AI321">
        <v>74</v>
      </c>
      <c r="AJ321">
        <v>20</v>
      </c>
      <c r="AK321">
        <v>3</v>
      </c>
      <c r="AL321" t="s">
        <v>2227</v>
      </c>
      <c r="AM321">
        <v>0</v>
      </c>
      <c r="AN321" t="s">
        <v>2176</v>
      </c>
      <c r="AO321" t="s">
        <v>2176</v>
      </c>
      <c r="AP321" t="s">
        <v>2176</v>
      </c>
      <c r="AQ321">
        <v>14.35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4.5999999999999996</v>
      </c>
      <c r="AX321">
        <v>4.3</v>
      </c>
      <c r="AY321">
        <v>4.3</v>
      </c>
      <c r="AZ321">
        <v>3</v>
      </c>
      <c r="BA321">
        <v>2</v>
      </c>
      <c r="BB321">
        <v>48</v>
      </c>
      <c r="BC321">
        <v>26</v>
      </c>
      <c r="BD321">
        <v>42.38</v>
      </c>
      <c r="BE321">
        <v>212</v>
      </c>
      <c r="BF321">
        <v>88.3</v>
      </c>
      <c r="BG321">
        <v>38</v>
      </c>
      <c r="BH321">
        <v>26</v>
      </c>
      <c r="BI321">
        <v>33.729999999999997</v>
      </c>
      <c r="BJ321">
        <v>164</v>
      </c>
      <c r="BK321">
        <v>88.8</v>
      </c>
      <c r="BL321">
        <v>376</v>
      </c>
      <c r="BM321">
        <v>3.0962999999999998</v>
      </c>
    </row>
    <row r="322" spans="1:65" x14ac:dyDescent="0.25">
      <c r="A322" t="s">
        <v>385</v>
      </c>
      <c r="B322" t="s">
        <v>1415</v>
      </c>
      <c r="C322" t="s">
        <v>2158</v>
      </c>
      <c r="D322" s="1">
        <v>45418</v>
      </c>
      <c r="E322" s="1">
        <v>45449</v>
      </c>
      <c r="F322" s="1">
        <v>45518</v>
      </c>
      <c r="G322" t="s">
        <v>2163</v>
      </c>
      <c r="H322" t="s">
        <v>2169</v>
      </c>
      <c r="I322" t="s">
        <v>2176</v>
      </c>
      <c r="J322">
        <v>12483</v>
      </c>
      <c r="K322">
        <v>375</v>
      </c>
      <c r="L322">
        <v>4.5999999999999996</v>
      </c>
      <c r="M322">
        <v>4.4000000000000004</v>
      </c>
      <c r="N322">
        <v>5</v>
      </c>
      <c r="O322">
        <v>9615</v>
      </c>
      <c r="P322" t="s">
        <v>2176</v>
      </c>
      <c r="Q322">
        <v>10</v>
      </c>
      <c r="R322">
        <v>14</v>
      </c>
      <c r="S322">
        <v>17</v>
      </c>
      <c r="T322">
        <v>758</v>
      </c>
      <c r="U322" t="s">
        <v>2196</v>
      </c>
      <c r="W322" t="s">
        <v>2209</v>
      </c>
      <c r="X322" t="s">
        <v>2211</v>
      </c>
      <c r="Y322" t="s">
        <v>2213</v>
      </c>
      <c r="Z322" s="1">
        <v>45508</v>
      </c>
      <c r="AA322" s="1">
        <v>45508</v>
      </c>
      <c r="AB322" t="s">
        <v>2214</v>
      </c>
      <c r="AC322" t="s">
        <v>2209</v>
      </c>
      <c r="AD322" t="s">
        <v>2219</v>
      </c>
      <c r="AE322" t="s">
        <v>2165</v>
      </c>
      <c r="AF322" t="s">
        <v>2163</v>
      </c>
      <c r="AG322" t="s">
        <v>2222</v>
      </c>
      <c r="AH322">
        <v>41</v>
      </c>
      <c r="AI322">
        <v>59</v>
      </c>
      <c r="AJ322">
        <v>18</v>
      </c>
      <c r="AK322">
        <v>6</v>
      </c>
      <c r="AL322" t="s">
        <v>2223</v>
      </c>
      <c r="AM322">
        <v>0</v>
      </c>
      <c r="AN322" t="s">
        <v>2176</v>
      </c>
      <c r="AO322" t="s">
        <v>2177</v>
      </c>
      <c r="AP322" t="s">
        <v>2177</v>
      </c>
      <c r="AQ322">
        <v>20.239999999999998</v>
      </c>
      <c r="AR322">
        <v>1</v>
      </c>
      <c r="AS322">
        <v>1</v>
      </c>
      <c r="AT322">
        <v>2</v>
      </c>
      <c r="AU322">
        <v>2</v>
      </c>
      <c r="AV322">
        <v>1.666666666666667</v>
      </c>
      <c r="AW322">
        <v>4.5999999999999996</v>
      </c>
      <c r="AX322">
        <v>4.4000000000000004</v>
      </c>
      <c r="AY322">
        <v>4.4000000000000004</v>
      </c>
      <c r="AZ322">
        <v>2</v>
      </c>
      <c r="BA322">
        <v>1</v>
      </c>
      <c r="BB322">
        <v>40</v>
      </c>
      <c r="BC322">
        <v>25</v>
      </c>
      <c r="BD322">
        <v>34.72</v>
      </c>
      <c r="BE322">
        <v>161</v>
      </c>
      <c r="BF322">
        <v>86.8</v>
      </c>
      <c r="BG322">
        <v>30</v>
      </c>
      <c r="BH322">
        <v>25</v>
      </c>
      <c r="BI322">
        <v>26.48</v>
      </c>
      <c r="BJ322">
        <v>121</v>
      </c>
      <c r="BK322">
        <v>88.3</v>
      </c>
      <c r="BL322">
        <v>282</v>
      </c>
      <c r="BM322">
        <v>3.1006</v>
      </c>
    </row>
    <row r="323" spans="1:65" x14ac:dyDescent="0.25">
      <c r="A323" t="s">
        <v>386</v>
      </c>
      <c r="B323" t="s">
        <v>1292</v>
      </c>
      <c r="C323" t="s">
        <v>2160</v>
      </c>
      <c r="D323" s="1">
        <v>45348</v>
      </c>
      <c r="E323" s="1">
        <v>45390</v>
      </c>
      <c r="F323" s="1">
        <v>45461</v>
      </c>
      <c r="G323" t="s">
        <v>2164</v>
      </c>
      <c r="H323" t="s">
        <v>2170</v>
      </c>
      <c r="I323" t="s">
        <v>2173</v>
      </c>
      <c r="J323">
        <v>16309</v>
      </c>
      <c r="K323">
        <v>490</v>
      </c>
      <c r="L323">
        <v>8.6</v>
      </c>
      <c r="M323">
        <v>13.7</v>
      </c>
      <c r="N323">
        <v>5</v>
      </c>
      <c r="O323">
        <v>12824</v>
      </c>
      <c r="P323" t="s">
        <v>2177</v>
      </c>
      <c r="Q323">
        <v>10</v>
      </c>
      <c r="R323">
        <v>14</v>
      </c>
      <c r="S323">
        <v>25</v>
      </c>
      <c r="T323">
        <v>663</v>
      </c>
      <c r="U323" t="s">
        <v>2179</v>
      </c>
      <c r="W323" t="s">
        <v>2209</v>
      </c>
      <c r="X323" t="s">
        <v>2211</v>
      </c>
      <c r="Y323" t="s">
        <v>2213</v>
      </c>
      <c r="Z323" s="1">
        <v>45458</v>
      </c>
      <c r="AA323" s="1">
        <v>45458</v>
      </c>
      <c r="AB323" t="s">
        <v>2214</v>
      </c>
      <c r="AC323" t="s">
        <v>2209</v>
      </c>
      <c r="AD323" t="s">
        <v>2219</v>
      </c>
      <c r="AE323" t="s">
        <v>2165</v>
      </c>
      <c r="AF323" t="s">
        <v>2162</v>
      </c>
      <c r="AG323" t="s">
        <v>2222</v>
      </c>
      <c r="AH323">
        <v>49</v>
      </c>
      <c r="AI323">
        <v>68</v>
      </c>
      <c r="AJ323">
        <v>19</v>
      </c>
      <c r="AK323">
        <v>4</v>
      </c>
      <c r="AL323" t="s">
        <v>2225</v>
      </c>
      <c r="AM323">
        <v>0</v>
      </c>
      <c r="AN323" t="s">
        <v>2177</v>
      </c>
      <c r="AO323" t="s">
        <v>2177</v>
      </c>
      <c r="AP323" t="s">
        <v>2177</v>
      </c>
      <c r="AQ323">
        <v>117.82</v>
      </c>
      <c r="AR323">
        <v>2</v>
      </c>
      <c r="AS323">
        <v>2</v>
      </c>
      <c r="AT323">
        <v>2</v>
      </c>
      <c r="AU323">
        <v>2</v>
      </c>
      <c r="AV323">
        <v>2</v>
      </c>
      <c r="AW323">
        <v>4.5999999999999996</v>
      </c>
      <c r="AX323">
        <v>4.2</v>
      </c>
      <c r="AY323">
        <v>4.5</v>
      </c>
      <c r="AZ323">
        <v>0</v>
      </c>
      <c r="BA323">
        <v>3</v>
      </c>
      <c r="BB323">
        <v>46</v>
      </c>
      <c r="BC323">
        <v>26</v>
      </c>
      <c r="BD323">
        <v>40.729999999999997</v>
      </c>
      <c r="BE323">
        <v>203</v>
      </c>
      <c r="BF323">
        <v>88.5</v>
      </c>
      <c r="BG323">
        <v>30</v>
      </c>
      <c r="BH323">
        <v>26</v>
      </c>
      <c r="BI323">
        <v>26.42</v>
      </c>
      <c r="BJ323">
        <v>126</v>
      </c>
      <c r="BK323">
        <v>88.1</v>
      </c>
      <c r="BL323">
        <v>307</v>
      </c>
      <c r="BM323">
        <v>3.0893999999999999</v>
      </c>
    </row>
    <row r="324" spans="1:65" x14ac:dyDescent="0.25">
      <c r="A324" t="s">
        <v>387</v>
      </c>
      <c r="B324" t="s">
        <v>1416</v>
      </c>
      <c r="C324" t="s">
        <v>2159</v>
      </c>
      <c r="D324" s="1">
        <v>45341</v>
      </c>
      <c r="E324" s="1">
        <v>45374</v>
      </c>
      <c r="F324" s="1">
        <v>45491</v>
      </c>
      <c r="G324" t="s">
        <v>2161</v>
      </c>
      <c r="H324" t="s">
        <v>2167</v>
      </c>
      <c r="I324" t="s">
        <v>2174</v>
      </c>
      <c r="J324">
        <v>25751</v>
      </c>
      <c r="K324">
        <v>773</v>
      </c>
      <c r="L324">
        <v>3.3</v>
      </c>
      <c r="M324">
        <v>4.2</v>
      </c>
      <c r="N324">
        <v>4</v>
      </c>
      <c r="O324">
        <v>6343</v>
      </c>
      <c r="P324" t="s">
        <v>2176</v>
      </c>
      <c r="Q324">
        <v>14</v>
      </c>
      <c r="R324">
        <v>20</v>
      </c>
      <c r="S324">
        <v>49</v>
      </c>
      <c r="T324">
        <v>533</v>
      </c>
      <c r="U324" t="s">
        <v>2196</v>
      </c>
      <c r="W324" t="s">
        <v>2209</v>
      </c>
      <c r="X324" t="s">
        <v>2211</v>
      </c>
      <c r="Y324" t="s">
        <v>2213</v>
      </c>
      <c r="Z324" s="1">
        <v>45481</v>
      </c>
      <c r="AA324" s="1">
        <v>45486</v>
      </c>
      <c r="AB324" t="s">
        <v>2214</v>
      </c>
      <c r="AC324" t="s">
        <v>2209</v>
      </c>
      <c r="AD324" t="s">
        <v>2219</v>
      </c>
      <c r="AE324" t="s">
        <v>2165</v>
      </c>
      <c r="AF324" t="s">
        <v>2163</v>
      </c>
      <c r="AG324" t="s">
        <v>2222</v>
      </c>
      <c r="AH324">
        <v>83</v>
      </c>
      <c r="AI324">
        <v>107</v>
      </c>
      <c r="AJ324">
        <v>24</v>
      </c>
      <c r="AK324">
        <v>3</v>
      </c>
      <c r="AL324" t="s">
        <v>2227</v>
      </c>
      <c r="AM324">
        <v>0</v>
      </c>
      <c r="AN324" t="s">
        <v>2176</v>
      </c>
      <c r="AO324" t="s">
        <v>2177</v>
      </c>
      <c r="AP324" t="s">
        <v>2176</v>
      </c>
      <c r="AQ324">
        <v>13.86</v>
      </c>
      <c r="AR324">
        <v>1</v>
      </c>
      <c r="AS324">
        <v>1</v>
      </c>
      <c r="AT324">
        <v>2</v>
      </c>
      <c r="AU324">
        <v>1</v>
      </c>
      <c r="AV324">
        <v>1.333333333333333</v>
      </c>
      <c r="AW324">
        <v>4.5999999999999996</v>
      </c>
      <c r="AX324">
        <v>4.4000000000000004</v>
      </c>
      <c r="AY324">
        <v>4.3</v>
      </c>
      <c r="AZ324">
        <v>3</v>
      </c>
      <c r="BA324">
        <v>2</v>
      </c>
      <c r="BB324">
        <v>48</v>
      </c>
      <c r="BC324">
        <v>26</v>
      </c>
      <c r="BD324">
        <v>42.38</v>
      </c>
      <c r="BE324">
        <v>212</v>
      </c>
      <c r="BF324">
        <v>88.3</v>
      </c>
      <c r="BG324">
        <v>38</v>
      </c>
      <c r="BH324">
        <v>26</v>
      </c>
      <c r="BI324">
        <v>33.729999999999997</v>
      </c>
      <c r="BJ324">
        <v>164</v>
      </c>
      <c r="BK324">
        <v>88.8</v>
      </c>
      <c r="BL324">
        <v>361</v>
      </c>
      <c r="BM324">
        <v>4.6710000000000003</v>
      </c>
    </row>
    <row r="325" spans="1:65" x14ac:dyDescent="0.25">
      <c r="A325" t="s">
        <v>388</v>
      </c>
      <c r="B325" t="s">
        <v>1417</v>
      </c>
      <c r="C325" t="s">
        <v>2157</v>
      </c>
      <c r="D325" s="1">
        <v>45369</v>
      </c>
      <c r="E325" s="1">
        <v>45401</v>
      </c>
      <c r="F325" s="1">
        <v>45576</v>
      </c>
      <c r="G325" t="s">
        <v>2161</v>
      </c>
      <c r="H325" t="s">
        <v>2167</v>
      </c>
      <c r="I325" t="s">
        <v>2174</v>
      </c>
      <c r="J325">
        <v>55857</v>
      </c>
      <c r="K325">
        <v>1676</v>
      </c>
      <c r="L325">
        <v>6.2</v>
      </c>
      <c r="M325">
        <v>1.3</v>
      </c>
      <c r="N325">
        <v>1</v>
      </c>
      <c r="O325">
        <v>6849</v>
      </c>
      <c r="P325" t="s">
        <v>2176</v>
      </c>
      <c r="Q325">
        <v>18</v>
      </c>
      <c r="R325">
        <v>30</v>
      </c>
      <c r="S325">
        <v>83</v>
      </c>
      <c r="T325">
        <v>675</v>
      </c>
      <c r="U325" t="s">
        <v>2183</v>
      </c>
      <c r="W325" t="s">
        <v>2209</v>
      </c>
      <c r="X325" t="s">
        <v>2211</v>
      </c>
      <c r="Y325" t="s">
        <v>2213</v>
      </c>
      <c r="Z325" s="1">
        <v>45565</v>
      </c>
      <c r="AA325" s="1">
        <v>45571</v>
      </c>
      <c r="AB325" t="s">
        <v>2214</v>
      </c>
      <c r="AC325" t="s">
        <v>2209</v>
      </c>
      <c r="AD325" t="s">
        <v>2219</v>
      </c>
      <c r="AE325" t="s">
        <v>2162</v>
      </c>
      <c r="AF325" t="s">
        <v>2163</v>
      </c>
      <c r="AG325" t="s">
        <v>2222</v>
      </c>
      <c r="AH325">
        <v>131</v>
      </c>
      <c r="AI325">
        <v>164</v>
      </c>
      <c r="AJ325">
        <v>33</v>
      </c>
      <c r="AK325">
        <v>4</v>
      </c>
      <c r="AL325" t="s">
        <v>2225</v>
      </c>
      <c r="AM325">
        <v>0</v>
      </c>
      <c r="AN325" t="s">
        <v>2176</v>
      </c>
      <c r="AO325" t="s">
        <v>2176</v>
      </c>
      <c r="AP325" t="s">
        <v>2176</v>
      </c>
      <c r="AQ325">
        <v>8.06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4.2</v>
      </c>
      <c r="AX325">
        <v>4.4000000000000004</v>
      </c>
      <c r="AY325">
        <v>4.3</v>
      </c>
      <c r="AZ325">
        <v>1</v>
      </c>
      <c r="BA325">
        <v>2</v>
      </c>
      <c r="BB325">
        <v>25</v>
      </c>
      <c r="BC325">
        <v>26</v>
      </c>
      <c r="BD325">
        <v>21.81</v>
      </c>
      <c r="BE325">
        <v>104</v>
      </c>
      <c r="BF325">
        <v>87.2</v>
      </c>
      <c r="BG325">
        <v>32</v>
      </c>
      <c r="BH325">
        <v>26</v>
      </c>
      <c r="BI325">
        <v>28.46</v>
      </c>
      <c r="BJ325">
        <v>138</v>
      </c>
      <c r="BK325">
        <v>88.9</v>
      </c>
      <c r="BL325">
        <v>236</v>
      </c>
      <c r="BM325">
        <v>20.6495</v>
      </c>
    </row>
    <row r="326" spans="1:65" x14ac:dyDescent="0.25">
      <c r="A326" t="s">
        <v>389</v>
      </c>
      <c r="B326" t="s">
        <v>1418</v>
      </c>
      <c r="C326" t="s">
        <v>2159</v>
      </c>
      <c r="D326" s="1">
        <v>45320</v>
      </c>
      <c r="E326" s="1">
        <v>45360</v>
      </c>
      <c r="F326" s="1">
        <v>45456</v>
      </c>
      <c r="G326" t="s">
        <v>2162</v>
      </c>
      <c r="H326" t="s">
        <v>2168</v>
      </c>
      <c r="I326" t="s">
        <v>2173</v>
      </c>
      <c r="J326">
        <v>23195</v>
      </c>
      <c r="K326">
        <v>696</v>
      </c>
      <c r="L326">
        <v>8</v>
      </c>
      <c r="M326">
        <v>12.5</v>
      </c>
      <c r="N326">
        <v>7</v>
      </c>
      <c r="O326">
        <v>12894</v>
      </c>
      <c r="P326" t="s">
        <v>2177</v>
      </c>
      <c r="Q326">
        <v>14</v>
      </c>
      <c r="R326">
        <v>20</v>
      </c>
      <c r="S326">
        <v>36</v>
      </c>
      <c r="T326">
        <v>662</v>
      </c>
      <c r="U326" t="s">
        <v>2201</v>
      </c>
      <c r="W326" t="s">
        <v>2209</v>
      </c>
      <c r="X326" t="s">
        <v>2211</v>
      </c>
      <c r="Y326" t="s">
        <v>2213</v>
      </c>
      <c r="Z326" s="1">
        <v>45452</v>
      </c>
      <c r="AA326" s="1">
        <v>45458</v>
      </c>
      <c r="AB326" t="s">
        <v>2214</v>
      </c>
      <c r="AC326" t="s">
        <v>2209</v>
      </c>
      <c r="AD326" t="s">
        <v>2219</v>
      </c>
      <c r="AE326" t="s">
        <v>2165</v>
      </c>
      <c r="AF326" t="s">
        <v>2161</v>
      </c>
      <c r="AG326" t="s">
        <v>2222</v>
      </c>
      <c r="AH326">
        <v>70</v>
      </c>
      <c r="AI326">
        <v>92</v>
      </c>
      <c r="AJ326">
        <v>22</v>
      </c>
      <c r="AK326">
        <v>3</v>
      </c>
      <c r="AL326" t="s">
        <v>2227</v>
      </c>
      <c r="AM326">
        <v>0</v>
      </c>
      <c r="AN326" t="s">
        <v>2177</v>
      </c>
      <c r="AO326" t="s">
        <v>2175</v>
      </c>
      <c r="AP326" t="s">
        <v>2177</v>
      </c>
      <c r="AQ326">
        <v>100</v>
      </c>
      <c r="AR326">
        <v>2</v>
      </c>
      <c r="AS326">
        <v>2</v>
      </c>
      <c r="AT326">
        <v>3</v>
      </c>
      <c r="AU326">
        <v>2</v>
      </c>
      <c r="AV326">
        <v>2.333333333333333</v>
      </c>
      <c r="AW326">
        <v>4.5999999999999996</v>
      </c>
      <c r="AX326">
        <v>4.3</v>
      </c>
      <c r="AY326">
        <v>4.2</v>
      </c>
      <c r="AZ326">
        <v>3</v>
      </c>
      <c r="BA326">
        <v>3</v>
      </c>
      <c r="BB326">
        <v>48</v>
      </c>
      <c r="BC326">
        <v>26</v>
      </c>
      <c r="BD326">
        <v>42.38</v>
      </c>
      <c r="BE326">
        <v>212</v>
      </c>
      <c r="BF326">
        <v>88.3</v>
      </c>
      <c r="BG326">
        <v>31</v>
      </c>
      <c r="BH326">
        <v>26</v>
      </c>
      <c r="BI326">
        <v>27.27</v>
      </c>
      <c r="BJ326">
        <v>130</v>
      </c>
      <c r="BK326">
        <v>88</v>
      </c>
      <c r="BL326">
        <v>376</v>
      </c>
      <c r="BM326">
        <v>4.2073</v>
      </c>
    </row>
    <row r="327" spans="1:65" x14ac:dyDescent="0.25">
      <c r="A327" t="s">
        <v>390</v>
      </c>
      <c r="B327" t="s">
        <v>1419</v>
      </c>
      <c r="C327" t="s">
        <v>2160</v>
      </c>
      <c r="D327" s="1">
        <v>45418</v>
      </c>
      <c r="E327" s="1">
        <v>45453</v>
      </c>
      <c r="F327" s="1">
        <v>45526</v>
      </c>
      <c r="G327" t="s">
        <v>2162</v>
      </c>
      <c r="H327" t="s">
        <v>2168</v>
      </c>
      <c r="I327" t="s">
        <v>2174</v>
      </c>
      <c r="J327">
        <v>12251</v>
      </c>
      <c r="K327">
        <v>368</v>
      </c>
      <c r="L327">
        <v>6.3</v>
      </c>
      <c r="M327">
        <v>5.8</v>
      </c>
      <c r="N327">
        <v>4</v>
      </c>
      <c r="O327">
        <v>5684</v>
      </c>
      <c r="P327" t="s">
        <v>2176</v>
      </c>
      <c r="Q327">
        <v>10</v>
      </c>
      <c r="R327">
        <v>14</v>
      </c>
      <c r="S327">
        <v>19</v>
      </c>
      <c r="T327">
        <v>664</v>
      </c>
      <c r="U327" t="s">
        <v>2194</v>
      </c>
      <c r="W327" t="s">
        <v>2209</v>
      </c>
      <c r="X327" t="s">
        <v>2211</v>
      </c>
      <c r="Y327" t="s">
        <v>2213</v>
      </c>
      <c r="Z327" s="1">
        <v>45513</v>
      </c>
      <c r="AA327" s="1">
        <v>45515</v>
      </c>
      <c r="AB327" t="s">
        <v>2214</v>
      </c>
      <c r="AC327" t="s">
        <v>2209</v>
      </c>
      <c r="AD327" t="s">
        <v>2219</v>
      </c>
      <c r="AE327" t="s">
        <v>2166</v>
      </c>
      <c r="AF327" t="s">
        <v>2165</v>
      </c>
      <c r="AG327" t="s">
        <v>2222</v>
      </c>
      <c r="AH327">
        <v>43</v>
      </c>
      <c r="AI327">
        <v>60</v>
      </c>
      <c r="AJ327">
        <v>17</v>
      </c>
      <c r="AK327">
        <v>6</v>
      </c>
      <c r="AL327" t="s">
        <v>2223</v>
      </c>
      <c r="AM327">
        <v>0</v>
      </c>
      <c r="AN327" t="s">
        <v>2177</v>
      </c>
      <c r="AO327" t="s">
        <v>2177</v>
      </c>
      <c r="AP327" t="s">
        <v>2176</v>
      </c>
      <c r="AQ327">
        <v>36.54</v>
      </c>
      <c r="AR327">
        <v>1</v>
      </c>
      <c r="AS327">
        <v>2</v>
      </c>
      <c r="AT327">
        <v>2</v>
      </c>
      <c r="AU327">
        <v>1</v>
      </c>
      <c r="AV327">
        <v>1.666666666666667</v>
      </c>
      <c r="AW327">
        <v>4.8</v>
      </c>
      <c r="AX327">
        <v>4.5999999999999996</v>
      </c>
      <c r="AY327">
        <v>4.2</v>
      </c>
      <c r="AZ327">
        <v>0</v>
      </c>
      <c r="BA327">
        <v>2</v>
      </c>
      <c r="BB327">
        <v>45</v>
      </c>
      <c r="BC327">
        <v>25</v>
      </c>
      <c r="BD327">
        <v>39.200000000000003</v>
      </c>
      <c r="BE327">
        <v>186</v>
      </c>
      <c r="BF327">
        <v>87.1</v>
      </c>
      <c r="BG327">
        <v>29</v>
      </c>
      <c r="BH327">
        <v>25</v>
      </c>
      <c r="BI327">
        <v>25.56</v>
      </c>
      <c r="BJ327">
        <v>117</v>
      </c>
      <c r="BK327">
        <v>88.1</v>
      </c>
      <c r="BL327">
        <v>347</v>
      </c>
      <c r="BM327">
        <v>2.6341000000000001</v>
      </c>
    </row>
    <row r="328" spans="1:65" x14ac:dyDescent="0.25">
      <c r="A328" t="s">
        <v>391</v>
      </c>
      <c r="B328" t="s">
        <v>1420</v>
      </c>
      <c r="C328" t="s">
        <v>2159</v>
      </c>
      <c r="D328" s="1">
        <v>45355</v>
      </c>
      <c r="E328" s="1">
        <v>45397</v>
      </c>
      <c r="F328" s="1">
        <v>45512</v>
      </c>
      <c r="G328" t="s">
        <v>2163</v>
      </c>
      <c r="H328" t="s">
        <v>2169</v>
      </c>
      <c r="I328" t="s">
        <v>2174</v>
      </c>
      <c r="J328">
        <v>23100</v>
      </c>
      <c r="K328">
        <v>693</v>
      </c>
      <c r="L328">
        <v>7.3</v>
      </c>
      <c r="M328">
        <v>3.7</v>
      </c>
      <c r="N328">
        <v>2</v>
      </c>
      <c r="O328">
        <v>4996</v>
      </c>
      <c r="P328" t="s">
        <v>2176</v>
      </c>
      <c r="Q328">
        <v>14</v>
      </c>
      <c r="R328">
        <v>20</v>
      </c>
      <c r="S328">
        <v>41</v>
      </c>
      <c r="T328">
        <v>571</v>
      </c>
      <c r="U328" t="s">
        <v>2183</v>
      </c>
      <c r="W328" t="s">
        <v>2209</v>
      </c>
      <c r="X328" t="s">
        <v>2211</v>
      </c>
      <c r="Y328" t="s">
        <v>2213</v>
      </c>
      <c r="Z328" s="1">
        <v>45495</v>
      </c>
      <c r="AA328" s="1">
        <v>45501</v>
      </c>
      <c r="AB328" t="s">
        <v>2214</v>
      </c>
      <c r="AC328" t="s">
        <v>2209</v>
      </c>
      <c r="AD328" t="s">
        <v>2219</v>
      </c>
      <c r="AE328" t="s">
        <v>2162</v>
      </c>
      <c r="AF328" t="s">
        <v>2163</v>
      </c>
      <c r="AG328" t="s">
        <v>2222</v>
      </c>
      <c r="AH328">
        <v>75</v>
      </c>
      <c r="AI328">
        <v>98</v>
      </c>
      <c r="AJ328">
        <v>23</v>
      </c>
      <c r="AK328">
        <v>4</v>
      </c>
      <c r="AL328" t="s">
        <v>2225</v>
      </c>
      <c r="AM328">
        <v>0</v>
      </c>
      <c r="AN328" t="s">
        <v>2176</v>
      </c>
      <c r="AO328" t="s">
        <v>2176</v>
      </c>
      <c r="AP328" t="s">
        <v>2176</v>
      </c>
      <c r="AQ328">
        <v>27.01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4.2</v>
      </c>
      <c r="AX328">
        <v>4.4000000000000004</v>
      </c>
      <c r="AY328">
        <v>4.4000000000000004</v>
      </c>
      <c r="AZ328">
        <v>3</v>
      </c>
      <c r="BA328">
        <v>2</v>
      </c>
      <c r="BB328">
        <v>25</v>
      </c>
      <c r="BC328">
        <v>26</v>
      </c>
      <c r="BD328">
        <v>21.81</v>
      </c>
      <c r="BE328">
        <v>104</v>
      </c>
      <c r="BF328">
        <v>87.2</v>
      </c>
      <c r="BG328">
        <v>31</v>
      </c>
      <c r="BH328">
        <v>26</v>
      </c>
      <c r="BI328">
        <v>27.23</v>
      </c>
      <c r="BJ328">
        <v>132</v>
      </c>
      <c r="BK328">
        <v>87.8</v>
      </c>
      <c r="BL328">
        <v>236</v>
      </c>
      <c r="BM328">
        <v>8.5396999999999998</v>
      </c>
    </row>
    <row r="329" spans="1:65" x14ac:dyDescent="0.25">
      <c r="A329" t="s">
        <v>392</v>
      </c>
      <c r="B329" t="s">
        <v>1259</v>
      </c>
      <c r="C329" t="s">
        <v>2159</v>
      </c>
      <c r="D329" s="1">
        <v>45418</v>
      </c>
      <c r="E329" s="1">
        <v>45452</v>
      </c>
      <c r="F329" s="1">
        <v>45523</v>
      </c>
      <c r="G329" t="s">
        <v>2164</v>
      </c>
      <c r="H329" t="s">
        <v>2170</v>
      </c>
      <c r="I329" t="s">
        <v>2176</v>
      </c>
      <c r="J329">
        <v>16663</v>
      </c>
      <c r="K329">
        <v>500</v>
      </c>
      <c r="L329">
        <v>8.1</v>
      </c>
      <c r="M329">
        <v>4.7</v>
      </c>
      <c r="N329">
        <v>2</v>
      </c>
      <c r="O329">
        <v>6791</v>
      </c>
      <c r="P329" t="s">
        <v>2176</v>
      </c>
      <c r="Q329">
        <v>10</v>
      </c>
      <c r="R329">
        <v>14</v>
      </c>
      <c r="S329">
        <v>25</v>
      </c>
      <c r="T329">
        <v>686</v>
      </c>
      <c r="U329" t="s">
        <v>2194</v>
      </c>
      <c r="W329" t="s">
        <v>2209</v>
      </c>
      <c r="X329" t="s">
        <v>2211</v>
      </c>
      <c r="Y329" t="s">
        <v>2213</v>
      </c>
      <c r="Z329" s="1">
        <v>45519</v>
      </c>
      <c r="AA329" s="1">
        <v>45522</v>
      </c>
      <c r="AB329" t="s">
        <v>2214</v>
      </c>
      <c r="AC329" t="s">
        <v>2209</v>
      </c>
      <c r="AD329" t="s">
        <v>2219</v>
      </c>
      <c r="AE329" t="s">
        <v>2166</v>
      </c>
      <c r="AF329" t="s">
        <v>2165</v>
      </c>
      <c r="AG329" t="s">
        <v>2222</v>
      </c>
      <c r="AH329">
        <v>49</v>
      </c>
      <c r="AI329">
        <v>67</v>
      </c>
      <c r="AJ329">
        <v>18</v>
      </c>
      <c r="AK329">
        <v>6</v>
      </c>
      <c r="AL329" t="s">
        <v>2223</v>
      </c>
      <c r="AM329">
        <v>0</v>
      </c>
      <c r="AN329" t="s">
        <v>2176</v>
      </c>
      <c r="AO329" t="s">
        <v>2176</v>
      </c>
      <c r="AP329" t="s">
        <v>2176</v>
      </c>
      <c r="AQ329">
        <v>38.07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4.8</v>
      </c>
      <c r="AX329">
        <v>4.5999999999999996</v>
      </c>
      <c r="AY329">
        <v>4.5</v>
      </c>
      <c r="AZ329">
        <v>3</v>
      </c>
      <c r="BA329">
        <v>1</v>
      </c>
      <c r="BB329">
        <v>45</v>
      </c>
      <c r="BC329">
        <v>25</v>
      </c>
      <c r="BD329">
        <v>39.200000000000003</v>
      </c>
      <c r="BE329">
        <v>186</v>
      </c>
      <c r="BF329">
        <v>87.1</v>
      </c>
      <c r="BG329">
        <v>33</v>
      </c>
      <c r="BH329">
        <v>25</v>
      </c>
      <c r="BI329">
        <v>28.64</v>
      </c>
      <c r="BJ329">
        <v>133</v>
      </c>
      <c r="BK329">
        <v>86.8</v>
      </c>
      <c r="BL329">
        <v>347</v>
      </c>
      <c r="BM329">
        <v>3.5827</v>
      </c>
    </row>
    <row r="330" spans="1:65" x14ac:dyDescent="0.25">
      <c r="A330" t="s">
        <v>393</v>
      </c>
      <c r="B330" t="s">
        <v>1408</v>
      </c>
      <c r="C330" t="s">
        <v>2159</v>
      </c>
      <c r="D330" s="1">
        <v>45369</v>
      </c>
      <c r="E330" s="1">
        <v>45404</v>
      </c>
      <c r="F330" s="1">
        <v>45500</v>
      </c>
      <c r="G330" t="s">
        <v>2165</v>
      </c>
      <c r="H330" t="s">
        <v>2171</v>
      </c>
      <c r="I330" t="s">
        <v>2176</v>
      </c>
      <c r="J330">
        <v>25835</v>
      </c>
      <c r="K330">
        <v>776</v>
      </c>
      <c r="L330">
        <v>11.6</v>
      </c>
      <c r="M330">
        <v>10.4</v>
      </c>
      <c r="N330">
        <v>5</v>
      </c>
      <c r="O330">
        <v>4752</v>
      </c>
      <c r="P330" t="s">
        <v>2176</v>
      </c>
      <c r="Q330">
        <v>14</v>
      </c>
      <c r="R330">
        <v>20</v>
      </c>
      <c r="S330">
        <v>36</v>
      </c>
      <c r="T330">
        <v>733</v>
      </c>
      <c r="U330" t="s">
        <v>2183</v>
      </c>
      <c r="W330" t="s">
        <v>2209</v>
      </c>
      <c r="X330" t="s">
        <v>2211</v>
      </c>
      <c r="Y330" t="s">
        <v>2213</v>
      </c>
      <c r="Z330" s="1">
        <v>45496</v>
      </c>
      <c r="AA330" s="1">
        <v>45501</v>
      </c>
      <c r="AB330" t="s">
        <v>2214</v>
      </c>
      <c r="AC330" t="s">
        <v>2209</v>
      </c>
      <c r="AD330" t="s">
        <v>2219</v>
      </c>
      <c r="AE330" t="s">
        <v>2162</v>
      </c>
      <c r="AF330" t="s">
        <v>2163</v>
      </c>
      <c r="AG330" t="s">
        <v>2222</v>
      </c>
      <c r="AH330">
        <v>70</v>
      </c>
      <c r="AI330">
        <v>92</v>
      </c>
      <c r="AJ330">
        <v>22</v>
      </c>
      <c r="AK330">
        <v>4</v>
      </c>
      <c r="AL330" t="s">
        <v>2225</v>
      </c>
      <c r="AM330">
        <v>0</v>
      </c>
      <c r="AN330" t="s">
        <v>2175</v>
      </c>
      <c r="AO330" t="s">
        <v>2177</v>
      </c>
      <c r="AP330" t="s">
        <v>2176</v>
      </c>
      <c r="AQ330">
        <v>120.64</v>
      </c>
      <c r="AR330">
        <v>1</v>
      </c>
      <c r="AS330">
        <v>3</v>
      </c>
      <c r="AT330">
        <v>2</v>
      </c>
      <c r="AU330">
        <v>1</v>
      </c>
      <c r="AV330">
        <v>2</v>
      </c>
      <c r="AW330">
        <v>4.2</v>
      </c>
      <c r="AX330">
        <v>4.4000000000000004</v>
      </c>
      <c r="AY330">
        <v>4.5999999999999996</v>
      </c>
      <c r="AZ330">
        <v>3</v>
      </c>
      <c r="BA330">
        <v>1</v>
      </c>
      <c r="BB330">
        <v>25</v>
      </c>
      <c r="BC330">
        <v>26</v>
      </c>
      <c r="BD330">
        <v>21.81</v>
      </c>
      <c r="BE330">
        <v>104</v>
      </c>
      <c r="BF330">
        <v>87.2</v>
      </c>
      <c r="BG330">
        <v>46</v>
      </c>
      <c r="BH330">
        <v>26</v>
      </c>
      <c r="BI330">
        <v>40.729999999999997</v>
      </c>
      <c r="BJ330">
        <v>203</v>
      </c>
      <c r="BK330">
        <v>88.5</v>
      </c>
      <c r="BL330">
        <v>236</v>
      </c>
      <c r="BM330">
        <v>9.5508000000000006</v>
      </c>
    </row>
    <row r="331" spans="1:65" x14ac:dyDescent="0.25">
      <c r="A331" t="s">
        <v>394</v>
      </c>
      <c r="B331" t="s">
        <v>1421</v>
      </c>
      <c r="C331" t="s">
        <v>2157</v>
      </c>
      <c r="D331" s="1">
        <v>45390</v>
      </c>
      <c r="E331" s="1">
        <v>45431</v>
      </c>
      <c r="F331" s="1">
        <v>45611</v>
      </c>
      <c r="G331" t="s">
        <v>2161</v>
      </c>
      <c r="H331" t="s">
        <v>2167</v>
      </c>
      <c r="I331" t="s">
        <v>2176</v>
      </c>
      <c r="J331">
        <v>54738</v>
      </c>
      <c r="K331">
        <v>1643</v>
      </c>
      <c r="L331">
        <v>8.8000000000000007</v>
      </c>
      <c r="M331">
        <v>9.6</v>
      </c>
      <c r="N331">
        <v>5</v>
      </c>
      <c r="O331">
        <v>8158</v>
      </c>
      <c r="P331" t="s">
        <v>2176</v>
      </c>
      <c r="Q331">
        <v>18</v>
      </c>
      <c r="R331">
        <v>30</v>
      </c>
      <c r="S331">
        <v>89</v>
      </c>
      <c r="T331">
        <v>621</v>
      </c>
      <c r="U331" t="s">
        <v>2203</v>
      </c>
      <c r="W331" t="s">
        <v>2209</v>
      </c>
      <c r="X331" t="s">
        <v>2211</v>
      </c>
      <c r="Y331" t="s">
        <v>2213</v>
      </c>
      <c r="Z331" s="1">
        <v>45601</v>
      </c>
      <c r="AA331" s="1">
        <v>45606</v>
      </c>
      <c r="AB331" t="s">
        <v>2214</v>
      </c>
      <c r="AC331" t="s">
        <v>2209</v>
      </c>
      <c r="AD331" t="s">
        <v>2219</v>
      </c>
      <c r="AE331" t="s">
        <v>2162</v>
      </c>
      <c r="AF331" t="s">
        <v>2166</v>
      </c>
      <c r="AG331" t="s">
        <v>2222</v>
      </c>
      <c r="AH331">
        <v>137</v>
      </c>
      <c r="AI331">
        <v>170</v>
      </c>
      <c r="AJ331">
        <v>33</v>
      </c>
      <c r="AK331">
        <v>5</v>
      </c>
      <c r="AL331" t="s">
        <v>2224</v>
      </c>
      <c r="AM331">
        <v>0</v>
      </c>
      <c r="AN331" t="s">
        <v>2177</v>
      </c>
      <c r="AO331" t="s">
        <v>2177</v>
      </c>
      <c r="AP331" t="s">
        <v>2177</v>
      </c>
      <c r="AQ331">
        <v>84.48</v>
      </c>
      <c r="AR331">
        <v>1</v>
      </c>
      <c r="AS331">
        <v>2</v>
      </c>
      <c r="AT331">
        <v>2</v>
      </c>
      <c r="AU331">
        <v>2</v>
      </c>
      <c r="AV331">
        <v>2</v>
      </c>
      <c r="AW331">
        <v>4.2</v>
      </c>
      <c r="AX331">
        <v>4.8</v>
      </c>
      <c r="AY331">
        <v>4.3</v>
      </c>
      <c r="AZ331">
        <v>1</v>
      </c>
      <c r="BA331">
        <v>1</v>
      </c>
      <c r="BB331">
        <v>24</v>
      </c>
      <c r="BC331">
        <v>27</v>
      </c>
      <c r="BD331">
        <v>21.44</v>
      </c>
      <c r="BE331">
        <v>108</v>
      </c>
      <c r="BF331">
        <v>89.3</v>
      </c>
      <c r="BG331">
        <v>33</v>
      </c>
      <c r="BH331">
        <v>27</v>
      </c>
      <c r="BI331">
        <v>28.96</v>
      </c>
      <c r="BJ331">
        <v>147</v>
      </c>
      <c r="BK331">
        <v>87.8</v>
      </c>
      <c r="BL331">
        <v>301</v>
      </c>
      <c r="BM331">
        <v>18.7652</v>
      </c>
    </row>
    <row r="332" spans="1:65" x14ac:dyDescent="0.25">
      <c r="A332" t="s">
        <v>395</v>
      </c>
      <c r="B332" t="s">
        <v>1422</v>
      </c>
      <c r="C332" t="s">
        <v>2160</v>
      </c>
      <c r="D332" s="1">
        <v>45453</v>
      </c>
      <c r="E332" s="1">
        <v>45483</v>
      </c>
      <c r="F332" s="1">
        <v>45526</v>
      </c>
      <c r="G332" t="s">
        <v>2165</v>
      </c>
      <c r="H332" t="s">
        <v>2171</v>
      </c>
      <c r="I332" t="s">
        <v>2176</v>
      </c>
      <c r="J332">
        <v>4321</v>
      </c>
      <c r="K332">
        <v>130</v>
      </c>
      <c r="L332">
        <v>9.6</v>
      </c>
      <c r="M332">
        <v>9.1</v>
      </c>
      <c r="N332">
        <v>2</v>
      </c>
      <c r="O332">
        <v>8440</v>
      </c>
      <c r="P332" t="s">
        <v>2176</v>
      </c>
      <c r="Q332">
        <v>5</v>
      </c>
      <c r="R332">
        <v>8</v>
      </c>
      <c r="S332">
        <v>6</v>
      </c>
      <c r="T332">
        <v>766</v>
      </c>
      <c r="U332" t="s">
        <v>2203</v>
      </c>
      <c r="W332" t="s">
        <v>2209</v>
      </c>
      <c r="X332" t="s">
        <v>2211</v>
      </c>
      <c r="Y332" t="s">
        <v>2213</v>
      </c>
      <c r="Z332" s="1">
        <v>45516</v>
      </c>
      <c r="AA332" s="1">
        <v>45522</v>
      </c>
      <c r="AB332" t="s">
        <v>2214</v>
      </c>
      <c r="AC332" t="s">
        <v>2209</v>
      </c>
      <c r="AD332" t="s">
        <v>2219</v>
      </c>
      <c r="AE332" t="s">
        <v>2162</v>
      </c>
      <c r="AF332" t="s">
        <v>2166</v>
      </c>
      <c r="AG332" t="s">
        <v>2222</v>
      </c>
      <c r="AH332">
        <v>19</v>
      </c>
      <c r="AI332">
        <v>33</v>
      </c>
      <c r="AJ332">
        <v>14</v>
      </c>
      <c r="AK332">
        <v>7</v>
      </c>
      <c r="AL332" t="s">
        <v>2226</v>
      </c>
      <c r="AM332">
        <v>0</v>
      </c>
      <c r="AN332" t="s">
        <v>2177</v>
      </c>
      <c r="AO332" t="s">
        <v>2176</v>
      </c>
      <c r="AP332" t="s">
        <v>2177</v>
      </c>
      <c r="AQ332">
        <v>87.36</v>
      </c>
      <c r="AR332">
        <v>1</v>
      </c>
      <c r="AS332">
        <v>2</v>
      </c>
      <c r="AT332">
        <v>1</v>
      </c>
      <c r="AU332">
        <v>2</v>
      </c>
      <c r="AV332">
        <v>1.666666666666667</v>
      </c>
      <c r="AW332">
        <v>4.2</v>
      </c>
      <c r="AX332">
        <v>4.8</v>
      </c>
      <c r="AY332">
        <v>4.5999999999999996</v>
      </c>
      <c r="AZ332">
        <v>0</v>
      </c>
      <c r="BA332">
        <v>1</v>
      </c>
      <c r="BB332">
        <v>30</v>
      </c>
      <c r="BC332">
        <v>27</v>
      </c>
      <c r="BD332">
        <v>26.15</v>
      </c>
      <c r="BE332">
        <v>133</v>
      </c>
      <c r="BF332">
        <v>87.2</v>
      </c>
      <c r="BG332">
        <v>38</v>
      </c>
      <c r="BH332">
        <v>27</v>
      </c>
      <c r="BI332">
        <v>34</v>
      </c>
      <c r="BJ332">
        <v>174</v>
      </c>
      <c r="BK332">
        <v>89.5</v>
      </c>
      <c r="BL332">
        <v>349</v>
      </c>
      <c r="BM332">
        <v>1.2030000000000001</v>
      </c>
    </row>
    <row r="333" spans="1:65" x14ac:dyDescent="0.25">
      <c r="A333" t="s">
        <v>396</v>
      </c>
      <c r="B333" t="s">
        <v>1423</v>
      </c>
      <c r="C333" t="s">
        <v>2160</v>
      </c>
      <c r="D333" s="1">
        <v>45369</v>
      </c>
      <c r="E333" s="1">
        <v>45400</v>
      </c>
      <c r="F333" s="1">
        <v>45432</v>
      </c>
      <c r="G333" t="s">
        <v>2166</v>
      </c>
      <c r="H333" t="s">
        <v>2172</v>
      </c>
      <c r="I333" t="s">
        <v>2175</v>
      </c>
      <c r="J333">
        <v>3160</v>
      </c>
      <c r="K333">
        <v>95</v>
      </c>
      <c r="L333">
        <v>10.7</v>
      </c>
      <c r="M333">
        <v>19.100000000000001</v>
      </c>
      <c r="N333">
        <v>8</v>
      </c>
      <c r="O333">
        <v>12274</v>
      </c>
      <c r="P333" t="s">
        <v>2178</v>
      </c>
      <c r="Q333">
        <v>5</v>
      </c>
      <c r="R333">
        <v>8</v>
      </c>
      <c r="S333">
        <v>4</v>
      </c>
      <c r="T333">
        <v>890</v>
      </c>
      <c r="U333" t="s">
        <v>2165</v>
      </c>
      <c r="V333" t="s">
        <v>2171</v>
      </c>
      <c r="W333" t="s">
        <v>2209</v>
      </c>
      <c r="X333" t="s">
        <v>2211</v>
      </c>
      <c r="Y333" t="s">
        <v>2212</v>
      </c>
      <c r="Z333" s="1">
        <v>45431</v>
      </c>
      <c r="AA333" s="1">
        <v>45431</v>
      </c>
      <c r="AB333" t="s">
        <v>2214</v>
      </c>
      <c r="AC333" t="s">
        <v>2209</v>
      </c>
      <c r="AD333" t="s">
        <v>2218</v>
      </c>
      <c r="AE333" t="s">
        <v>2165</v>
      </c>
      <c r="AG333" t="s">
        <v>2221</v>
      </c>
      <c r="AH333">
        <v>17</v>
      </c>
      <c r="AI333">
        <v>31</v>
      </c>
      <c r="AJ333">
        <v>14</v>
      </c>
      <c r="AK333">
        <v>4</v>
      </c>
      <c r="AL333" t="s">
        <v>2225</v>
      </c>
      <c r="AM333">
        <v>0</v>
      </c>
      <c r="AN333" t="s">
        <v>2175</v>
      </c>
      <c r="AO333" t="s">
        <v>2175</v>
      </c>
      <c r="AP333" t="s">
        <v>2177</v>
      </c>
      <c r="AQ333">
        <v>204.37</v>
      </c>
      <c r="AR333">
        <v>3</v>
      </c>
      <c r="AS333">
        <v>3</v>
      </c>
      <c r="AT333">
        <v>3</v>
      </c>
      <c r="AU333">
        <v>2</v>
      </c>
      <c r="AV333">
        <v>2.666666666666667</v>
      </c>
      <c r="AW333">
        <v>4.5999999999999996</v>
      </c>
      <c r="AY333">
        <v>4.8</v>
      </c>
      <c r="AZ333">
        <v>0</v>
      </c>
      <c r="BA333">
        <v>0</v>
      </c>
      <c r="BB333">
        <v>46</v>
      </c>
      <c r="BC333">
        <v>26</v>
      </c>
      <c r="BD333">
        <v>40.729999999999997</v>
      </c>
      <c r="BE333">
        <v>203</v>
      </c>
      <c r="BF333">
        <v>88.5</v>
      </c>
      <c r="BG333">
        <v>45</v>
      </c>
      <c r="BH333">
        <v>26</v>
      </c>
      <c r="BI333">
        <v>40.270000000000003</v>
      </c>
      <c r="BJ333">
        <v>199</v>
      </c>
      <c r="BK333">
        <v>89.5</v>
      </c>
      <c r="BL333">
        <v>203</v>
      </c>
      <c r="BM333">
        <v>0.59860000000000002</v>
      </c>
    </row>
    <row r="334" spans="1:65" x14ac:dyDescent="0.25">
      <c r="A334" t="s">
        <v>397</v>
      </c>
      <c r="B334" t="s">
        <v>1336</v>
      </c>
      <c r="C334" t="s">
        <v>2159</v>
      </c>
      <c r="D334" s="1">
        <v>45362</v>
      </c>
      <c r="E334" s="1">
        <v>45392</v>
      </c>
      <c r="F334" s="1">
        <v>45477</v>
      </c>
      <c r="G334" t="s">
        <v>2162</v>
      </c>
      <c r="H334" t="s">
        <v>2168</v>
      </c>
      <c r="I334" t="s">
        <v>2176</v>
      </c>
      <c r="J334">
        <v>19899</v>
      </c>
      <c r="K334">
        <v>597</v>
      </c>
      <c r="L334">
        <v>5.7</v>
      </c>
      <c r="M334">
        <v>6.7</v>
      </c>
      <c r="N334">
        <v>2</v>
      </c>
      <c r="O334">
        <v>8895</v>
      </c>
      <c r="P334" t="s">
        <v>2176</v>
      </c>
      <c r="Q334">
        <v>10</v>
      </c>
      <c r="R334">
        <v>14</v>
      </c>
      <c r="S334">
        <v>33</v>
      </c>
      <c r="T334">
        <v>609</v>
      </c>
      <c r="U334" t="s">
        <v>2196</v>
      </c>
      <c r="W334" t="s">
        <v>2209</v>
      </c>
      <c r="X334" t="s">
        <v>2211</v>
      </c>
      <c r="Y334" t="s">
        <v>2213</v>
      </c>
      <c r="Z334" s="1">
        <v>45469</v>
      </c>
      <c r="AA334" s="1">
        <v>45473</v>
      </c>
      <c r="AB334" t="s">
        <v>2214</v>
      </c>
      <c r="AC334" t="s">
        <v>2209</v>
      </c>
      <c r="AD334" t="s">
        <v>2219</v>
      </c>
      <c r="AE334" t="s">
        <v>2165</v>
      </c>
      <c r="AF334" t="s">
        <v>2163</v>
      </c>
      <c r="AG334" t="s">
        <v>2222</v>
      </c>
      <c r="AH334">
        <v>57</v>
      </c>
      <c r="AI334">
        <v>77</v>
      </c>
      <c r="AJ334">
        <v>20</v>
      </c>
      <c r="AK334">
        <v>4</v>
      </c>
      <c r="AL334" t="s">
        <v>2225</v>
      </c>
      <c r="AM334">
        <v>0</v>
      </c>
      <c r="AN334" t="s">
        <v>2177</v>
      </c>
      <c r="AO334" t="s">
        <v>2176</v>
      </c>
      <c r="AP334" t="s">
        <v>2177</v>
      </c>
      <c r="AQ334">
        <v>38.19</v>
      </c>
      <c r="AR334">
        <v>1</v>
      </c>
      <c r="AS334">
        <v>2</v>
      </c>
      <c r="AT334">
        <v>1</v>
      </c>
      <c r="AU334">
        <v>2</v>
      </c>
      <c r="AV334">
        <v>1.666666666666667</v>
      </c>
      <c r="AW334">
        <v>4.5999999999999996</v>
      </c>
      <c r="AX334">
        <v>4.4000000000000004</v>
      </c>
      <c r="AY334">
        <v>4.2</v>
      </c>
      <c r="AZ334">
        <v>3</v>
      </c>
      <c r="BA334">
        <v>1</v>
      </c>
      <c r="BB334">
        <v>46</v>
      </c>
      <c r="BC334">
        <v>26</v>
      </c>
      <c r="BD334">
        <v>40.729999999999997</v>
      </c>
      <c r="BE334">
        <v>203</v>
      </c>
      <c r="BF334">
        <v>88.5</v>
      </c>
      <c r="BG334">
        <v>25</v>
      </c>
      <c r="BH334">
        <v>26</v>
      </c>
      <c r="BI334">
        <v>21.81</v>
      </c>
      <c r="BJ334">
        <v>104</v>
      </c>
      <c r="BK334">
        <v>87.2</v>
      </c>
      <c r="BL334">
        <v>335</v>
      </c>
      <c r="BM334">
        <v>3.7694999999999999</v>
      </c>
    </row>
    <row r="335" spans="1:65" x14ac:dyDescent="0.25">
      <c r="A335" t="s">
        <v>398</v>
      </c>
      <c r="B335" t="s">
        <v>1424</v>
      </c>
      <c r="C335" t="s">
        <v>2157</v>
      </c>
      <c r="D335" s="1">
        <v>45383</v>
      </c>
      <c r="E335" s="1">
        <v>45418</v>
      </c>
      <c r="F335" s="1">
        <v>45572</v>
      </c>
      <c r="G335" t="s">
        <v>2164</v>
      </c>
      <c r="H335" t="s">
        <v>2170</v>
      </c>
      <c r="I335" t="s">
        <v>2174</v>
      </c>
      <c r="J335">
        <v>44750</v>
      </c>
      <c r="K335">
        <v>1343</v>
      </c>
      <c r="L335">
        <v>5.7</v>
      </c>
      <c r="M335">
        <v>7.2</v>
      </c>
      <c r="N335">
        <v>4</v>
      </c>
      <c r="O335">
        <v>6515</v>
      </c>
      <c r="P335" t="s">
        <v>2176</v>
      </c>
      <c r="Q335">
        <v>18</v>
      </c>
      <c r="R335">
        <v>30</v>
      </c>
      <c r="S335">
        <v>65</v>
      </c>
      <c r="T335">
        <v>699</v>
      </c>
      <c r="U335" t="s">
        <v>2203</v>
      </c>
      <c r="W335" t="s">
        <v>2209</v>
      </c>
      <c r="X335" t="s">
        <v>2211</v>
      </c>
      <c r="Y335" t="s">
        <v>2213</v>
      </c>
      <c r="Z335" s="1">
        <v>45560</v>
      </c>
      <c r="AA335" s="1">
        <v>45564</v>
      </c>
      <c r="AB335" t="s">
        <v>2214</v>
      </c>
      <c r="AC335" t="s">
        <v>2209</v>
      </c>
      <c r="AD335" t="s">
        <v>2219</v>
      </c>
      <c r="AE335" t="s">
        <v>2162</v>
      </c>
      <c r="AF335" t="s">
        <v>2166</v>
      </c>
      <c r="AG335" t="s">
        <v>2222</v>
      </c>
      <c r="AH335">
        <v>113</v>
      </c>
      <c r="AI335">
        <v>142</v>
      </c>
      <c r="AJ335">
        <v>29</v>
      </c>
      <c r="AK335">
        <v>5</v>
      </c>
      <c r="AL335" t="s">
        <v>2224</v>
      </c>
      <c r="AM335">
        <v>0</v>
      </c>
      <c r="AN335" t="s">
        <v>2177</v>
      </c>
      <c r="AO335" t="s">
        <v>2177</v>
      </c>
      <c r="AP335" t="s">
        <v>2176</v>
      </c>
      <c r="AQ335">
        <v>41.04</v>
      </c>
      <c r="AR335">
        <v>1</v>
      </c>
      <c r="AS335">
        <v>2</v>
      </c>
      <c r="AT335">
        <v>2</v>
      </c>
      <c r="AU335">
        <v>1</v>
      </c>
      <c r="AV335">
        <v>1.666666666666667</v>
      </c>
      <c r="AW335">
        <v>4.2</v>
      </c>
      <c r="AX335">
        <v>4.8</v>
      </c>
      <c r="AY335">
        <v>4.5</v>
      </c>
      <c r="AZ335">
        <v>1</v>
      </c>
      <c r="BA335">
        <v>2</v>
      </c>
      <c r="BB335">
        <v>24</v>
      </c>
      <c r="BC335">
        <v>27</v>
      </c>
      <c r="BD335">
        <v>21.44</v>
      </c>
      <c r="BE335">
        <v>108</v>
      </c>
      <c r="BF335">
        <v>89.3</v>
      </c>
      <c r="BG335">
        <v>35</v>
      </c>
      <c r="BH335">
        <v>27</v>
      </c>
      <c r="BI335">
        <v>30.96</v>
      </c>
      <c r="BJ335">
        <v>158</v>
      </c>
      <c r="BK335">
        <v>88.5</v>
      </c>
      <c r="BL335">
        <v>301</v>
      </c>
      <c r="BM335">
        <v>15.341100000000001</v>
      </c>
    </row>
    <row r="336" spans="1:65" x14ac:dyDescent="0.25">
      <c r="A336" t="s">
        <v>399</v>
      </c>
      <c r="B336" t="s">
        <v>1382</v>
      </c>
      <c r="C336" t="s">
        <v>2160</v>
      </c>
      <c r="D336" s="1">
        <v>45432</v>
      </c>
      <c r="E336" s="1">
        <v>45475</v>
      </c>
      <c r="F336" s="1">
        <v>45539</v>
      </c>
      <c r="G336" t="s">
        <v>2163</v>
      </c>
      <c r="H336" t="s">
        <v>2169</v>
      </c>
      <c r="I336" t="s">
        <v>2176</v>
      </c>
      <c r="J336">
        <v>13328</v>
      </c>
      <c r="K336">
        <v>400</v>
      </c>
      <c r="L336">
        <v>3.1</v>
      </c>
      <c r="M336">
        <v>4.9000000000000004</v>
      </c>
      <c r="N336">
        <v>5</v>
      </c>
      <c r="O336">
        <v>5099</v>
      </c>
      <c r="P336" t="s">
        <v>2176</v>
      </c>
      <c r="Q336">
        <v>10</v>
      </c>
      <c r="R336">
        <v>14</v>
      </c>
      <c r="S336">
        <v>18</v>
      </c>
      <c r="T336">
        <v>751</v>
      </c>
      <c r="U336" t="s">
        <v>2182</v>
      </c>
      <c r="W336" t="s">
        <v>2209</v>
      </c>
      <c r="X336" t="s">
        <v>2211</v>
      </c>
      <c r="Y336" t="s">
        <v>2213</v>
      </c>
      <c r="Z336" s="1">
        <v>45534</v>
      </c>
      <c r="AA336" s="1">
        <v>45536</v>
      </c>
      <c r="AB336" t="s">
        <v>2214</v>
      </c>
      <c r="AC336" t="s">
        <v>2209</v>
      </c>
      <c r="AD336" t="s">
        <v>2219</v>
      </c>
      <c r="AE336" t="s">
        <v>2166</v>
      </c>
      <c r="AF336" t="s">
        <v>2162</v>
      </c>
      <c r="AG336" t="s">
        <v>2222</v>
      </c>
      <c r="AH336">
        <v>42</v>
      </c>
      <c r="AI336">
        <v>59</v>
      </c>
      <c r="AJ336">
        <v>17</v>
      </c>
      <c r="AK336">
        <v>7</v>
      </c>
      <c r="AL336" t="s">
        <v>2226</v>
      </c>
      <c r="AM336">
        <v>0</v>
      </c>
      <c r="AN336" t="s">
        <v>2176</v>
      </c>
      <c r="AO336" t="s">
        <v>2177</v>
      </c>
      <c r="AP336" t="s">
        <v>2176</v>
      </c>
      <c r="AQ336">
        <v>15.19</v>
      </c>
      <c r="AR336">
        <v>1</v>
      </c>
      <c r="AS336">
        <v>1</v>
      </c>
      <c r="AT336">
        <v>2</v>
      </c>
      <c r="AU336">
        <v>1</v>
      </c>
      <c r="AV336">
        <v>1.333333333333333</v>
      </c>
      <c r="AW336">
        <v>4.8</v>
      </c>
      <c r="AX336">
        <v>4.2</v>
      </c>
      <c r="AY336">
        <v>4.4000000000000004</v>
      </c>
      <c r="AZ336">
        <v>0</v>
      </c>
      <c r="BA336">
        <v>1</v>
      </c>
      <c r="BB336">
        <v>48</v>
      </c>
      <c r="BC336">
        <v>27</v>
      </c>
      <c r="BD336">
        <v>42.33</v>
      </c>
      <c r="BE336">
        <v>216</v>
      </c>
      <c r="BF336">
        <v>88.2</v>
      </c>
      <c r="BG336">
        <v>33</v>
      </c>
      <c r="BH336">
        <v>27</v>
      </c>
      <c r="BI336">
        <v>28.89</v>
      </c>
      <c r="BJ336">
        <v>145</v>
      </c>
      <c r="BK336">
        <v>87.5</v>
      </c>
      <c r="BL336">
        <v>349</v>
      </c>
      <c r="BM336">
        <v>2.2848999999999999</v>
      </c>
    </row>
    <row r="337" spans="1:65" x14ac:dyDescent="0.25">
      <c r="A337" t="s">
        <v>400</v>
      </c>
      <c r="B337" t="s">
        <v>1425</v>
      </c>
      <c r="C337" t="s">
        <v>2160</v>
      </c>
      <c r="D337" s="1">
        <v>45418</v>
      </c>
      <c r="E337" s="1">
        <v>45453</v>
      </c>
      <c r="F337" s="1">
        <v>45485</v>
      </c>
      <c r="G337" t="s">
        <v>2163</v>
      </c>
      <c r="H337" t="s">
        <v>2169</v>
      </c>
      <c r="I337" t="s">
        <v>2173</v>
      </c>
      <c r="J337">
        <v>2777</v>
      </c>
      <c r="K337">
        <v>84</v>
      </c>
      <c r="L337">
        <v>13.1</v>
      </c>
      <c r="M337">
        <v>12.3</v>
      </c>
      <c r="N337">
        <v>7</v>
      </c>
      <c r="O337">
        <v>13539</v>
      </c>
      <c r="P337" t="s">
        <v>2177</v>
      </c>
      <c r="Q337">
        <v>5</v>
      </c>
      <c r="R337">
        <v>8</v>
      </c>
      <c r="S337">
        <v>4</v>
      </c>
      <c r="T337">
        <v>863</v>
      </c>
      <c r="U337" t="s">
        <v>2206</v>
      </c>
      <c r="W337" t="s">
        <v>2209</v>
      </c>
      <c r="X337" t="s">
        <v>2211</v>
      </c>
      <c r="Y337" t="s">
        <v>2213</v>
      </c>
      <c r="Z337" s="1">
        <v>45483</v>
      </c>
      <c r="AA337" s="1">
        <v>45487</v>
      </c>
      <c r="AB337" t="s">
        <v>2214</v>
      </c>
      <c r="AC337" t="s">
        <v>2209</v>
      </c>
      <c r="AD337" t="s">
        <v>2219</v>
      </c>
      <c r="AE337" t="s">
        <v>2162</v>
      </c>
      <c r="AF337" t="s">
        <v>2164</v>
      </c>
      <c r="AG337" t="s">
        <v>2222</v>
      </c>
      <c r="AH337">
        <v>17</v>
      </c>
      <c r="AI337">
        <v>30</v>
      </c>
      <c r="AJ337">
        <v>13</v>
      </c>
      <c r="AK337">
        <v>6</v>
      </c>
      <c r="AL337" t="s">
        <v>2223</v>
      </c>
      <c r="AM337">
        <v>0</v>
      </c>
      <c r="AN337" t="s">
        <v>2175</v>
      </c>
      <c r="AO337" t="s">
        <v>2175</v>
      </c>
      <c r="AP337" t="s">
        <v>2177</v>
      </c>
      <c r="AQ337">
        <v>161.13</v>
      </c>
      <c r="AR337">
        <v>2</v>
      </c>
      <c r="AS337">
        <v>3</v>
      </c>
      <c r="AT337">
        <v>3</v>
      </c>
      <c r="AU337">
        <v>2</v>
      </c>
      <c r="AV337">
        <v>2.666666666666667</v>
      </c>
      <c r="AW337">
        <v>4.2</v>
      </c>
      <c r="AX337">
        <v>4.5</v>
      </c>
      <c r="AY337">
        <v>4.4000000000000004</v>
      </c>
      <c r="AZ337">
        <v>0</v>
      </c>
      <c r="BA337">
        <v>3</v>
      </c>
      <c r="BB337">
        <v>29</v>
      </c>
      <c r="BC337">
        <v>25</v>
      </c>
      <c r="BD337">
        <v>25.56</v>
      </c>
      <c r="BE337">
        <v>117</v>
      </c>
      <c r="BF337">
        <v>88.1</v>
      </c>
      <c r="BG337">
        <v>30</v>
      </c>
      <c r="BH337">
        <v>25</v>
      </c>
      <c r="BI337">
        <v>26.48</v>
      </c>
      <c r="BJ337">
        <v>121</v>
      </c>
      <c r="BK337">
        <v>88.3</v>
      </c>
      <c r="BL337">
        <v>250</v>
      </c>
      <c r="BM337">
        <v>0.94910000000000005</v>
      </c>
    </row>
    <row r="338" spans="1:65" x14ac:dyDescent="0.25">
      <c r="A338" t="s">
        <v>401</v>
      </c>
      <c r="B338" t="s">
        <v>1241</v>
      </c>
      <c r="C338" t="s">
        <v>2160</v>
      </c>
      <c r="D338" s="1">
        <v>45453</v>
      </c>
      <c r="E338" s="1">
        <v>45486</v>
      </c>
      <c r="F338" s="1">
        <v>45541</v>
      </c>
      <c r="G338" t="s">
        <v>2166</v>
      </c>
      <c r="H338" t="s">
        <v>2172</v>
      </c>
      <c r="I338" t="s">
        <v>2174</v>
      </c>
      <c r="J338">
        <v>6320</v>
      </c>
      <c r="K338">
        <v>190</v>
      </c>
      <c r="L338">
        <v>1.6</v>
      </c>
      <c r="M338">
        <v>5.6</v>
      </c>
      <c r="N338">
        <v>4</v>
      </c>
      <c r="O338">
        <v>3864</v>
      </c>
      <c r="P338" t="s">
        <v>2176</v>
      </c>
      <c r="Q338">
        <v>7</v>
      </c>
      <c r="R338">
        <v>10</v>
      </c>
      <c r="S338">
        <v>12</v>
      </c>
      <c r="T338">
        <v>564</v>
      </c>
      <c r="U338" t="s">
        <v>2182</v>
      </c>
      <c r="W338" t="s">
        <v>2209</v>
      </c>
      <c r="X338" t="s">
        <v>2211</v>
      </c>
      <c r="Y338" t="s">
        <v>2213</v>
      </c>
      <c r="Z338" s="1">
        <v>45531</v>
      </c>
      <c r="AA338" s="1">
        <v>45536</v>
      </c>
      <c r="AB338" t="s">
        <v>2214</v>
      </c>
      <c r="AC338" t="s">
        <v>2209</v>
      </c>
      <c r="AD338" t="s">
        <v>2219</v>
      </c>
      <c r="AE338" t="s">
        <v>2166</v>
      </c>
      <c r="AF338" t="s">
        <v>2162</v>
      </c>
      <c r="AG338" t="s">
        <v>2222</v>
      </c>
      <c r="AH338">
        <v>29</v>
      </c>
      <c r="AI338">
        <v>45</v>
      </c>
      <c r="AJ338">
        <v>16</v>
      </c>
      <c r="AK338">
        <v>7</v>
      </c>
      <c r="AL338" t="s">
        <v>2226</v>
      </c>
      <c r="AM338">
        <v>0</v>
      </c>
      <c r="AN338" t="s">
        <v>2176</v>
      </c>
      <c r="AO338" t="s">
        <v>2177</v>
      </c>
      <c r="AP338" t="s">
        <v>2176</v>
      </c>
      <c r="AQ338">
        <v>8.9599999999999991</v>
      </c>
      <c r="AR338">
        <v>1</v>
      </c>
      <c r="AS338">
        <v>1</v>
      </c>
      <c r="AT338">
        <v>2</v>
      </c>
      <c r="AU338">
        <v>1</v>
      </c>
      <c r="AV338">
        <v>1.333333333333333</v>
      </c>
      <c r="AW338">
        <v>4.8</v>
      </c>
      <c r="AX338">
        <v>4.2</v>
      </c>
      <c r="AY338">
        <v>4.8</v>
      </c>
      <c r="AZ338">
        <v>0</v>
      </c>
      <c r="BA338">
        <v>2</v>
      </c>
      <c r="BB338">
        <v>48</v>
      </c>
      <c r="BC338">
        <v>27</v>
      </c>
      <c r="BD338">
        <v>42.33</v>
      </c>
      <c r="BE338">
        <v>216</v>
      </c>
      <c r="BF338">
        <v>88.2</v>
      </c>
      <c r="BG338">
        <v>48</v>
      </c>
      <c r="BH338">
        <v>27</v>
      </c>
      <c r="BI338">
        <v>42.33</v>
      </c>
      <c r="BJ338">
        <v>216</v>
      </c>
      <c r="BK338">
        <v>88.2</v>
      </c>
      <c r="BL338">
        <v>349</v>
      </c>
      <c r="BM338">
        <v>1.0834999999999999</v>
      </c>
    </row>
    <row r="339" spans="1:65" x14ac:dyDescent="0.25">
      <c r="A339" t="s">
        <v>402</v>
      </c>
      <c r="B339" t="s">
        <v>1426</v>
      </c>
      <c r="C339" t="s">
        <v>2160</v>
      </c>
      <c r="D339" s="1">
        <v>45404</v>
      </c>
      <c r="E339" s="1">
        <v>45438</v>
      </c>
      <c r="F339" s="1">
        <v>45482</v>
      </c>
      <c r="G339" t="s">
        <v>2161</v>
      </c>
      <c r="H339" t="s">
        <v>2167</v>
      </c>
      <c r="I339" t="s">
        <v>2176</v>
      </c>
      <c r="J339">
        <v>5281</v>
      </c>
      <c r="K339">
        <v>159</v>
      </c>
      <c r="L339">
        <v>8.4</v>
      </c>
      <c r="M339">
        <v>7.6</v>
      </c>
      <c r="N339">
        <v>4</v>
      </c>
      <c r="O339">
        <v>4978</v>
      </c>
      <c r="P339" t="s">
        <v>2176</v>
      </c>
      <c r="Q339">
        <v>7</v>
      </c>
      <c r="R339">
        <v>10</v>
      </c>
      <c r="S339">
        <v>9</v>
      </c>
      <c r="T339">
        <v>639</v>
      </c>
      <c r="U339" t="s">
        <v>2198</v>
      </c>
      <c r="W339" t="s">
        <v>2209</v>
      </c>
      <c r="X339" t="s">
        <v>2211</v>
      </c>
      <c r="Y339" t="s">
        <v>2213</v>
      </c>
      <c r="Z339" s="1">
        <v>45478</v>
      </c>
      <c r="AA339" s="1">
        <v>45480</v>
      </c>
      <c r="AB339" t="s">
        <v>2214</v>
      </c>
      <c r="AC339" t="s">
        <v>2209</v>
      </c>
      <c r="AD339" t="s">
        <v>2219</v>
      </c>
      <c r="AE339" t="s">
        <v>2166</v>
      </c>
      <c r="AF339" t="s">
        <v>2161</v>
      </c>
      <c r="AG339" t="s">
        <v>2222</v>
      </c>
      <c r="AH339">
        <v>26</v>
      </c>
      <c r="AI339">
        <v>40</v>
      </c>
      <c r="AJ339">
        <v>14</v>
      </c>
      <c r="AK339">
        <v>5</v>
      </c>
      <c r="AL339" t="s">
        <v>2224</v>
      </c>
      <c r="AM339">
        <v>0</v>
      </c>
      <c r="AN339" t="s">
        <v>2177</v>
      </c>
      <c r="AO339" t="s">
        <v>2177</v>
      </c>
      <c r="AP339" t="s">
        <v>2176</v>
      </c>
      <c r="AQ339">
        <v>63.84</v>
      </c>
      <c r="AR339">
        <v>1</v>
      </c>
      <c r="AS339">
        <v>2</v>
      </c>
      <c r="AT339">
        <v>2</v>
      </c>
      <c r="AU339">
        <v>1</v>
      </c>
      <c r="AV339">
        <v>1.666666666666667</v>
      </c>
      <c r="AW339">
        <v>4.8</v>
      </c>
      <c r="AX339">
        <v>4.3</v>
      </c>
      <c r="AY339">
        <v>4.3</v>
      </c>
      <c r="AZ339">
        <v>0</v>
      </c>
      <c r="BA339">
        <v>1</v>
      </c>
      <c r="BB339">
        <v>43</v>
      </c>
      <c r="BC339">
        <v>27</v>
      </c>
      <c r="BD339">
        <v>37.299999999999997</v>
      </c>
      <c r="BE339">
        <v>193</v>
      </c>
      <c r="BF339">
        <v>86.7</v>
      </c>
      <c r="BG339">
        <v>33</v>
      </c>
      <c r="BH339">
        <v>27</v>
      </c>
      <c r="BI339">
        <v>28.96</v>
      </c>
      <c r="BJ339">
        <v>147</v>
      </c>
      <c r="BK339">
        <v>87.8</v>
      </c>
      <c r="BL339">
        <v>340</v>
      </c>
      <c r="BM339">
        <v>1.0132000000000001</v>
      </c>
    </row>
    <row r="340" spans="1:65" x14ac:dyDescent="0.25">
      <c r="A340" t="s">
        <v>403</v>
      </c>
      <c r="B340" t="s">
        <v>1299</v>
      </c>
      <c r="C340" t="s">
        <v>2157</v>
      </c>
      <c r="D340" s="1">
        <v>45327</v>
      </c>
      <c r="E340" s="1">
        <v>45367</v>
      </c>
      <c r="F340" s="1">
        <v>45550</v>
      </c>
      <c r="G340" t="s">
        <v>2161</v>
      </c>
      <c r="H340" t="s">
        <v>2167</v>
      </c>
      <c r="I340" t="s">
        <v>2174</v>
      </c>
      <c r="J340">
        <v>52381</v>
      </c>
      <c r="K340">
        <v>1572</v>
      </c>
      <c r="L340">
        <v>2.9</v>
      </c>
      <c r="M340">
        <v>2.1</v>
      </c>
      <c r="N340">
        <v>3</v>
      </c>
      <c r="O340">
        <v>1341</v>
      </c>
      <c r="P340" t="s">
        <v>2176</v>
      </c>
      <c r="Q340">
        <v>18</v>
      </c>
      <c r="R340">
        <v>30</v>
      </c>
      <c r="S340">
        <v>85</v>
      </c>
      <c r="T340">
        <v>617</v>
      </c>
      <c r="U340" t="s">
        <v>2189</v>
      </c>
      <c r="W340" t="s">
        <v>2209</v>
      </c>
      <c r="X340" t="s">
        <v>2211</v>
      </c>
      <c r="Y340" t="s">
        <v>2213</v>
      </c>
      <c r="Z340" s="1">
        <v>45532</v>
      </c>
      <c r="AA340" s="1">
        <v>45535</v>
      </c>
      <c r="AB340" t="s">
        <v>2214</v>
      </c>
      <c r="AC340" t="s">
        <v>2209</v>
      </c>
      <c r="AD340" t="s">
        <v>2219</v>
      </c>
      <c r="AE340" t="s">
        <v>2165</v>
      </c>
      <c r="AF340" t="s">
        <v>2166</v>
      </c>
      <c r="AG340" t="s">
        <v>2222</v>
      </c>
      <c r="AH340">
        <v>133</v>
      </c>
      <c r="AI340">
        <v>165</v>
      </c>
      <c r="AJ340">
        <v>32</v>
      </c>
      <c r="AK340">
        <v>3</v>
      </c>
      <c r="AL340" t="s">
        <v>2227</v>
      </c>
      <c r="AM340">
        <v>0</v>
      </c>
      <c r="AN340" t="s">
        <v>2176</v>
      </c>
      <c r="AO340" t="s">
        <v>2176</v>
      </c>
      <c r="AP340" t="s">
        <v>2176</v>
      </c>
      <c r="AQ340">
        <v>6.09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4.5999999999999996</v>
      </c>
      <c r="AX340">
        <v>4.8</v>
      </c>
      <c r="AY340">
        <v>4.3</v>
      </c>
      <c r="AZ340">
        <v>1</v>
      </c>
      <c r="BA340">
        <v>2</v>
      </c>
      <c r="BB340">
        <v>48</v>
      </c>
      <c r="BC340">
        <v>26</v>
      </c>
      <c r="BD340">
        <v>42.38</v>
      </c>
      <c r="BE340">
        <v>212</v>
      </c>
      <c r="BF340">
        <v>88.3</v>
      </c>
      <c r="BG340">
        <v>38</v>
      </c>
      <c r="BH340">
        <v>26</v>
      </c>
      <c r="BI340">
        <v>33.729999999999997</v>
      </c>
      <c r="BJ340">
        <v>164</v>
      </c>
      <c r="BK340">
        <v>88.8</v>
      </c>
      <c r="BL340">
        <v>428</v>
      </c>
      <c r="BM340">
        <v>9.5014000000000003</v>
      </c>
    </row>
    <row r="341" spans="1:65" x14ac:dyDescent="0.25">
      <c r="A341" t="s">
        <v>404</v>
      </c>
      <c r="B341" t="s">
        <v>1339</v>
      </c>
      <c r="C341" t="s">
        <v>2158</v>
      </c>
      <c r="D341" s="1">
        <v>45418</v>
      </c>
      <c r="E341" s="1">
        <v>45451</v>
      </c>
      <c r="F341" s="1">
        <v>45521</v>
      </c>
      <c r="G341" t="s">
        <v>2162</v>
      </c>
      <c r="H341" t="s">
        <v>2168</v>
      </c>
      <c r="I341" t="s">
        <v>2173</v>
      </c>
      <c r="J341">
        <v>17608</v>
      </c>
      <c r="K341">
        <v>529</v>
      </c>
      <c r="L341">
        <v>10.3</v>
      </c>
      <c r="M341">
        <v>7.8</v>
      </c>
      <c r="N341">
        <v>7</v>
      </c>
      <c r="O341">
        <v>13963</v>
      </c>
      <c r="P341" t="s">
        <v>2177</v>
      </c>
      <c r="Q341">
        <v>10</v>
      </c>
      <c r="R341">
        <v>14</v>
      </c>
      <c r="S341">
        <v>24</v>
      </c>
      <c r="T341">
        <v>739</v>
      </c>
      <c r="U341" t="s">
        <v>2194</v>
      </c>
      <c r="W341" t="s">
        <v>2209</v>
      </c>
      <c r="X341" t="s">
        <v>2211</v>
      </c>
      <c r="Y341" t="s">
        <v>2213</v>
      </c>
      <c r="Z341" s="1">
        <v>45518</v>
      </c>
      <c r="AA341" s="1">
        <v>45522</v>
      </c>
      <c r="AB341" t="s">
        <v>2214</v>
      </c>
      <c r="AC341" t="s">
        <v>2209</v>
      </c>
      <c r="AD341" t="s">
        <v>2219</v>
      </c>
      <c r="AE341" t="s">
        <v>2166</v>
      </c>
      <c r="AF341" t="s">
        <v>2165</v>
      </c>
      <c r="AG341" t="s">
        <v>2222</v>
      </c>
      <c r="AH341">
        <v>48</v>
      </c>
      <c r="AI341">
        <v>67</v>
      </c>
      <c r="AJ341">
        <v>19</v>
      </c>
      <c r="AK341">
        <v>6</v>
      </c>
      <c r="AL341" t="s">
        <v>2223</v>
      </c>
      <c r="AM341">
        <v>0</v>
      </c>
      <c r="AN341" t="s">
        <v>2177</v>
      </c>
      <c r="AO341" t="s">
        <v>2175</v>
      </c>
      <c r="AP341" t="s">
        <v>2177</v>
      </c>
      <c r="AQ341">
        <v>80.34</v>
      </c>
      <c r="AR341">
        <v>2</v>
      </c>
      <c r="AS341">
        <v>2</v>
      </c>
      <c r="AT341">
        <v>3</v>
      </c>
      <c r="AU341">
        <v>2</v>
      </c>
      <c r="AV341">
        <v>2.333333333333333</v>
      </c>
      <c r="AW341">
        <v>4.8</v>
      </c>
      <c r="AX341">
        <v>4.5999999999999996</v>
      </c>
      <c r="AY341">
        <v>4.2</v>
      </c>
      <c r="AZ341">
        <v>2</v>
      </c>
      <c r="BA341">
        <v>3</v>
      </c>
      <c r="BB341">
        <v>45</v>
      </c>
      <c r="BC341">
        <v>25</v>
      </c>
      <c r="BD341">
        <v>39.200000000000003</v>
      </c>
      <c r="BE341">
        <v>186</v>
      </c>
      <c r="BF341">
        <v>87.1</v>
      </c>
      <c r="BG341">
        <v>29</v>
      </c>
      <c r="BH341">
        <v>25</v>
      </c>
      <c r="BI341">
        <v>25.56</v>
      </c>
      <c r="BJ341">
        <v>117</v>
      </c>
      <c r="BK341">
        <v>88.1</v>
      </c>
      <c r="BL341">
        <v>347</v>
      </c>
      <c r="BM341">
        <v>3.7858999999999998</v>
      </c>
    </row>
    <row r="342" spans="1:65" x14ac:dyDescent="0.25">
      <c r="A342" t="s">
        <v>405</v>
      </c>
      <c r="B342" t="s">
        <v>1371</v>
      </c>
      <c r="C342" t="s">
        <v>2158</v>
      </c>
      <c r="D342" s="1">
        <v>45299</v>
      </c>
      <c r="E342" s="1">
        <v>45337</v>
      </c>
      <c r="F342" s="1">
        <v>45403</v>
      </c>
      <c r="G342" t="s">
        <v>2166</v>
      </c>
      <c r="H342" t="s">
        <v>2172</v>
      </c>
      <c r="I342" t="s">
        <v>2176</v>
      </c>
      <c r="J342">
        <v>15716</v>
      </c>
      <c r="K342">
        <v>472</v>
      </c>
      <c r="L342">
        <v>4.2</v>
      </c>
      <c r="M342">
        <v>11.6</v>
      </c>
      <c r="N342">
        <v>5</v>
      </c>
      <c r="O342">
        <v>7333</v>
      </c>
      <c r="P342" t="s">
        <v>2177</v>
      </c>
      <c r="Q342">
        <v>10</v>
      </c>
      <c r="R342">
        <v>14</v>
      </c>
      <c r="S342">
        <v>18</v>
      </c>
      <c r="T342">
        <v>875</v>
      </c>
      <c r="U342" t="s">
        <v>2166</v>
      </c>
      <c r="V342" t="s">
        <v>2172</v>
      </c>
      <c r="W342" t="s">
        <v>2208</v>
      </c>
      <c r="X342" t="s">
        <v>2210</v>
      </c>
      <c r="Y342" t="s">
        <v>2212</v>
      </c>
      <c r="Z342" s="1">
        <v>45397</v>
      </c>
      <c r="AA342" s="1">
        <v>45402</v>
      </c>
      <c r="AB342" t="s">
        <v>2214</v>
      </c>
      <c r="AC342" t="s">
        <v>2209</v>
      </c>
      <c r="AD342" t="s">
        <v>2216</v>
      </c>
      <c r="AE342" t="s">
        <v>2166</v>
      </c>
      <c r="AG342" t="s">
        <v>2220</v>
      </c>
      <c r="AH342">
        <v>42</v>
      </c>
      <c r="AI342">
        <v>60</v>
      </c>
      <c r="AJ342">
        <v>18</v>
      </c>
      <c r="AK342">
        <v>2</v>
      </c>
      <c r="AL342" t="s">
        <v>2228</v>
      </c>
      <c r="AM342">
        <v>0</v>
      </c>
      <c r="AN342" t="s">
        <v>2177</v>
      </c>
      <c r="AO342" t="s">
        <v>2177</v>
      </c>
      <c r="AP342" t="s">
        <v>2177</v>
      </c>
      <c r="AQ342">
        <v>48.72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4.8</v>
      </c>
      <c r="AY342">
        <v>4.8</v>
      </c>
      <c r="AZ342">
        <v>2</v>
      </c>
      <c r="BA342">
        <v>1</v>
      </c>
      <c r="BB342">
        <v>40</v>
      </c>
      <c r="BC342">
        <v>24</v>
      </c>
      <c r="BD342">
        <v>35.54</v>
      </c>
      <c r="BE342">
        <v>160</v>
      </c>
      <c r="BF342">
        <v>88.8</v>
      </c>
      <c r="BG342">
        <v>40</v>
      </c>
      <c r="BH342">
        <v>24</v>
      </c>
      <c r="BI342">
        <v>35.54</v>
      </c>
      <c r="BJ342">
        <v>160</v>
      </c>
      <c r="BK342">
        <v>88.8</v>
      </c>
      <c r="BL342">
        <v>160</v>
      </c>
      <c r="BM342">
        <v>4.0915999999999997</v>
      </c>
    </row>
    <row r="343" spans="1:65" x14ac:dyDescent="0.25">
      <c r="A343" t="s">
        <v>406</v>
      </c>
      <c r="B343" t="s">
        <v>1427</v>
      </c>
      <c r="C343" t="s">
        <v>2159</v>
      </c>
      <c r="D343" s="1">
        <v>45439</v>
      </c>
      <c r="E343" s="1">
        <v>45476</v>
      </c>
      <c r="F343" s="1">
        <v>45557</v>
      </c>
      <c r="G343" t="s">
        <v>2162</v>
      </c>
      <c r="H343" t="s">
        <v>2168</v>
      </c>
      <c r="I343" t="s">
        <v>2176</v>
      </c>
      <c r="J343">
        <v>17854</v>
      </c>
      <c r="K343">
        <v>536</v>
      </c>
      <c r="L343">
        <v>4.5</v>
      </c>
      <c r="M343">
        <v>6.7</v>
      </c>
      <c r="N343">
        <v>3</v>
      </c>
      <c r="O343">
        <v>5818</v>
      </c>
      <c r="P343" t="s">
        <v>2176</v>
      </c>
      <c r="Q343">
        <v>10</v>
      </c>
      <c r="R343">
        <v>14</v>
      </c>
      <c r="S343">
        <v>31</v>
      </c>
      <c r="T343">
        <v>581</v>
      </c>
      <c r="U343" t="s">
        <v>2183</v>
      </c>
      <c r="W343" t="s">
        <v>2209</v>
      </c>
      <c r="X343" t="s">
        <v>2211</v>
      </c>
      <c r="Y343" t="s">
        <v>2213</v>
      </c>
      <c r="Z343" s="1">
        <v>45551</v>
      </c>
      <c r="AA343" s="1">
        <v>45557</v>
      </c>
      <c r="AB343" t="s">
        <v>2214</v>
      </c>
      <c r="AC343" t="s">
        <v>2209</v>
      </c>
      <c r="AD343" t="s">
        <v>2219</v>
      </c>
      <c r="AE343" t="s">
        <v>2162</v>
      </c>
      <c r="AF343" t="s">
        <v>2163</v>
      </c>
      <c r="AG343" t="s">
        <v>2222</v>
      </c>
      <c r="AH343">
        <v>55</v>
      </c>
      <c r="AI343">
        <v>75</v>
      </c>
      <c r="AJ343">
        <v>20</v>
      </c>
      <c r="AK343">
        <v>7</v>
      </c>
      <c r="AL343" t="s">
        <v>2226</v>
      </c>
      <c r="AM343">
        <v>0</v>
      </c>
      <c r="AN343" t="s">
        <v>2176</v>
      </c>
      <c r="AO343" t="s">
        <v>2176</v>
      </c>
      <c r="AP343" t="s">
        <v>2176</v>
      </c>
      <c r="AQ343">
        <v>30.15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4.2</v>
      </c>
      <c r="AX343">
        <v>4.4000000000000004</v>
      </c>
      <c r="AY343">
        <v>4.2</v>
      </c>
      <c r="AZ343">
        <v>3</v>
      </c>
      <c r="BA343">
        <v>1</v>
      </c>
      <c r="BB343">
        <v>30</v>
      </c>
      <c r="BC343">
        <v>27</v>
      </c>
      <c r="BD343">
        <v>26.15</v>
      </c>
      <c r="BE343">
        <v>133</v>
      </c>
      <c r="BF343">
        <v>87.2</v>
      </c>
      <c r="BG343">
        <v>30</v>
      </c>
      <c r="BH343">
        <v>27</v>
      </c>
      <c r="BI343">
        <v>26.15</v>
      </c>
      <c r="BJ343">
        <v>133</v>
      </c>
      <c r="BK343">
        <v>87.2</v>
      </c>
      <c r="BL343">
        <v>278</v>
      </c>
      <c r="BM343">
        <v>4.9705000000000004</v>
      </c>
    </row>
    <row r="344" spans="1:65" x14ac:dyDescent="0.25">
      <c r="A344" t="s">
        <v>407</v>
      </c>
      <c r="B344" t="s">
        <v>1395</v>
      </c>
      <c r="C344" t="s">
        <v>2159</v>
      </c>
      <c r="D344" s="1">
        <v>45418</v>
      </c>
      <c r="E344" s="1">
        <v>45461</v>
      </c>
      <c r="F344" s="1">
        <v>45572</v>
      </c>
      <c r="G344" t="s">
        <v>2165</v>
      </c>
      <c r="H344" t="s">
        <v>2171</v>
      </c>
      <c r="I344" t="s">
        <v>2174</v>
      </c>
      <c r="J344">
        <v>28559</v>
      </c>
      <c r="K344">
        <v>857</v>
      </c>
      <c r="L344">
        <v>7.1</v>
      </c>
      <c r="M344">
        <v>6.8</v>
      </c>
      <c r="N344">
        <v>4</v>
      </c>
      <c r="O344">
        <v>3182</v>
      </c>
      <c r="P344" t="s">
        <v>2176</v>
      </c>
      <c r="Q344">
        <v>14</v>
      </c>
      <c r="R344">
        <v>20</v>
      </c>
      <c r="S344">
        <v>41</v>
      </c>
      <c r="T344">
        <v>699</v>
      </c>
      <c r="U344" t="s">
        <v>2183</v>
      </c>
      <c r="W344" t="s">
        <v>2209</v>
      </c>
      <c r="X344" t="s">
        <v>2211</v>
      </c>
      <c r="Y344" t="s">
        <v>2213</v>
      </c>
      <c r="Z344" s="1">
        <v>45559</v>
      </c>
      <c r="AA344" s="1">
        <v>45564</v>
      </c>
      <c r="AB344" t="s">
        <v>2214</v>
      </c>
      <c r="AC344" t="s">
        <v>2209</v>
      </c>
      <c r="AD344" t="s">
        <v>2219</v>
      </c>
      <c r="AE344" t="s">
        <v>2162</v>
      </c>
      <c r="AF344" t="s">
        <v>2163</v>
      </c>
      <c r="AG344" t="s">
        <v>2222</v>
      </c>
      <c r="AH344">
        <v>75</v>
      </c>
      <c r="AI344">
        <v>98</v>
      </c>
      <c r="AJ344">
        <v>23</v>
      </c>
      <c r="AK344">
        <v>6</v>
      </c>
      <c r="AL344" t="s">
        <v>2223</v>
      </c>
      <c r="AM344">
        <v>0</v>
      </c>
      <c r="AN344" t="s">
        <v>2177</v>
      </c>
      <c r="AO344" t="s">
        <v>2177</v>
      </c>
      <c r="AP344" t="s">
        <v>2176</v>
      </c>
      <c r="AQ344">
        <v>48.279999999999987</v>
      </c>
      <c r="AR344">
        <v>1</v>
      </c>
      <c r="AS344">
        <v>2</v>
      </c>
      <c r="AT344">
        <v>2</v>
      </c>
      <c r="AU344">
        <v>1</v>
      </c>
      <c r="AV344">
        <v>1.666666666666667</v>
      </c>
      <c r="AW344">
        <v>4.2</v>
      </c>
      <c r="AX344">
        <v>4.4000000000000004</v>
      </c>
      <c r="AY344">
        <v>4.5999999999999996</v>
      </c>
      <c r="AZ344">
        <v>3</v>
      </c>
      <c r="BA344">
        <v>2</v>
      </c>
      <c r="BB344">
        <v>29</v>
      </c>
      <c r="BC344">
        <v>25</v>
      </c>
      <c r="BD344">
        <v>25.56</v>
      </c>
      <c r="BE344">
        <v>117</v>
      </c>
      <c r="BF344">
        <v>88.1</v>
      </c>
      <c r="BG344">
        <v>40</v>
      </c>
      <c r="BH344">
        <v>25</v>
      </c>
      <c r="BI344">
        <v>34.72</v>
      </c>
      <c r="BJ344">
        <v>161</v>
      </c>
      <c r="BK344">
        <v>86.8</v>
      </c>
      <c r="BL344">
        <v>238</v>
      </c>
      <c r="BM344">
        <v>9.7604000000000006</v>
      </c>
    </row>
    <row r="345" spans="1:65" x14ac:dyDescent="0.25">
      <c r="A345" t="s">
        <v>408</v>
      </c>
      <c r="B345" t="s">
        <v>1211</v>
      </c>
      <c r="C345" t="s">
        <v>2158</v>
      </c>
      <c r="D345" s="1">
        <v>45390</v>
      </c>
      <c r="E345" s="1">
        <v>45426</v>
      </c>
      <c r="F345" s="1">
        <v>45473</v>
      </c>
      <c r="G345" t="s">
        <v>2164</v>
      </c>
      <c r="H345" t="s">
        <v>2170</v>
      </c>
      <c r="I345" t="s">
        <v>2173</v>
      </c>
      <c r="J345">
        <v>7570</v>
      </c>
      <c r="K345">
        <v>228</v>
      </c>
      <c r="L345">
        <v>14</v>
      </c>
      <c r="M345">
        <v>9.1</v>
      </c>
      <c r="N345">
        <v>7</v>
      </c>
      <c r="O345">
        <v>7379</v>
      </c>
      <c r="P345" t="s">
        <v>2177</v>
      </c>
      <c r="Q345">
        <v>7</v>
      </c>
      <c r="R345">
        <v>10</v>
      </c>
      <c r="S345">
        <v>10</v>
      </c>
      <c r="T345">
        <v>759</v>
      </c>
      <c r="U345" t="s">
        <v>2163</v>
      </c>
      <c r="V345" t="s">
        <v>2169</v>
      </c>
      <c r="W345" t="s">
        <v>2209</v>
      </c>
      <c r="X345" t="s">
        <v>2211</v>
      </c>
      <c r="Y345" t="s">
        <v>2212</v>
      </c>
      <c r="Z345" s="1">
        <v>45468</v>
      </c>
      <c r="AA345" s="1">
        <v>45473</v>
      </c>
      <c r="AB345" t="s">
        <v>2214</v>
      </c>
      <c r="AC345" t="s">
        <v>2209</v>
      </c>
      <c r="AD345" t="s">
        <v>2218</v>
      </c>
      <c r="AE345" t="s">
        <v>2163</v>
      </c>
      <c r="AG345" t="s">
        <v>2221</v>
      </c>
      <c r="AH345">
        <v>27</v>
      </c>
      <c r="AI345">
        <v>42</v>
      </c>
      <c r="AJ345">
        <v>15</v>
      </c>
      <c r="AK345">
        <v>5</v>
      </c>
      <c r="AL345" t="s">
        <v>2224</v>
      </c>
      <c r="AM345">
        <v>0</v>
      </c>
      <c r="AN345" t="s">
        <v>2177</v>
      </c>
      <c r="AO345" t="s">
        <v>2175</v>
      </c>
      <c r="AP345" t="s">
        <v>2177</v>
      </c>
      <c r="AQ345">
        <v>127.4</v>
      </c>
      <c r="AR345">
        <v>2</v>
      </c>
      <c r="AS345">
        <v>2</v>
      </c>
      <c r="AT345">
        <v>3</v>
      </c>
      <c r="AU345">
        <v>2</v>
      </c>
      <c r="AV345">
        <v>2.333333333333333</v>
      </c>
      <c r="AW345">
        <v>4.4000000000000004</v>
      </c>
      <c r="AY345">
        <v>4.5</v>
      </c>
      <c r="AZ345">
        <v>2</v>
      </c>
      <c r="BA345">
        <v>3</v>
      </c>
      <c r="BB345">
        <v>38</v>
      </c>
      <c r="BC345">
        <v>27</v>
      </c>
      <c r="BD345">
        <v>33.33</v>
      </c>
      <c r="BE345">
        <v>171</v>
      </c>
      <c r="BF345">
        <v>87.7</v>
      </c>
      <c r="BG345">
        <v>35</v>
      </c>
      <c r="BH345">
        <v>27</v>
      </c>
      <c r="BI345">
        <v>30.96</v>
      </c>
      <c r="BJ345">
        <v>158</v>
      </c>
      <c r="BK345">
        <v>88.5</v>
      </c>
      <c r="BL345">
        <v>171</v>
      </c>
      <c r="BM345">
        <v>1.6392</v>
      </c>
    </row>
    <row r="346" spans="1:65" x14ac:dyDescent="0.25">
      <c r="A346" t="s">
        <v>409</v>
      </c>
      <c r="B346" t="s">
        <v>1378</v>
      </c>
      <c r="C346" t="s">
        <v>2159</v>
      </c>
      <c r="D346" s="1">
        <v>45418</v>
      </c>
      <c r="E346" s="1">
        <v>45460</v>
      </c>
      <c r="F346" s="1">
        <v>45555</v>
      </c>
      <c r="G346" t="s">
        <v>2161</v>
      </c>
      <c r="H346" t="s">
        <v>2167</v>
      </c>
      <c r="I346" t="s">
        <v>2173</v>
      </c>
      <c r="J346">
        <v>23088</v>
      </c>
      <c r="K346">
        <v>693</v>
      </c>
      <c r="L346">
        <v>6.9</v>
      </c>
      <c r="M346">
        <v>6.6</v>
      </c>
      <c r="N346">
        <v>7</v>
      </c>
      <c r="O346">
        <v>10353</v>
      </c>
      <c r="P346" t="s">
        <v>2177</v>
      </c>
      <c r="Q346">
        <v>14</v>
      </c>
      <c r="R346">
        <v>20</v>
      </c>
      <c r="S346">
        <v>36</v>
      </c>
      <c r="T346">
        <v>655</v>
      </c>
      <c r="U346" t="s">
        <v>2181</v>
      </c>
      <c r="W346" t="s">
        <v>2209</v>
      </c>
      <c r="X346" t="s">
        <v>2211</v>
      </c>
      <c r="Y346" t="s">
        <v>2213</v>
      </c>
      <c r="Z346" s="1">
        <v>45552</v>
      </c>
      <c r="AA346" s="1">
        <v>45557</v>
      </c>
      <c r="AB346" t="s">
        <v>2214</v>
      </c>
      <c r="AC346" t="s">
        <v>2209</v>
      </c>
      <c r="AD346" t="s">
        <v>2219</v>
      </c>
      <c r="AE346" t="s">
        <v>2166</v>
      </c>
      <c r="AF346" t="s">
        <v>2163</v>
      </c>
      <c r="AG346" t="s">
        <v>2222</v>
      </c>
      <c r="AH346">
        <v>70</v>
      </c>
      <c r="AI346">
        <v>92</v>
      </c>
      <c r="AJ346">
        <v>22</v>
      </c>
      <c r="AK346">
        <v>6</v>
      </c>
      <c r="AL346" t="s">
        <v>2223</v>
      </c>
      <c r="AM346">
        <v>0</v>
      </c>
      <c r="AN346" t="s">
        <v>2177</v>
      </c>
      <c r="AO346" t="s">
        <v>2175</v>
      </c>
      <c r="AP346" t="s">
        <v>2177</v>
      </c>
      <c r="AQ346">
        <v>45.54</v>
      </c>
      <c r="AR346">
        <v>2</v>
      </c>
      <c r="AS346">
        <v>2</v>
      </c>
      <c r="AT346">
        <v>3</v>
      </c>
      <c r="AU346">
        <v>2</v>
      </c>
      <c r="AV346">
        <v>2.333333333333333</v>
      </c>
      <c r="AW346">
        <v>4.8</v>
      </c>
      <c r="AX346">
        <v>4.4000000000000004</v>
      </c>
      <c r="AY346">
        <v>4.3</v>
      </c>
      <c r="AZ346">
        <v>3</v>
      </c>
      <c r="BA346">
        <v>3</v>
      </c>
      <c r="BB346">
        <v>45</v>
      </c>
      <c r="BC346">
        <v>25</v>
      </c>
      <c r="BD346">
        <v>39.200000000000003</v>
      </c>
      <c r="BE346">
        <v>186</v>
      </c>
      <c r="BF346">
        <v>87.1</v>
      </c>
      <c r="BG346">
        <v>36</v>
      </c>
      <c r="BH346">
        <v>25</v>
      </c>
      <c r="BI346">
        <v>31.92</v>
      </c>
      <c r="BJ346">
        <v>149</v>
      </c>
      <c r="BK346">
        <v>88.7</v>
      </c>
      <c r="BL346">
        <v>307</v>
      </c>
      <c r="BM346">
        <v>4.9641000000000002</v>
      </c>
    </row>
    <row r="347" spans="1:65" x14ac:dyDescent="0.25">
      <c r="A347" t="s">
        <v>410</v>
      </c>
      <c r="B347" t="s">
        <v>1335</v>
      </c>
      <c r="C347" t="s">
        <v>2159</v>
      </c>
      <c r="D347" s="1">
        <v>45348</v>
      </c>
      <c r="E347" s="1">
        <v>45387</v>
      </c>
      <c r="F347" s="1">
        <v>45457</v>
      </c>
      <c r="G347" t="s">
        <v>2162</v>
      </c>
      <c r="H347" t="s">
        <v>2168</v>
      </c>
      <c r="I347" t="s">
        <v>2176</v>
      </c>
      <c r="J347">
        <v>12148</v>
      </c>
      <c r="K347">
        <v>365</v>
      </c>
      <c r="L347">
        <v>7.1</v>
      </c>
      <c r="M347">
        <v>3.2</v>
      </c>
      <c r="N347">
        <v>5</v>
      </c>
      <c r="O347">
        <v>7476</v>
      </c>
      <c r="P347" t="s">
        <v>2176</v>
      </c>
      <c r="Q347">
        <v>10</v>
      </c>
      <c r="R347">
        <v>14</v>
      </c>
      <c r="S347">
        <v>18</v>
      </c>
      <c r="T347">
        <v>695</v>
      </c>
      <c r="U347" t="s">
        <v>2193</v>
      </c>
      <c r="W347" t="s">
        <v>2209</v>
      </c>
      <c r="X347" t="s">
        <v>2211</v>
      </c>
      <c r="Y347" t="s">
        <v>2213</v>
      </c>
      <c r="Z347" s="1">
        <v>45447</v>
      </c>
      <c r="AA347" s="1">
        <v>45451</v>
      </c>
      <c r="AB347" t="s">
        <v>2214</v>
      </c>
      <c r="AC347" t="s">
        <v>2209</v>
      </c>
      <c r="AD347" t="s">
        <v>2219</v>
      </c>
      <c r="AE347" t="s">
        <v>2161</v>
      </c>
      <c r="AF347" t="s">
        <v>2165</v>
      </c>
      <c r="AG347" t="s">
        <v>2222</v>
      </c>
      <c r="AH347">
        <v>42</v>
      </c>
      <c r="AI347">
        <v>60</v>
      </c>
      <c r="AJ347">
        <v>18</v>
      </c>
      <c r="AK347">
        <v>4</v>
      </c>
      <c r="AL347" t="s">
        <v>2225</v>
      </c>
      <c r="AM347">
        <v>0</v>
      </c>
      <c r="AN347" t="s">
        <v>2176</v>
      </c>
      <c r="AO347" t="s">
        <v>2177</v>
      </c>
      <c r="AP347" t="s">
        <v>2177</v>
      </c>
      <c r="AQ347">
        <v>22.72</v>
      </c>
      <c r="AR347">
        <v>1</v>
      </c>
      <c r="AS347">
        <v>1</v>
      </c>
      <c r="AT347">
        <v>2</v>
      </c>
      <c r="AU347">
        <v>2</v>
      </c>
      <c r="AV347">
        <v>1.666666666666667</v>
      </c>
      <c r="AW347">
        <v>4.3</v>
      </c>
      <c r="AX347">
        <v>4.5999999999999996</v>
      </c>
      <c r="AY347">
        <v>4.2</v>
      </c>
      <c r="AZ347">
        <v>3</v>
      </c>
      <c r="BA347">
        <v>1</v>
      </c>
      <c r="BB347">
        <v>32</v>
      </c>
      <c r="BC347">
        <v>26</v>
      </c>
      <c r="BD347">
        <v>28.46</v>
      </c>
      <c r="BE347">
        <v>138</v>
      </c>
      <c r="BF347">
        <v>88.9</v>
      </c>
      <c r="BG347">
        <v>25</v>
      </c>
      <c r="BH347">
        <v>26</v>
      </c>
      <c r="BI347">
        <v>21.81</v>
      </c>
      <c r="BJ347">
        <v>104</v>
      </c>
      <c r="BK347">
        <v>87.2</v>
      </c>
      <c r="BL347">
        <v>341</v>
      </c>
      <c r="BM347">
        <v>3.3847999999999998</v>
      </c>
    </row>
    <row r="348" spans="1:65" x14ac:dyDescent="0.25">
      <c r="A348" t="s">
        <v>411</v>
      </c>
      <c r="B348" t="s">
        <v>1291</v>
      </c>
      <c r="C348" t="s">
        <v>2160</v>
      </c>
      <c r="D348" s="1">
        <v>45369</v>
      </c>
      <c r="E348" s="1">
        <v>45400</v>
      </c>
      <c r="F348" s="1">
        <v>45459</v>
      </c>
      <c r="G348" t="s">
        <v>2165</v>
      </c>
      <c r="H348" t="s">
        <v>2171</v>
      </c>
      <c r="I348" t="s">
        <v>2173</v>
      </c>
      <c r="J348">
        <v>10166</v>
      </c>
      <c r="K348">
        <v>305</v>
      </c>
      <c r="L348">
        <v>8.1</v>
      </c>
      <c r="M348">
        <v>10</v>
      </c>
      <c r="N348">
        <v>5</v>
      </c>
      <c r="O348">
        <v>10983</v>
      </c>
      <c r="P348" t="s">
        <v>2176</v>
      </c>
      <c r="Q348">
        <v>10</v>
      </c>
      <c r="R348">
        <v>14</v>
      </c>
      <c r="S348">
        <v>15</v>
      </c>
      <c r="T348">
        <v>681</v>
      </c>
      <c r="U348" t="s">
        <v>2179</v>
      </c>
      <c r="W348" t="s">
        <v>2209</v>
      </c>
      <c r="X348" t="s">
        <v>2211</v>
      </c>
      <c r="Y348" t="s">
        <v>2213</v>
      </c>
      <c r="Z348" s="1">
        <v>45456</v>
      </c>
      <c r="AA348" s="1">
        <v>45459</v>
      </c>
      <c r="AB348" t="s">
        <v>2214</v>
      </c>
      <c r="AC348" t="s">
        <v>2209</v>
      </c>
      <c r="AD348" t="s">
        <v>2219</v>
      </c>
      <c r="AE348" t="s">
        <v>2165</v>
      </c>
      <c r="AF348" t="s">
        <v>2162</v>
      </c>
      <c r="AG348" t="s">
        <v>2222</v>
      </c>
      <c r="AH348">
        <v>39</v>
      </c>
      <c r="AI348">
        <v>56</v>
      </c>
      <c r="AJ348">
        <v>17</v>
      </c>
      <c r="AK348">
        <v>4</v>
      </c>
      <c r="AL348" t="s">
        <v>2225</v>
      </c>
      <c r="AM348">
        <v>0</v>
      </c>
      <c r="AN348" t="s">
        <v>2177</v>
      </c>
      <c r="AO348" t="s">
        <v>2177</v>
      </c>
      <c r="AP348" t="s">
        <v>2177</v>
      </c>
      <c r="AQ348">
        <v>81</v>
      </c>
      <c r="AR348">
        <v>1</v>
      </c>
      <c r="AS348">
        <v>2</v>
      </c>
      <c r="AT348">
        <v>2</v>
      </c>
      <c r="AU348">
        <v>2</v>
      </c>
      <c r="AV348">
        <v>2</v>
      </c>
      <c r="AW348">
        <v>4.5999999999999996</v>
      </c>
      <c r="AX348">
        <v>4.2</v>
      </c>
      <c r="AY348">
        <v>4.5999999999999996</v>
      </c>
      <c r="AZ348">
        <v>0</v>
      </c>
      <c r="BA348">
        <v>3</v>
      </c>
      <c r="BB348">
        <v>46</v>
      </c>
      <c r="BC348">
        <v>26</v>
      </c>
      <c r="BD348">
        <v>40.729999999999997</v>
      </c>
      <c r="BE348">
        <v>203</v>
      </c>
      <c r="BF348">
        <v>88.5</v>
      </c>
      <c r="BG348">
        <v>46</v>
      </c>
      <c r="BH348">
        <v>26</v>
      </c>
      <c r="BI348">
        <v>40.729999999999997</v>
      </c>
      <c r="BJ348">
        <v>203</v>
      </c>
      <c r="BK348">
        <v>88.5</v>
      </c>
      <c r="BL348">
        <v>307</v>
      </c>
      <c r="BM348">
        <v>1.9257</v>
      </c>
    </row>
    <row r="349" spans="1:65" x14ac:dyDescent="0.25">
      <c r="A349" t="s">
        <v>412</v>
      </c>
      <c r="B349" t="s">
        <v>1428</v>
      </c>
      <c r="C349" t="s">
        <v>2158</v>
      </c>
      <c r="D349" s="1">
        <v>45411</v>
      </c>
      <c r="E349" s="1">
        <v>45453</v>
      </c>
      <c r="F349" s="1">
        <v>45513</v>
      </c>
      <c r="G349" t="s">
        <v>2165</v>
      </c>
      <c r="H349" t="s">
        <v>2171</v>
      </c>
      <c r="I349" t="s">
        <v>2173</v>
      </c>
      <c r="J349">
        <v>14804</v>
      </c>
      <c r="K349">
        <v>445</v>
      </c>
      <c r="L349">
        <v>10.8</v>
      </c>
      <c r="M349">
        <v>12</v>
      </c>
      <c r="N349">
        <v>4</v>
      </c>
      <c r="O349">
        <v>8387</v>
      </c>
      <c r="P349" t="s">
        <v>2177</v>
      </c>
      <c r="Q349">
        <v>10</v>
      </c>
      <c r="R349">
        <v>14</v>
      </c>
      <c r="S349">
        <v>18</v>
      </c>
      <c r="T349">
        <v>827</v>
      </c>
      <c r="U349" t="s">
        <v>2194</v>
      </c>
      <c r="W349" t="s">
        <v>2209</v>
      </c>
      <c r="X349" t="s">
        <v>2211</v>
      </c>
      <c r="Y349" t="s">
        <v>2213</v>
      </c>
      <c r="Z349" s="1">
        <v>45512</v>
      </c>
      <c r="AA349" s="1">
        <v>45515</v>
      </c>
      <c r="AB349" t="s">
        <v>2214</v>
      </c>
      <c r="AC349" t="s">
        <v>2209</v>
      </c>
      <c r="AD349" t="s">
        <v>2219</v>
      </c>
      <c r="AE349" t="s">
        <v>2166</v>
      </c>
      <c r="AF349" t="s">
        <v>2165</v>
      </c>
      <c r="AG349" t="s">
        <v>2222</v>
      </c>
      <c r="AH349">
        <v>42</v>
      </c>
      <c r="AI349">
        <v>59</v>
      </c>
      <c r="AJ349">
        <v>17</v>
      </c>
      <c r="AK349">
        <v>6</v>
      </c>
      <c r="AL349" t="s">
        <v>2223</v>
      </c>
      <c r="AM349">
        <v>0</v>
      </c>
      <c r="AN349" t="s">
        <v>2175</v>
      </c>
      <c r="AO349" t="s">
        <v>2177</v>
      </c>
      <c r="AP349" t="s">
        <v>2177</v>
      </c>
      <c r="AQ349">
        <v>129.6</v>
      </c>
      <c r="AR349">
        <v>2</v>
      </c>
      <c r="AS349">
        <v>3</v>
      </c>
      <c r="AT349">
        <v>2</v>
      </c>
      <c r="AU349">
        <v>2</v>
      </c>
      <c r="AV349">
        <v>2.333333333333333</v>
      </c>
      <c r="AW349">
        <v>4.8</v>
      </c>
      <c r="AX349">
        <v>4.5999999999999996</v>
      </c>
      <c r="AY349">
        <v>4.5999999999999996</v>
      </c>
      <c r="AZ349">
        <v>2</v>
      </c>
      <c r="BA349">
        <v>3</v>
      </c>
      <c r="BB349">
        <v>45</v>
      </c>
      <c r="BC349">
        <v>25</v>
      </c>
      <c r="BD349">
        <v>39.200000000000003</v>
      </c>
      <c r="BE349">
        <v>186</v>
      </c>
      <c r="BF349">
        <v>87.1</v>
      </c>
      <c r="BG349">
        <v>40</v>
      </c>
      <c r="BH349">
        <v>25</v>
      </c>
      <c r="BI349">
        <v>34.72</v>
      </c>
      <c r="BJ349">
        <v>161</v>
      </c>
      <c r="BK349">
        <v>86.8</v>
      </c>
      <c r="BL349">
        <v>347</v>
      </c>
      <c r="BM349">
        <v>3.1829999999999998</v>
      </c>
    </row>
    <row r="350" spans="1:65" x14ac:dyDescent="0.25">
      <c r="A350" t="s">
        <v>413</v>
      </c>
      <c r="B350" t="s">
        <v>1196</v>
      </c>
      <c r="C350" t="s">
        <v>2157</v>
      </c>
      <c r="D350" s="1">
        <v>45390</v>
      </c>
      <c r="E350" s="1">
        <v>45425</v>
      </c>
      <c r="F350" s="1">
        <v>45556</v>
      </c>
      <c r="G350" t="s">
        <v>2164</v>
      </c>
      <c r="H350" t="s">
        <v>2170</v>
      </c>
      <c r="I350" t="s">
        <v>2173</v>
      </c>
      <c r="J350">
        <v>44959</v>
      </c>
      <c r="K350">
        <v>1349</v>
      </c>
      <c r="L350">
        <v>14.5</v>
      </c>
      <c r="M350">
        <v>8.4</v>
      </c>
      <c r="N350">
        <v>4</v>
      </c>
      <c r="O350">
        <v>14249</v>
      </c>
      <c r="P350" t="s">
        <v>2177</v>
      </c>
      <c r="Q350">
        <v>18</v>
      </c>
      <c r="R350">
        <v>30</v>
      </c>
      <c r="S350">
        <v>52</v>
      </c>
      <c r="T350">
        <v>873</v>
      </c>
      <c r="U350" t="s">
        <v>2182</v>
      </c>
      <c r="W350" t="s">
        <v>2209</v>
      </c>
      <c r="X350" t="s">
        <v>2211</v>
      </c>
      <c r="Y350" t="s">
        <v>2213</v>
      </c>
      <c r="Z350" s="1">
        <v>45552</v>
      </c>
      <c r="AA350" s="1">
        <v>45557</v>
      </c>
      <c r="AB350" t="s">
        <v>2214</v>
      </c>
      <c r="AC350" t="s">
        <v>2209</v>
      </c>
      <c r="AD350" t="s">
        <v>2219</v>
      </c>
      <c r="AE350" t="s">
        <v>2166</v>
      </c>
      <c r="AF350" t="s">
        <v>2162</v>
      </c>
      <c r="AG350" t="s">
        <v>2222</v>
      </c>
      <c r="AH350">
        <v>100</v>
      </c>
      <c r="AI350">
        <v>127</v>
      </c>
      <c r="AJ350">
        <v>27</v>
      </c>
      <c r="AK350">
        <v>5</v>
      </c>
      <c r="AL350" t="s">
        <v>2224</v>
      </c>
      <c r="AM350">
        <v>0</v>
      </c>
      <c r="AN350" t="s">
        <v>2177</v>
      </c>
      <c r="AO350" t="s">
        <v>2177</v>
      </c>
      <c r="AP350" t="s">
        <v>2177</v>
      </c>
      <c r="AQ350">
        <v>121.8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4.8</v>
      </c>
      <c r="AX350">
        <v>4.2</v>
      </c>
      <c r="AY350">
        <v>4.5</v>
      </c>
      <c r="AZ350">
        <v>1</v>
      </c>
      <c r="BA350">
        <v>3</v>
      </c>
      <c r="BB350">
        <v>43</v>
      </c>
      <c r="BC350">
        <v>27</v>
      </c>
      <c r="BD350">
        <v>37.299999999999997</v>
      </c>
      <c r="BE350">
        <v>193</v>
      </c>
      <c r="BF350">
        <v>86.7</v>
      </c>
      <c r="BG350">
        <v>35</v>
      </c>
      <c r="BH350">
        <v>27</v>
      </c>
      <c r="BI350">
        <v>30.96</v>
      </c>
      <c r="BJ350">
        <v>158</v>
      </c>
      <c r="BK350">
        <v>88.5</v>
      </c>
      <c r="BL350">
        <v>301</v>
      </c>
      <c r="BM350">
        <v>8.6260999999999992</v>
      </c>
    </row>
    <row r="351" spans="1:65" x14ac:dyDescent="0.25">
      <c r="A351" t="s">
        <v>414</v>
      </c>
      <c r="B351" t="s">
        <v>1349</v>
      </c>
      <c r="C351" t="s">
        <v>2160</v>
      </c>
      <c r="D351" s="1">
        <v>45404</v>
      </c>
      <c r="E351" s="1">
        <v>45449</v>
      </c>
      <c r="F351" s="1">
        <v>45485</v>
      </c>
      <c r="G351" t="s">
        <v>2161</v>
      </c>
      <c r="H351" t="s">
        <v>2167</v>
      </c>
      <c r="I351" t="s">
        <v>2176</v>
      </c>
      <c r="J351">
        <v>3443</v>
      </c>
      <c r="K351">
        <v>104</v>
      </c>
      <c r="L351">
        <v>4.3</v>
      </c>
      <c r="M351">
        <v>9.6999999999999993</v>
      </c>
      <c r="N351">
        <v>4</v>
      </c>
      <c r="O351">
        <v>8786</v>
      </c>
      <c r="P351" t="s">
        <v>2176</v>
      </c>
      <c r="Q351">
        <v>5</v>
      </c>
      <c r="R351">
        <v>8</v>
      </c>
      <c r="S351">
        <v>5</v>
      </c>
      <c r="T351">
        <v>724</v>
      </c>
      <c r="U351" t="s">
        <v>2203</v>
      </c>
      <c r="W351" t="s">
        <v>2209</v>
      </c>
      <c r="X351" t="s">
        <v>2211</v>
      </c>
      <c r="Y351" t="s">
        <v>2213</v>
      </c>
      <c r="Z351" s="1">
        <v>45481</v>
      </c>
      <c r="AA351" s="1">
        <v>45487</v>
      </c>
      <c r="AB351" t="s">
        <v>2214</v>
      </c>
      <c r="AC351" t="s">
        <v>2209</v>
      </c>
      <c r="AD351" t="s">
        <v>2219</v>
      </c>
      <c r="AE351" t="s">
        <v>2162</v>
      </c>
      <c r="AF351" t="s">
        <v>2166</v>
      </c>
      <c r="AG351" t="s">
        <v>2222</v>
      </c>
      <c r="AH351">
        <v>18</v>
      </c>
      <c r="AI351">
        <v>32</v>
      </c>
      <c r="AJ351">
        <v>14</v>
      </c>
      <c r="AK351">
        <v>6</v>
      </c>
      <c r="AL351" t="s">
        <v>2223</v>
      </c>
      <c r="AM351">
        <v>0</v>
      </c>
      <c r="AN351" t="s">
        <v>2176</v>
      </c>
      <c r="AO351" t="s">
        <v>2177</v>
      </c>
      <c r="AP351" t="s">
        <v>2177</v>
      </c>
      <c r="AQ351">
        <v>41.709999999999987</v>
      </c>
      <c r="AR351">
        <v>1</v>
      </c>
      <c r="AS351">
        <v>1</v>
      </c>
      <c r="AT351">
        <v>2</v>
      </c>
      <c r="AU351">
        <v>2</v>
      </c>
      <c r="AV351">
        <v>1.666666666666667</v>
      </c>
      <c r="AW351">
        <v>4.2</v>
      </c>
      <c r="AX351">
        <v>4.8</v>
      </c>
      <c r="AY351">
        <v>4.3</v>
      </c>
      <c r="AZ351">
        <v>0</v>
      </c>
      <c r="BA351">
        <v>1</v>
      </c>
      <c r="BB351">
        <v>29</v>
      </c>
      <c r="BC351">
        <v>25</v>
      </c>
      <c r="BD351">
        <v>25.56</v>
      </c>
      <c r="BE351">
        <v>117</v>
      </c>
      <c r="BF351">
        <v>88.1</v>
      </c>
      <c r="BG351">
        <v>36</v>
      </c>
      <c r="BH351">
        <v>25</v>
      </c>
      <c r="BI351">
        <v>31.92</v>
      </c>
      <c r="BJ351">
        <v>149</v>
      </c>
      <c r="BK351">
        <v>88.7</v>
      </c>
      <c r="BL351">
        <v>303</v>
      </c>
      <c r="BM351">
        <v>1.1767000000000001</v>
      </c>
    </row>
    <row r="352" spans="1:65" x14ac:dyDescent="0.25">
      <c r="A352" t="s">
        <v>415</v>
      </c>
      <c r="B352" t="s">
        <v>1429</v>
      </c>
      <c r="C352" t="s">
        <v>2157</v>
      </c>
      <c r="D352" s="1">
        <v>45341</v>
      </c>
      <c r="E352" s="1">
        <v>45371</v>
      </c>
      <c r="F352" s="1">
        <v>45534</v>
      </c>
      <c r="G352" t="s">
        <v>2164</v>
      </c>
      <c r="H352" t="s">
        <v>2170</v>
      </c>
      <c r="I352" t="s">
        <v>2174</v>
      </c>
      <c r="J352">
        <v>43803</v>
      </c>
      <c r="K352">
        <v>1315</v>
      </c>
      <c r="L352">
        <v>5.8</v>
      </c>
      <c r="M352">
        <v>2.8</v>
      </c>
      <c r="N352">
        <v>3</v>
      </c>
      <c r="O352">
        <v>1254</v>
      </c>
      <c r="P352" t="s">
        <v>2176</v>
      </c>
      <c r="Q352">
        <v>18</v>
      </c>
      <c r="R352">
        <v>30</v>
      </c>
      <c r="S352">
        <v>67</v>
      </c>
      <c r="T352">
        <v>662</v>
      </c>
      <c r="U352" t="s">
        <v>2188</v>
      </c>
      <c r="W352" t="s">
        <v>2209</v>
      </c>
      <c r="X352" t="s">
        <v>2211</v>
      </c>
      <c r="Y352" t="s">
        <v>2213</v>
      </c>
      <c r="Z352" s="1">
        <v>45516</v>
      </c>
      <c r="AA352" s="1">
        <v>45521</v>
      </c>
      <c r="AB352" t="s">
        <v>2214</v>
      </c>
      <c r="AC352" t="s">
        <v>2209</v>
      </c>
      <c r="AD352" t="s">
        <v>2219</v>
      </c>
      <c r="AE352" t="s">
        <v>2162</v>
      </c>
      <c r="AF352" t="s">
        <v>2165</v>
      </c>
      <c r="AG352" t="s">
        <v>2222</v>
      </c>
      <c r="AH352">
        <v>115</v>
      </c>
      <c r="AI352">
        <v>145</v>
      </c>
      <c r="AJ352">
        <v>30</v>
      </c>
      <c r="AK352">
        <v>3</v>
      </c>
      <c r="AL352" t="s">
        <v>2227</v>
      </c>
      <c r="AM352">
        <v>0</v>
      </c>
      <c r="AN352" t="s">
        <v>2176</v>
      </c>
      <c r="AO352" t="s">
        <v>2176</v>
      </c>
      <c r="AP352" t="s">
        <v>2176</v>
      </c>
      <c r="AQ352">
        <v>16.239999999999998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4.2</v>
      </c>
      <c r="AX352">
        <v>4.5999999999999996</v>
      </c>
      <c r="AY352">
        <v>4.5</v>
      </c>
      <c r="AZ352">
        <v>1</v>
      </c>
      <c r="BA352">
        <v>2</v>
      </c>
      <c r="BB352">
        <v>31</v>
      </c>
      <c r="BC352">
        <v>26</v>
      </c>
      <c r="BD352">
        <v>27.27</v>
      </c>
      <c r="BE352">
        <v>130</v>
      </c>
      <c r="BF352">
        <v>88</v>
      </c>
      <c r="BG352">
        <v>30</v>
      </c>
      <c r="BH352">
        <v>26</v>
      </c>
      <c r="BI352">
        <v>26.31</v>
      </c>
      <c r="BJ352">
        <v>128</v>
      </c>
      <c r="BK352">
        <v>87.7</v>
      </c>
      <c r="BL352">
        <v>342</v>
      </c>
      <c r="BM352">
        <v>12.9556</v>
      </c>
    </row>
    <row r="353" spans="1:65" x14ac:dyDescent="0.25">
      <c r="A353" t="s">
        <v>416</v>
      </c>
      <c r="B353" t="s">
        <v>1398</v>
      </c>
      <c r="C353" t="s">
        <v>2159</v>
      </c>
      <c r="D353" s="1">
        <v>45404</v>
      </c>
      <c r="E353" s="1">
        <v>45448</v>
      </c>
      <c r="F353" s="1">
        <v>45562</v>
      </c>
      <c r="G353" t="s">
        <v>2166</v>
      </c>
      <c r="H353" t="s">
        <v>2172</v>
      </c>
      <c r="I353" t="s">
        <v>2174</v>
      </c>
      <c r="J353">
        <v>25628</v>
      </c>
      <c r="K353">
        <v>769</v>
      </c>
      <c r="L353">
        <v>7.4</v>
      </c>
      <c r="M353">
        <v>3.9</v>
      </c>
      <c r="N353">
        <v>4</v>
      </c>
      <c r="O353">
        <v>1874</v>
      </c>
      <c r="P353" t="s">
        <v>2176</v>
      </c>
      <c r="Q353">
        <v>14</v>
      </c>
      <c r="R353">
        <v>20</v>
      </c>
      <c r="S353">
        <v>45</v>
      </c>
      <c r="T353">
        <v>575</v>
      </c>
      <c r="U353" t="s">
        <v>2202</v>
      </c>
      <c r="W353" t="s">
        <v>2209</v>
      </c>
      <c r="X353" t="s">
        <v>2211</v>
      </c>
      <c r="Y353" t="s">
        <v>2213</v>
      </c>
      <c r="Z353" s="1">
        <v>45551</v>
      </c>
      <c r="AA353" s="1">
        <v>45557</v>
      </c>
      <c r="AB353" t="s">
        <v>2214</v>
      </c>
      <c r="AC353" t="s">
        <v>2209</v>
      </c>
      <c r="AD353" t="s">
        <v>2219</v>
      </c>
      <c r="AE353" t="s">
        <v>2163</v>
      </c>
      <c r="AF353" t="s">
        <v>2166</v>
      </c>
      <c r="AG353" t="s">
        <v>2222</v>
      </c>
      <c r="AH353">
        <v>79</v>
      </c>
      <c r="AI353">
        <v>103</v>
      </c>
      <c r="AJ353">
        <v>24</v>
      </c>
      <c r="AK353">
        <v>6</v>
      </c>
      <c r="AL353" t="s">
        <v>2223</v>
      </c>
      <c r="AM353">
        <v>0</v>
      </c>
      <c r="AN353" t="s">
        <v>2176</v>
      </c>
      <c r="AO353" t="s">
        <v>2177</v>
      </c>
      <c r="AP353" t="s">
        <v>2176</v>
      </c>
      <c r="AQ353">
        <v>28.86</v>
      </c>
      <c r="AR353">
        <v>1</v>
      </c>
      <c r="AS353">
        <v>1</v>
      </c>
      <c r="AT353">
        <v>2</v>
      </c>
      <c r="AU353">
        <v>1</v>
      </c>
      <c r="AV353">
        <v>1.333333333333333</v>
      </c>
      <c r="AW353">
        <v>4.4000000000000004</v>
      </c>
      <c r="AX353">
        <v>4.8</v>
      </c>
      <c r="AY353">
        <v>4.8</v>
      </c>
      <c r="AZ353">
        <v>3</v>
      </c>
      <c r="BA353">
        <v>2</v>
      </c>
      <c r="BB353">
        <v>30</v>
      </c>
      <c r="BC353">
        <v>25</v>
      </c>
      <c r="BD353">
        <v>26.48</v>
      </c>
      <c r="BE353">
        <v>121</v>
      </c>
      <c r="BF353">
        <v>88.3</v>
      </c>
      <c r="BG353">
        <v>45</v>
      </c>
      <c r="BH353">
        <v>25</v>
      </c>
      <c r="BI353">
        <v>39.200000000000003</v>
      </c>
      <c r="BJ353">
        <v>186</v>
      </c>
      <c r="BK353">
        <v>87.1</v>
      </c>
      <c r="BL353">
        <v>307</v>
      </c>
      <c r="BM353">
        <v>8.4693000000000005</v>
      </c>
    </row>
    <row r="354" spans="1:65" x14ac:dyDescent="0.25">
      <c r="A354" t="s">
        <v>417</v>
      </c>
      <c r="B354" t="s">
        <v>1257</v>
      </c>
      <c r="C354" t="s">
        <v>2157</v>
      </c>
      <c r="D354" s="1">
        <v>45418</v>
      </c>
      <c r="E354" s="1">
        <v>45452</v>
      </c>
      <c r="F354" s="1">
        <v>45635</v>
      </c>
      <c r="G354" t="s">
        <v>2162</v>
      </c>
      <c r="H354" t="s">
        <v>2168</v>
      </c>
      <c r="I354" t="s">
        <v>2174</v>
      </c>
      <c r="J354">
        <v>55416</v>
      </c>
      <c r="K354">
        <v>1663</v>
      </c>
      <c r="L354">
        <v>7.9</v>
      </c>
      <c r="M354">
        <v>6.6</v>
      </c>
      <c r="N354">
        <v>3</v>
      </c>
      <c r="O354">
        <v>6318</v>
      </c>
      <c r="P354" t="s">
        <v>2176</v>
      </c>
      <c r="Q354">
        <v>18</v>
      </c>
      <c r="R354">
        <v>30</v>
      </c>
      <c r="S354">
        <v>90</v>
      </c>
      <c r="T354">
        <v>622</v>
      </c>
      <c r="U354" t="s">
        <v>2202</v>
      </c>
      <c r="W354" t="s">
        <v>2209</v>
      </c>
      <c r="X354" t="s">
        <v>2211</v>
      </c>
      <c r="Y354" t="s">
        <v>2213</v>
      </c>
      <c r="Z354" s="1">
        <v>45623</v>
      </c>
      <c r="AA354" s="1">
        <v>45627</v>
      </c>
      <c r="AB354" t="s">
        <v>2214</v>
      </c>
      <c r="AC354" t="s">
        <v>2209</v>
      </c>
      <c r="AD354" t="s">
        <v>2219</v>
      </c>
      <c r="AE354" t="s">
        <v>2163</v>
      </c>
      <c r="AF354" t="s">
        <v>2166</v>
      </c>
      <c r="AG354" t="s">
        <v>2222</v>
      </c>
      <c r="AH354">
        <v>138</v>
      </c>
      <c r="AI354">
        <v>171</v>
      </c>
      <c r="AJ354">
        <v>33</v>
      </c>
      <c r="AK354">
        <v>6</v>
      </c>
      <c r="AL354" t="s">
        <v>2223</v>
      </c>
      <c r="AM354">
        <v>0</v>
      </c>
      <c r="AN354" t="s">
        <v>2177</v>
      </c>
      <c r="AO354" t="s">
        <v>2176</v>
      </c>
      <c r="AP354" t="s">
        <v>2176</v>
      </c>
      <c r="AQ354">
        <v>52.14</v>
      </c>
      <c r="AR354">
        <v>1</v>
      </c>
      <c r="AS354">
        <v>2</v>
      </c>
      <c r="AT354">
        <v>1</v>
      </c>
      <c r="AU354">
        <v>1</v>
      </c>
      <c r="AV354">
        <v>1.333333333333333</v>
      </c>
      <c r="AW354">
        <v>4.4000000000000004</v>
      </c>
      <c r="AX354">
        <v>4.8</v>
      </c>
      <c r="AY354">
        <v>4.2</v>
      </c>
      <c r="AZ354">
        <v>1</v>
      </c>
      <c r="BA354">
        <v>2</v>
      </c>
      <c r="BB354">
        <v>30</v>
      </c>
      <c r="BC354">
        <v>25</v>
      </c>
      <c r="BD354">
        <v>26.48</v>
      </c>
      <c r="BE354">
        <v>121</v>
      </c>
      <c r="BF354">
        <v>88.3</v>
      </c>
      <c r="BG354">
        <v>29</v>
      </c>
      <c r="BH354">
        <v>25</v>
      </c>
      <c r="BI354">
        <v>25.56</v>
      </c>
      <c r="BJ354">
        <v>117</v>
      </c>
      <c r="BK354">
        <v>88.1</v>
      </c>
      <c r="BL354">
        <v>307</v>
      </c>
      <c r="BM354">
        <v>18.313300000000002</v>
      </c>
    </row>
    <row r="355" spans="1:65" x14ac:dyDescent="0.25">
      <c r="A355" t="s">
        <v>418</v>
      </c>
      <c r="B355" t="s">
        <v>1392</v>
      </c>
      <c r="C355" t="s">
        <v>2159</v>
      </c>
      <c r="D355" s="1">
        <v>45411</v>
      </c>
      <c r="E355" s="1">
        <v>45452</v>
      </c>
      <c r="F355" s="1">
        <v>45539</v>
      </c>
      <c r="G355" t="s">
        <v>2162</v>
      </c>
      <c r="H355" t="s">
        <v>2168</v>
      </c>
      <c r="I355" t="s">
        <v>2173</v>
      </c>
      <c r="J355">
        <v>21601</v>
      </c>
      <c r="K355">
        <v>649</v>
      </c>
      <c r="L355">
        <v>6</v>
      </c>
      <c r="M355">
        <v>8.9</v>
      </c>
      <c r="N355">
        <v>5</v>
      </c>
      <c r="O355">
        <v>13770</v>
      </c>
      <c r="P355" t="s">
        <v>2176</v>
      </c>
      <c r="Q355">
        <v>14</v>
      </c>
      <c r="R355">
        <v>20</v>
      </c>
      <c r="S355">
        <v>30</v>
      </c>
      <c r="T355">
        <v>730</v>
      </c>
      <c r="U355" t="s">
        <v>2181</v>
      </c>
      <c r="W355" t="s">
        <v>2209</v>
      </c>
      <c r="X355" t="s">
        <v>2211</v>
      </c>
      <c r="Y355" t="s">
        <v>2213</v>
      </c>
      <c r="Z355" s="1">
        <v>45537</v>
      </c>
      <c r="AA355" s="1">
        <v>45543</v>
      </c>
      <c r="AB355" t="s">
        <v>2214</v>
      </c>
      <c r="AC355" t="s">
        <v>2209</v>
      </c>
      <c r="AD355" t="s">
        <v>2219</v>
      </c>
      <c r="AE355" t="s">
        <v>2166</v>
      </c>
      <c r="AF355" t="s">
        <v>2163</v>
      </c>
      <c r="AG355" t="s">
        <v>2222</v>
      </c>
      <c r="AH355">
        <v>64</v>
      </c>
      <c r="AI355">
        <v>85</v>
      </c>
      <c r="AJ355">
        <v>21</v>
      </c>
      <c r="AK355">
        <v>6</v>
      </c>
      <c r="AL355" t="s">
        <v>2223</v>
      </c>
      <c r="AM355">
        <v>0</v>
      </c>
      <c r="AN355" t="s">
        <v>2177</v>
      </c>
      <c r="AO355" t="s">
        <v>2177</v>
      </c>
      <c r="AP355" t="s">
        <v>2177</v>
      </c>
      <c r="AQ355">
        <v>53.400000000000013</v>
      </c>
      <c r="AR355">
        <v>1</v>
      </c>
      <c r="AS355">
        <v>2</v>
      </c>
      <c r="AT355">
        <v>2</v>
      </c>
      <c r="AU355">
        <v>2</v>
      </c>
      <c r="AV355">
        <v>2</v>
      </c>
      <c r="AW355">
        <v>4.8</v>
      </c>
      <c r="AX355">
        <v>4.4000000000000004</v>
      </c>
      <c r="AY355">
        <v>4.2</v>
      </c>
      <c r="AZ355">
        <v>3</v>
      </c>
      <c r="BA355">
        <v>3</v>
      </c>
      <c r="BB355">
        <v>45</v>
      </c>
      <c r="BC355">
        <v>25</v>
      </c>
      <c r="BD355">
        <v>39.200000000000003</v>
      </c>
      <c r="BE355">
        <v>186</v>
      </c>
      <c r="BF355">
        <v>87.1</v>
      </c>
      <c r="BG355">
        <v>29</v>
      </c>
      <c r="BH355">
        <v>25</v>
      </c>
      <c r="BI355">
        <v>25.56</v>
      </c>
      <c r="BJ355">
        <v>117</v>
      </c>
      <c r="BK355">
        <v>88.1</v>
      </c>
      <c r="BL355">
        <v>307</v>
      </c>
      <c r="BM355">
        <v>4.6444000000000001</v>
      </c>
    </row>
    <row r="356" spans="1:65" x14ac:dyDescent="0.25">
      <c r="A356" t="s">
        <v>419</v>
      </c>
      <c r="B356" t="s">
        <v>1430</v>
      </c>
      <c r="C356" t="s">
        <v>2160</v>
      </c>
      <c r="D356" s="1">
        <v>45362</v>
      </c>
      <c r="E356" s="1">
        <v>45398</v>
      </c>
      <c r="F356" s="1">
        <v>45488</v>
      </c>
      <c r="G356" t="s">
        <v>2163</v>
      </c>
      <c r="H356" t="s">
        <v>2169</v>
      </c>
      <c r="I356" t="s">
        <v>2174</v>
      </c>
      <c r="J356">
        <v>19205</v>
      </c>
      <c r="K356">
        <v>577</v>
      </c>
      <c r="L356">
        <v>7</v>
      </c>
      <c r="M356">
        <v>3.5</v>
      </c>
      <c r="N356">
        <v>1</v>
      </c>
      <c r="O356">
        <v>4622</v>
      </c>
      <c r="P356" t="s">
        <v>2176</v>
      </c>
      <c r="Q356">
        <v>10</v>
      </c>
      <c r="R356">
        <v>14</v>
      </c>
      <c r="S356">
        <v>29</v>
      </c>
      <c r="T356">
        <v>664</v>
      </c>
      <c r="U356" t="s">
        <v>2179</v>
      </c>
      <c r="W356" t="s">
        <v>2209</v>
      </c>
      <c r="X356" t="s">
        <v>2211</v>
      </c>
      <c r="Y356" t="s">
        <v>2213</v>
      </c>
      <c r="Z356" s="1">
        <v>45470</v>
      </c>
      <c r="AA356" s="1">
        <v>45473</v>
      </c>
      <c r="AB356" t="s">
        <v>2214</v>
      </c>
      <c r="AC356" t="s">
        <v>2209</v>
      </c>
      <c r="AD356" t="s">
        <v>2219</v>
      </c>
      <c r="AE356" t="s">
        <v>2165</v>
      </c>
      <c r="AF356" t="s">
        <v>2162</v>
      </c>
      <c r="AG356" t="s">
        <v>2222</v>
      </c>
      <c r="AH356">
        <v>53</v>
      </c>
      <c r="AI356">
        <v>72</v>
      </c>
      <c r="AJ356">
        <v>19</v>
      </c>
      <c r="AK356">
        <v>4</v>
      </c>
      <c r="AL356" t="s">
        <v>2225</v>
      </c>
      <c r="AM356">
        <v>0</v>
      </c>
      <c r="AN356" t="s">
        <v>2176</v>
      </c>
      <c r="AO356" t="s">
        <v>2176</v>
      </c>
      <c r="AP356" t="s">
        <v>2176</v>
      </c>
      <c r="AQ356">
        <v>24.5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4.5999999999999996</v>
      </c>
      <c r="AX356">
        <v>4.2</v>
      </c>
      <c r="AY356">
        <v>4.4000000000000004</v>
      </c>
      <c r="AZ356">
        <v>0</v>
      </c>
      <c r="BA356">
        <v>2</v>
      </c>
      <c r="BB356">
        <v>46</v>
      </c>
      <c r="BC356">
        <v>26</v>
      </c>
      <c r="BD356">
        <v>40.729999999999997</v>
      </c>
      <c r="BE356">
        <v>203</v>
      </c>
      <c r="BF356">
        <v>88.5</v>
      </c>
      <c r="BG356">
        <v>31</v>
      </c>
      <c r="BH356">
        <v>26</v>
      </c>
      <c r="BI356">
        <v>27.23</v>
      </c>
      <c r="BJ356">
        <v>132</v>
      </c>
      <c r="BK356">
        <v>87.8</v>
      </c>
      <c r="BL356">
        <v>307</v>
      </c>
      <c r="BM356">
        <v>3.6379999999999999</v>
      </c>
    </row>
    <row r="357" spans="1:65" x14ac:dyDescent="0.25">
      <c r="A357" t="s">
        <v>420</v>
      </c>
      <c r="B357" t="s">
        <v>1305</v>
      </c>
      <c r="C357" t="s">
        <v>2158</v>
      </c>
      <c r="D357" s="1">
        <v>45411</v>
      </c>
      <c r="E357" s="1">
        <v>45453</v>
      </c>
      <c r="F357" s="1">
        <v>45521</v>
      </c>
      <c r="G357" t="s">
        <v>2164</v>
      </c>
      <c r="H357" t="s">
        <v>2170</v>
      </c>
      <c r="I357" t="s">
        <v>2174</v>
      </c>
      <c r="J357">
        <v>9940</v>
      </c>
      <c r="K357">
        <v>299</v>
      </c>
      <c r="L357">
        <v>3</v>
      </c>
      <c r="M357">
        <v>2</v>
      </c>
      <c r="N357">
        <v>2</v>
      </c>
      <c r="O357">
        <v>5820</v>
      </c>
      <c r="P357" t="s">
        <v>2176</v>
      </c>
      <c r="Q357">
        <v>7</v>
      </c>
      <c r="R357">
        <v>10</v>
      </c>
      <c r="S357">
        <v>18</v>
      </c>
      <c r="T357">
        <v>567</v>
      </c>
      <c r="U357" t="s">
        <v>2179</v>
      </c>
      <c r="W357" t="s">
        <v>2209</v>
      </c>
      <c r="X357" t="s">
        <v>2211</v>
      </c>
      <c r="Y357" t="s">
        <v>2213</v>
      </c>
      <c r="Z357" s="1">
        <v>45504</v>
      </c>
      <c r="AA357" s="1">
        <v>45508</v>
      </c>
      <c r="AB357" t="s">
        <v>2214</v>
      </c>
      <c r="AC357" t="s">
        <v>2209</v>
      </c>
      <c r="AD357" t="s">
        <v>2219</v>
      </c>
      <c r="AE357" t="s">
        <v>2165</v>
      </c>
      <c r="AF357" t="s">
        <v>2162</v>
      </c>
      <c r="AG357" t="s">
        <v>2222</v>
      </c>
      <c r="AH357">
        <v>35</v>
      </c>
      <c r="AI357">
        <v>51</v>
      </c>
      <c r="AJ357">
        <v>16</v>
      </c>
      <c r="AK357">
        <v>6</v>
      </c>
      <c r="AL357" t="s">
        <v>2223</v>
      </c>
      <c r="AM357">
        <v>0</v>
      </c>
      <c r="AN357" t="s">
        <v>2176</v>
      </c>
      <c r="AO357" t="s">
        <v>2176</v>
      </c>
      <c r="AP357" t="s">
        <v>2176</v>
      </c>
      <c r="AQ357">
        <v>6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4.5999999999999996</v>
      </c>
      <c r="AX357">
        <v>4.2</v>
      </c>
      <c r="AY357">
        <v>4.5</v>
      </c>
      <c r="AZ357">
        <v>2</v>
      </c>
      <c r="BA357">
        <v>2</v>
      </c>
      <c r="BB357">
        <v>40</v>
      </c>
      <c r="BC357">
        <v>25</v>
      </c>
      <c r="BD357">
        <v>34.72</v>
      </c>
      <c r="BE357">
        <v>161</v>
      </c>
      <c r="BF357">
        <v>86.8</v>
      </c>
      <c r="BG357">
        <v>33</v>
      </c>
      <c r="BH357">
        <v>25</v>
      </c>
      <c r="BI357">
        <v>28.64</v>
      </c>
      <c r="BJ357">
        <v>133</v>
      </c>
      <c r="BK357">
        <v>86.8</v>
      </c>
      <c r="BL357">
        <v>278</v>
      </c>
      <c r="BM357">
        <v>2.4689999999999999</v>
      </c>
    </row>
    <row r="358" spans="1:65" x14ac:dyDescent="0.25">
      <c r="A358" t="s">
        <v>421</v>
      </c>
      <c r="B358" t="s">
        <v>1431</v>
      </c>
      <c r="C358" t="s">
        <v>2159</v>
      </c>
      <c r="D358" s="1">
        <v>45327</v>
      </c>
      <c r="E358" s="1">
        <v>45370</v>
      </c>
      <c r="F358" s="1">
        <v>45432</v>
      </c>
      <c r="G358" t="s">
        <v>2162</v>
      </c>
      <c r="H358" t="s">
        <v>2168</v>
      </c>
      <c r="I358" t="s">
        <v>2173</v>
      </c>
      <c r="J358">
        <v>12883</v>
      </c>
      <c r="K358">
        <v>387</v>
      </c>
      <c r="L358">
        <v>8.6</v>
      </c>
      <c r="M358">
        <v>12.6</v>
      </c>
      <c r="N358">
        <v>4</v>
      </c>
      <c r="O358">
        <v>10520</v>
      </c>
      <c r="P358" t="s">
        <v>2177</v>
      </c>
      <c r="Q358">
        <v>10</v>
      </c>
      <c r="R358">
        <v>14</v>
      </c>
      <c r="S358">
        <v>19</v>
      </c>
      <c r="T358">
        <v>699</v>
      </c>
      <c r="U358" t="s">
        <v>2193</v>
      </c>
      <c r="W358" t="s">
        <v>2209</v>
      </c>
      <c r="X358" t="s">
        <v>2211</v>
      </c>
      <c r="Y358" t="s">
        <v>2213</v>
      </c>
      <c r="Z358" s="1">
        <v>45431</v>
      </c>
      <c r="AA358" s="1">
        <v>45437</v>
      </c>
      <c r="AB358" t="s">
        <v>2214</v>
      </c>
      <c r="AC358" t="s">
        <v>2209</v>
      </c>
      <c r="AD358" t="s">
        <v>2219</v>
      </c>
      <c r="AE358" t="s">
        <v>2161</v>
      </c>
      <c r="AF358" t="s">
        <v>2165</v>
      </c>
      <c r="AG358" t="s">
        <v>2222</v>
      </c>
      <c r="AH358">
        <v>43</v>
      </c>
      <c r="AI358">
        <v>61</v>
      </c>
      <c r="AJ358">
        <v>18</v>
      </c>
      <c r="AK358">
        <v>3</v>
      </c>
      <c r="AL358" t="s">
        <v>2227</v>
      </c>
      <c r="AM358">
        <v>0</v>
      </c>
      <c r="AN358" t="s">
        <v>2177</v>
      </c>
      <c r="AO358" t="s">
        <v>2177</v>
      </c>
      <c r="AP358" t="s">
        <v>2177</v>
      </c>
      <c r="AQ358">
        <v>108.36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4.3</v>
      </c>
      <c r="AX358">
        <v>4.5999999999999996</v>
      </c>
      <c r="AY358">
        <v>4.2</v>
      </c>
      <c r="AZ358">
        <v>3</v>
      </c>
      <c r="BA358">
        <v>3</v>
      </c>
      <c r="BB358">
        <v>38</v>
      </c>
      <c r="BC358">
        <v>26</v>
      </c>
      <c r="BD358">
        <v>33.729999999999997</v>
      </c>
      <c r="BE358">
        <v>164</v>
      </c>
      <c r="BF358">
        <v>88.8</v>
      </c>
      <c r="BG358">
        <v>31</v>
      </c>
      <c r="BH358">
        <v>26</v>
      </c>
      <c r="BI358">
        <v>27.27</v>
      </c>
      <c r="BJ358">
        <v>130</v>
      </c>
      <c r="BK358">
        <v>88</v>
      </c>
      <c r="BL358">
        <v>376</v>
      </c>
      <c r="BM358">
        <v>3.0206</v>
      </c>
    </row>
    <row r="359" spans="1:65" x14ac:dyDescent="0.25">
      <c r="A359" t="s">
        <v>422</v>
      </c>
      <c r="B359" t="s">
        <v>1212</v>
      </c>
      <c r="C359" t="s">
        <v>2159</v>
      </c>
      <c r="D359" s="1">
        <v>45425</v>
      </c>
      <c r="E359" s="1">
        <v>45466</v>
      </c>
      <c r="F359" s="1">
        <v>45552</v>
      </c>
      <c r="G359" t="s">
        <v>2165</v>
      </c>
      <c r="H359" t="s">
        <v>2171</v>
      </c>
      <c r="I359" t="s">
        <v>2175</v>
      </c>
      <c r="J359">
        <v>28353</v>
      </c>
      <c r="K359">
        <v>851</v>
      </c>
      <c r="L359">
        <v>16.899999999999999</v>
      </c>
      <c r="M359">
        <v>13.3</v>
      </c>
      <c r="N359">
        <v>6</v>
      </c>
      <c r="O359">
        <v>16732</v>
      </c>
      <c r="P359" t="s">
        <v>2178</v>
      </c>
      <c r="Q359">
        <v>14</v>
      </c>
      <c r="R359">
        <v>20</v>
      </c>
      <c r="S359">
        <v>31</v>
      </c>
      <c r="T359">
        <v>945</v>
      </c>
      <c r="U359" t="s">
        <v>2184</v>
      </c>
      <c r="W359" t="s">
        <v>2209</v>
      </c>
      <c r="X359" t="s">
        <v>2211</v>
      </c>
      <c r="Y359" t="s">
        <v>2213</v>
      </c>
      <c r="Z359" s="1">
        <v>45552</v>
      </c>
      <c r="AA359" s="1">
        <v>45557</v>
      </c>
      <c r="AB359" t="s">
        <v>2214</v>
      </c>
      <c r="AC359" t="s">
        <v>2209</v>
      </c>
      <c r="AD359" t="s">
        <v>2219</v>
      </c>
      <c r="AE359" t="s">
        <v>2163</v>
      </c>
      <c r="AF359" t="s">
        <v>2162</v>
      </c>
      <c r="AG359" t="s">
        <v>2222</v>
      </c>
      <c r="AH359">
        <v>65</v>
      </c>
      <c r="AI359">
        <v>86</v>
      </c>
      <c r="AJ359">
        <v>21</v>
      </c>
      <c r="AK359">
        <v>6</v>
      </c>
      <c r="AL359" t="s">
        <v>2223</v>
      </c>
      <c r="AM359">
        <v>0</v>
      </c>
      <c r="AN359" t="s">
        <v>2175</v>
      </c>
      <c r="AO359" t="s">
        <v>2177</v>
      </c>
      <c r="AP359" t="s">
        <v>2175</v>
      </c>
      <c r="AQ359">
        <v>224.77</v>
      </c>
      <c r="AR359">
        <v>3</v>
      </c>
      <c r="AS359">
        <v>3</v>
      </c>
      <c r="AT359">
        <v>2</v>
      </c>
      <c r="AU359">
        <v>3</v>
      </c>
      <c r="AV359">
        <v>2.666666666666667</v>
      </c>
      <c r="AW359">
        <v>4.4000000000000004</v>
      </c>
      <c r="AX359">
        <v>4.2</v>
      </c>
      <c r="AY359">
        <v>4.5999999999999996</v>
      </c>
      <c r="AZ359">
        <v>3</v>
      </c>
      <c r="BA359">
        <v>0</v>
      </c>
      <c r="BB359">
        <v>30</v>
      </c>
      <c r="BC359">
        <v>25</v>
      </c>
      <c r="BD359">
        <v>26.48</v>
      </c>
      <c r="BE359">
        <v>121</v>
      </c>
      <c r="BF359">
        <v>88.3</v>
      </c>
      <c r="BG359">
        <v>40</v>
      </c>
      <c r="BH359">
        <v>25</v>
      </c>
      <c r="BI359">
        <v>34.72</v>
      </c>
      <c r="BJ359">
        <v>161</v>
      </c>
      <c r="BK359">
        <v>86.8</v>
      </c>
      <c r="BL359">
        <v>238</v>
      </c>
      <c r="BM359">
        <v>9.3697999999999997</v>
      </c>
    </row>
    <row r="360" spans="1:65" x14ac:dyDescent="0.25">
      <c r="A360" t="s">
        <v>423</v>
      </c>
      <c r="B360" t="s">
        <v>1248</v>
      </c>
      <c r="C360" t="s">
        <v>2157</v>
      </c>
      <c r="D360" s="1">
        <v>45453</v>
      </c>
      <c r="E360" s="1">
        <v>45483</v>
      </c>
      <c r="F360" s="1">
        <v>45612</v>
      </c>
      <c r="G360" t="s">
        <v>2165</v>
      </c>
      <c r="H360" t="s">
        <v>2171</v>
      </c>
      <c r="I360" t="s">
        <v>2175</v>
      </c>
      <c r="J360">
        <v>50380</v>
      </c>
      <c r="K360">
        <v>1512</v>
      </c>
      <c r="L360">
        <v>15.9</v>
      </c>
      <c r="M360">
        <v>16.7</v>
      </c>
      <c r="N360">
        <v>7</v>
      </c>
      <c r="O360">
        <v>13464</v>
      </c>
      <c r="P360" t="s">
        <v>2178</v>
      </c>
      <c r="Q360">
        <v>18</v>
      </c>
      <c r="R360">
        <v>30</v>
      </c>
      <c r="S360">
        <v>56</v>
      </c>
      <c r="T360">
        <v>901</v>
      </c>
      <c r="U360" t="s">
        <v>2163</v>
      </c>
      <c r="V360" t="s">
        <v>2169</v>
      </c>
      <c r="W360" t="s">
        <v>2209</v>
      </c>
      <c r="X360" t="s">
        <v>2211</v>
      </c>
      <c r="Y360" t="s">
        <v>2212</v>
      </c>
      <c r="Z360" s="1">
        <v>45615</v>
      </c>
      <c r="AA360" s="1">
        <v>45620</v>
      </c>
      <c r="AB360" t="s">
        <v>2215</v>
      </c>
      <c r="AC360" t="s">
        <v>2208</v>
      </c>
      <c r="AD360" t="s">
        <v>2218</v>
      </c>
      <c r="AE360" t="s">
        <v>2163</v>
      </c>
      <c r="AG360" t="s">
        <v>2221</v>
      </c>
      <c r="AH360">
        <v>104</v>
      </c>
      <c r="AI360">
        <v>132</v>
      </c>
      <c r="AJ360">
        <v>28</v>
      </c>
      <c r="AK360">
        <v>7</v>
      </c>
      <c r="AL360" t="s">
        <v>2226</v>
      </c>
      <c r="AM360">
        <v>0</v>
      </c>
      <c r="AN360" t="s">
        <v>2175</v>
      </c>
      <c r="AO360" t="s">
        <v>2175</v>
      </c>
      <c r="AP360" t="s">
        <v>2177</v>
      </c>
      <c r="AQ360">
        <v>265.52999999999997</v>
      </c>
      <c r="AR360">
        <v>3</v>
      </c>
      <c r="AS360">
        <v>3</v>
      </c>
      <c r="AT360">
        <v>3</v>
      </c>
      <c r="AU360">
        <v>2</v>
      </c>
      <c r="AV360">
        <v>2.666666666666667</v>
      </c>
      <c r="AW360">
        <v>4.4000000000000004</v>
      </c>
      <c r="AY360">
        <v>4.5999999999999996</v>
      </c>
      <c r="AZ360">
        <v>1</v>
      </c>
      <c r="BA360">
        <v>0</v>
      </c>
      <c r="BB360">
        <v>33</v>
      </c>
      <c r="BC360">
        <v>27</v>
      </c>
      <c r="BD360">
        <v>28.89</v>
      </c>
      <c r="BE360">
        <v>145</v>
      </c>
      <c r="BF360">
        <v>87.5</v>
      </c>
      <c r="BG360">
        <v>38</v>
      </c>
      <c r="BH360">
        <v>27</v>
      </c>
      <c r="BI360">
        <v>34</v>
      </c>
      <c r="BJ360">
        <v>174</v>
      </c>
      <c r="BK360">
        <v>89.5</v>
      </c>
      <c r="BL360">
        <v>145</v>
      </c>
      <c r="BM360">
        <v>12.8652</v>
      </c>
    </row>
    <row r="361" spans="1:65" x14ac:dyDescent="0.25">
      <c r="A361" t="s">
        <v>424</v>
      </c>
      <c r="B361" t="s">
        <v>1432</v>
      </c>
      <c r="C361" t="s">
        <v>2157</v>
      </c>
      <c r="D361" s="1">
        <v>45404</v>
      </c>
      <c r="E361" s="1">
        <v>45438</v>
      </c>
      <c r="F361" s="1">
        <v>45605</v>
      </c>
      <c r="G361" t="s">
        <v>2161</v>
      </c>
      <c r="H361" t="s">
        <v>2167</v>
      </c>
      <c r="I361" t="s">
        <v>2174</v>
      </c>
      <c r="J361">
        <v>46764</v>
      </c>
      <c r="K361">
        <v>1403</v>
      </c>
      <c r="L361">
        <v>1.9</v>
      </c>
      <c r="M361">
        <v>5.6</v>
      </c>
      <c r="N361">
        <v>1</v>
      </c>
      <c r="O361">
        <v>2119</v>
      </c>
      <c r="P361" t="s">
        <v>2176</v>
      </c>
      <c r="Q361">
        <v>18</v>
      </c>
      <c r="R361">
        <v>30</v>
      </c>
      <c r="S361">
        <v>71</v>
      </c>
      <c r="T361">
        <v>666</v>
      </c>
      <c r="U361" t="s">
        <v>2183</v>
      </c>
      <c r="W361" t="s">
        <v>2209</v>
      </c>
      <c r="X361" t="s">
        <v>2211</v>
      </c>
      <c r="Y361" t="s">
        <v>2213</v>
      </c>
      <c r="Z361" s="1">
        <v>45587</v>
      </c>
      <c r="AA361" s="1">
        <v>45592</v>
      </c>
      <c r="AB361" t="s">
        <v>2214</v>
      </c>
      <c r="AC361" t="s">
        <v>2209</v>
      </c>
      <c r="AD361" t="s">
        <v>2219</v>
      </c>
      <c r="AE361" t="s">
        <v>2162</v>
      </c>
      <c r="AF361" t="s">
        <v>2163</v>
      </c>
      <c r="AG361" t="s">
        <v>2222</v>
      </c>
      <c r="AH361">
        <v>119</v>
      </c>
      <c r="AI361">
        <v>149</v>
      </c>
      <c r="AJ361">
        <v>30</v>
      </c>
      <c r="AK361">
        <v>5</v>
      </c>
      <c r="AL361" t="s">
        <v>2224</v>
      </c>
      <c r="AM361">
        <v>0</v>
      </c>
      <c r="AN361" t="s">
        <v>2176</v>
      </c>
      <c r="AO361" t="s">
        <v>2176</v>
      </c>
      <c r="AP361" t="s">
        <v>2176</v>
      </c>
      <c r="AQ361">
        <v>10.64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4.2</v>
      </c>
      <c r="AX361">
        <v>4.4000000000000004</v>
      </c>
      <c r="AY361">
        <v>4.3</v>
      </c>
      <c r="AZ361">
        <v>1</v>
      </c>
      <c r="BA361">
        <v>2</v>
      </c>
      <c r="BB361">
        <v>24</v>
      </c>
      <c r="BC361">
        <v>27</v>
      </c>
      <c r="BD361">
        <v>21.44</v>
      </c>
      <c r="BE361">
        <v>108</v>
      </c>
      <c r="BF361">
        <v>89.3</v>
      </c>
      <c r="BG361">
        <v>33</v>
      </c>
      <c r="BH361">
        <v>27</v>
      </c>
      <c r="BI361">
        <v>28.96</v>
      </c>
      <c r="BJ361">
        <v>147</v>
      </c>
      <c r="BK361">
        <v>87.8</v>
      </c>
      <c r="BL361">
        <v>279</v>
      </c>
      <c r="BM361">
        <v>16.031500000000001</v>
      </c>
    </row>
    <row r="362" spans="1:65" x14ac:dyDescent="0.25">
      <c r="A362" t="s">
        <v>425</v>
      </c>
      <c r="B362" t="s">
        <v>1397</v>
      </c>
      <c r="C362" t="s">
        <v>2158</v>
      </c>
      <c r="D362" s="1">
        <v>45404</v>
      </c>
      <c r="E362" s="1">
        <v>45437</v>
      </c>
      <c r="F362" s="1">
        <v>45510</v>
      </c>
      <c r="G362" t="s">
        <v>2166</v>
      </c>
      <c r="H362" t="s">
        <v>2172</v>
      </c>
      <c r="I362" t="s">
        <v>2176</v>
      </c>
      <c r="J362">
        <v>14888</v>
      </c>
      <c r="K362">
        <v>447</v>
      </c>
      <c r="L362">
        <v>11.6</v>
      </c>
      <c r="M362">
        <v>9.6999999999999993</v>
      </c>
      <c r="N362">
        <v>2</v>
      </c>
      <c r="O362">
        <v>6764</v>
      </c>
      <c r="P362" t="s">
        <v>2176</v>
      </c>
      <c r="Q362">
        <v>10</v>
      </c>
      <c r="R362">
        <v>14</v>
      </c>
      <c r="S362">
        <v>26</v>
      </c>
      <c r="T362">
        <v>592</v>
      </c>
      <c r="U362" t="s">
        <v>2188</v>
      </c>
      <c r="W362" t="s">
        <v>2209</v>
      </c>
      <c r="X362" t="s">
        <v>2211</v>
      </c>
      <c r="Y362" t="s">
        <v>2213</v>
      </c>
      <c r="Z362" s="1">
        <v>45506</v>
      </c>
      <c r="AA362" s="1">
        <v>45508</v>
      </c>
      <c r="AB362" t="s">
        <v>2214</v>
      </c>
      <c r="AC362" t="s">
        <v>2209</v>
      </c>
      <c r="AD362" t="s">
        <v>2219</v>
      </c>
      <c r="AE362" t="s">
        <v>2162</v>
      </c>
      <c r="AF362" t="s">
        <v>2165</v>
      </c>
      <c r="AG362" t="s">
        <v>2222</v>
      </c>
      <c r="AH362">
        <v>50</v>
      </c>
      <c r="AI362">
        <v>69</v>
      </c>
      <c r="AJ362">
        <v>19</v>
      </c>
      <c r="AK362">
        <v>5</v>
      </c>
      <c r="AL362" t="s">
        <v>2224</v>
      </c>
      <c r="AM362">
        <v>0</v>
      </c>
      <c r="AN362" t="s">
        <v>2177</v>
      </c>
      <c r="AO362" t="s">
        <v>2176</v>
      </c>
      <c r="AP362" t="s">
        <v>2176</v>
      </c>
      <c r="AQ362">
        <v>112.52</v>
      </c>
      <c r="AR362">
        <v>1</v>
      </c>
      <c r="AS362">
        <v>2</v>
      </c>
      <c r="AT362">
        <v>1</v>
      </c>
      <c r="AU362">
        <v>1</v>
      </c>
      <c r="AV362">
        <v>1.333333333333333</v>
      </c>
      <c r="AW362">
        <v>4.2</v>
      </c>
      <c r="AX362">
        <v>4.5999999999999996</v>
      </c>
      <c r="AY362">
        <v>4.8</v>
      </c>
      <c r="AZ362">
        <v>2</v>
      </c>
      <c r="BA362">
        <v>1</v>
      </c>
      <c r="BB362">
        <v>24</v>
      </c>
      <c r="BC362">
        <v>27</v>
      </c>
      <c r="BD362">
        <v>21.44</v>
      </c>
      <c r="BE362">
        <v>108</v>
      </c>
      <c r="BF362">
        <v>89.3</v>
      </c>
      <c r="BG362">
        <v>43</v>
      </c>
      <c r="BH362">
        <v>27</v>
      </c>
      <c r="BI362">
        <v>37.299999999999997</v>
      </c>
      <c r="BJ362">
        <v>193</v>
      </c>
      <c r="BK362">
        <v>86.7</v>
      </c>
      <c r="BL362">
        <v>266</v>
      </c>
      <c r="BM362">
        <v>5.1039000000000003</v>
      </c>
    </row>
    <row r="363" spans="1:65" x14ac:dyDescent="0.25">
      <c r="A363" t="s">
        <v>426</v>
      </c>
      <c r="B363" t="s">
        <v>1415</v>
      </c>
      <c r="C363" t="s">
        <v>2158</v>
      </c>
      <c r="D363" s="1">
        <v>45418</v>
      </c>
      <c r="E363" s="1">
        <v>45448</v>
      </c>
      <c r="F363" s="1">
        <v>45512</v>
      </c>
      <c r="G363" t="s">
        <v>2163</v>
      </c>
      <c r="H363" t="s">
        <v>2169</v>
      </c>
      <c r="I363" t="s">
        <v>2176</v>
      </c>
      <c r="J363">
        <v>13616</v>
      </c>
      <c r="K363">
        <v>409</v>
      </c>
      <c r="L363">
        <v>6.7</v>
      </c>
      <c r="M363">
        <v>7.2</v>
      </c>
      <c r="N363">
        <v>4</v>
      </c>
      <c r="O363">
        <v>8377</v>
      </c>
      <c r="P363" t="s">
        <v>2176</v>
      </c>
      <c r="Q363">
        <v>10</v>
      </c>
      <c r="R363">
        <v>14</v>
      </c>
      <c r="S363">
        <v>18</v>
      </c>
      <c r="T363">
        <v>775</v>
      </c>
      <c r="U363" t="s">
        <v>2196</v>
      </c>
      <c r="W363" t="s">
        <v>2209</v>
      </c>
      <c r="X363" t="s">
        <v>2211</v>
      </c>
      <c r="Y363" t="s">
        <v>2213</v>
      </c>
      <c r="Z363" s="1">
        <v>45508</v>
      </c>
      <c r="AA363" s="1">
        <v>45508</v>
      </c>
      <c r="AB363" t="s">
        <v>2214</v>
      </c>
      <c r="AC363" t="s">
        <v>2209</v>
      </c>
      <c r="AD363" t="s">
        <v>2219</v>
      </c>
      <c r="AE363" t="s">
        <v>2165</v>
      </c>
      <c r="AF363" t="s">
        <v>2163</v>
      </c>
      <c r="AG363" t="s">
        <v>2222</v>
      </c>
      <c r="AH363">
        <v>42</v>
      </c>
      <c r="AI363">
        <v>60</v>
      </c>
      <c r="AJ363">
        <v>18</v>
      </c>
      <c r="AK363">
        <v>6</v>
      </c>
      <c r="AL363" t="s">
        <v>2223</v>
      </c>
      <c r="AM363">
        <v>0</v>
      </c>
      <c r="AN363" t="s">
        <v>2177</v>
      </c>
      <c r="AO363" t="s">
        <v>2177</v>
      </c>
      <c r="AP363" t="s">
        <v>2177</v>
      </c>
      <c r="AQ363">
        <v>48.24</v>
      </c>
      <c r="AR363">
        <v>1</v>
      </c>
      <c r="AS363">
        <v>2</v>
      </c>
      <c r="AT363">
        <v>2</v>
      </c>
      <c r="AU363">
        <v>2</v>
      </c>
      <c r="AV363">
        <v>2</v>
      </c>
      <c r="AW363">
        <v>4.5999999999999996</v>
      </c>
      <c r="AX363">
        <v>4.4000000000000004</v>
      </c>
      <c r="AY363">
        <v>4.4000000000000004</v>
      </c>
      <c r="AZ363">
        <v>2</v>
      </c>
      <c r="BA363">
        <v>1</v>
      </c>
      <c r="BB363">
        <v>40</v>
      </c>
      <c r="BC363">
        <v>25</v>
      </c>
      <c r="BD363">
        <v>34.72</v>
      </c>
      <c r="BE363">
        <v>161</v>
      </c>
      <c r="BF363">
        <v>86.8</v>
      </c>
      <c r="BG363">
        <v>30</v>
      </c>
      <c r="BH363">
        <v>25</v>
      </c>
      <c r="BI363">
        <v>26.48</v>
      </c>
      <c r="BJ363">
        <v>121</v>
      </c>
      <c r="BK363">
        <v>88.3</v>
      </c>
      <c r="BL363">
        <v>282</v>
      </c>
      <c r="BM363">
        <v>3.3820000000000001</v>
      </c>
    </row>
    <row r="364" spans="1:65" x14ac:dyDescent="0.25">
      <c r="A364" t="s">
        <v>427</v>
      </c>
      <c r="B364" t="s">
        <v>1373</v>
      </c>
      <c r="C364" t="s">
        <v>2160</v>
      </c>
      <c r="D364" s="1">
        <v>45355</v>
      </c>
      <c r="E364" s="1">
        <v>45387</v>
      </c>
      <c r="F364" s="1">
        <v>45450</v>
      </c>
      <c r="G364" t="s">
        <v>2163</v>
      </c>
      <c r="H364" t="s">
        <v>2169</v>
      </c>
      <c r="I364" t="s">
        <v>2175</v>
      </c>
      <c r="J364">
        <v>17175</v>
      </c>
      <c r="K364">
        <v>516</v>
      </c>
      <c r="L364">
        <v>13.5</v>
      </c>
      <c r="M364">
        <v>17.8</v>
      </c>
      <c r="N364">
        <v>8</v>
      </c>
      <c r="O364">
        <v>17325</v>
      </c>
      <c r="P364" t="s">
        <v>2178</v>
      </c>
      <c r="Q364">
        <v>10</v>
      </c>
      <c r="R364">
        <v>14</v>
      </c>
      <c r="S364">
        <v>19</v>
      </c>
      <c r="T364">
        <v>924</v>
      </c>
      <c r="U364" t="s">
        <v>2193</v>
      </c>
      <c r="W364" t="s">
        <v>2209</v>
      </c>
      <c r="X364" t="s">
        <v>2211</v>
      </c>
      <c r="Y364" t="s">
        <v>2213</v>
      </c>
      <c r="Z364" s="1">
        <v>45448</v>
      </c>
      <c r="AA364" s="1">
        <v>45452</v>
      </c>
      <c r="AB364" t="s">
        <v>2214</v>
      </c>
      <c r="AC364" t="s">
        <v>2209</v>
      </c>
      <c r="AD364" t="s">
        <v>2219</v>
      </c>
      <c r="AE364" t="s">
        <v>2161</v>
      </c>
      <c r="AF364" t="s">
        <v>2165</v>
      </c>
      <c r="AG364" t="s">
        <v>2222</v>
      </c>
      <c r="AH364">
        <v>43</v>
      </c>
      <c r="AI364">
        <v>61</v>
      </c>
      <c r="AJ364">
        <v>18</v>
      </c>
      <c r="AK364">
        <v>4</v>
      </c>
      <c r="AL364" t="s">
        <v>2225</v>
      </c>
      <c r="AM364">
        <v>0</v>
      </c>
      <c r="AN364" t="s">
        <v>2175</v>
      </c>
      <c r="AO364" t="s">
        <v>2175</v>
      </c>
      <c r="AP364" t="s">
        <v>2175</v>
      </c>
      <c r="AQ364">
        <v>240.3</v>
      </c>
      <c r="AR364">
        <v>3</v>
      </c>
      <c r="AS364">
        <v>3</v>
      </c>
      <c r="AT364">
        <v>3</v>
      </c>
      <c r="AU364">
        <v>3</v>
      </c>
      <c r="AV364">
        <v>3</v>
      </c>
      <c r="AW364">
        <v>4.3</v>
      </c>
      <c r="AX364">
        <v>4.5999999999999996</v>
      </c>
      <c r="AY364">
        <v>4.4000000000000004</v>
      </c>
      <c r="AZ364">
        <v>0</v>
      </c>
      <c r="BA364">
        <v>0</v>
      </c>
      <c r="BB364">
        <v>32</v>
      </c>
      <c r="BC364">
        <v>26</v>
      </c>
      <c r="BD364">
        <v>28.46</v>
      </c>
      <c r="BE364">
        <v>138</v>
      </c>
      <c r="BF364">
        <v>88.9</v>
      </c>
      <c r="BG364">
        <v>31</v>
      </c>
      <c r="BH364">
        <v>26</v>
      </c>
      <c r="BI364">
        <v>27.23</v>
      </c>
      <c r="BJ364">
        <v>132</v>
      </c>
      <c r="BK364">
        <v>87.8</v>
      </c>
      <c r="BL364">
        <v>341</v>
      </c>
      <c r="BM364">
        <v>4.7854999999999999</v>
      </c>
    </row>
    <row r="365" spans="1:65" x14ac:dyDescent="0.25">
      <c r="A365" t="s">
        <v>428</v>
      </c>
      <c r="B365" t="s">
        <v>1433</v>
      </c>
      <c r="C365" t="s">
        <v>2159</v>
      </c>
      <c r="D365" s="1">
        <v>45306</v>
      </c>
      <c r="E365" s="1">
        <v>45351</v>
      </c>
      <c r="F365" s="1">
        <v>45405</v>
      </c>
      <c r="G365" t="s">
        <v>2162</v>
      </c>
      <c r="H365" t="s">
        <v>2168</v>
      </c>
      <c r="I365" t="s">
        <v>2175</v>
      </c>
      <c r="J365">
        <v>12439</v>
      </c>
      <c r="K365">
        <v>374</v>
      </c>
      <c r="L365">
        <v>18.3</v>
      </c>
      <c r="M365">
        <v>15.8</v>
      </c>
      <c r="N365">
        <v>7</v>
      </c>
      <c r="O365">
        <v>16098</v>
      </c>
      <c r="P365" t="s">
        <v>2178</v>
      </c>
      <c r="Q365">
        <v>10</v>
      </c>
      <c r="R365">
        <v>14</v>
      </c>
      <c r="S365">
        <v>15</v>
      </c>
      <c r="T365">
        <v>867</v>
      </c>
      <c r="U365" t="s">
        <v>2162</v>
      </c>
      <c r="V365" t="s">
        <v>2168</v>
      </c>
      <c r="W365" t="s">
        <v>2208</v>
      </c>
      <c r="X365" t="s">
        <v>2210</v>
      </c>
      <c r="Y365" t="s">
        <v>2212</v>
      </c>
      <c r="Z365" s="1">
        <v>45407</v>
      </c>
      <c r="AA365" s="1">
        <v>45409</v>
      </c>
      <c r="AB365" t="s">
        <v>2215</v>
      </c>
      <c r="AC365" t="s">
        <v>2208</v>
      </c>
      <c r="AD365" t="s">
        <v>2217</v>
      </c>
      <c r="AE365" t="s">
        <v>2162</v>
      </c>
      <c r="AG365" t="s">
        <v>2220</v>
      </c>
      <c r="AH365">
        <v>39</v>
      </c>
      <c r="AI365">
        <v>56</v>
      </c>
      <c r="AJ365">
        <v>17</v>
      </c>
      <c r="AK365">
        <v>2</v>
      </c>
      <c r="AL365" t="s">
        <v>2228</v>
      </c>
      <c r="AM365">
        <v>0</v>
      </c>
      <c r="AN365" t="s">
        <v>2175</v>
      </c>
      <c r="AO365" t="s">
        <v>2175</v>
      </c>
      <c r="AP365" t="s">
        <v>2175</v>
      </c>
      <c r="AQ365">
        <v>289.14</v>
      </c>
      <c r="AR365">
        <v>3</v>
      </c>
      <c r="AS365">
        <v>3</v>
      </c>
      <c r="AT365">
        <v>3</v>
      </c>
      <c r="AU365">
        <v>3</v>
      </c>
      <c r="AV365">
        <v>3</v>
      </c>
      <c r="AW365">
        <v>4.2</v>
      </c>
      <c r="AY365">
        <v>4.2</v>
      </c>
      <c r="AZ365">
        <v>3</v>
      </c>
      <c r="BA365">
        <v>0</v>
      </c>
      <c r="BB365">
        <v>34</v>
      </c>
      <c r="BC365">
        <v>24</v>
      </c>
      <c r="BD365">
        <v>30.5</v>
      </c>
      <c r="BE365">
        <v>136</v>
      </c>
      <c r="BF365">
        <v>89.7</v>
      </c>
      <c r="BG365">
        <v>34</v>
      </c>
      <c r="BH365">
        <v>24</v>
      </c>
      <c r="BI365">
        <v>30.5</v>
      </c>
      <c r="BJ365">
        <v>136</v>
      </c>
      <c r="BK365">
        <v>89.7</v>
      </c>
      <c r="BL365">
        <v>136</v>
      </c>
      <c r="BM365">
        <v>3.8098000000000001</v>
      </c>
    </row>
    <row r="366" spans="1:65" x14ac:dyDescent="0.25">
      <c r="A366" t="s">
        <v>429</v>
      </c>
      <c r="B366" t="s">
        <v>1434</v>
      </c>
      <c r="C366" t="s">
        <v>2159</v>
      </c>
      <c r="D366" s="1">
        <v>45306</v>
      </c>
      <c r="E366" s="1">
        <v>45341</v>
      </c>
      <c r="F366" s="1">
        <v>45454</v>
      </c>
      <c r="G366" t="s">
        <v>2162</v>
      </c>
      <c r="H366" t="s">
        <v>2168</v>
      </c>
      <c r="I366" t="s">
        <v>2174</v>
      </c>
      <c r="J366">
        <v>28654</v>
      </c>
      <c r="K366">
        <v>860</v>
      </c>
      <c r="L366">
        <v>1.2</v>
      </c>
      <c r="M366">
        <v>7.9</v>
      </c>
      <c r="N366">
        <v>3</v>
      </c>
      <c r="O366">
        <v>3475</v>
      </c>
      <c r="P366" t="s">
        <v>2176</v>
      </c>
      <c r="Q366">
        <v>14</v>
      </c>
      <c r="R366">
        <v>20</v>
      </c>
      <c r="S366">
        <v>42</v>
      </c>
      <c r="T366">
        <v>686</v>
      </c>
      <c r="U366" t="s">
        <v>2201</v>
      </c>
      <c r="W366" t="s">
        <v>2209</v>
      </c>
      <c r="X366" t="s">
        <v>2211</v>
      </c>
      <c r="Y366" t="s">
        <v>2213</v>
      </c>
      <c r="Z366" s="1">
        <v>45440</v>
      </c>
      <c r="AA366" s="1">
        <v>45444</v>
      </c>
      <c r="AB366" t="s">
        <v>2214</v>
      </c>
      <c r="AC366" t="s">
        <v>2209</v>
      </c>
      <c r="AD366" t="s">
        <v>2219</v>
      </c>
      <c r="AE366" t="s">
        <v>2165</v>
      </c>
      <c r="AF366" t="s">
        <v>2161</v>
      </c>
      <c r="AG366" t="s">
        <v>2222</v>
      </c>
      <c r="AH366">
        <v>76</v>
      </c>
      <c r="AI366">
        <v>99</v>
      </c>
      <c r="AJ366">
        <v>23</v>
      </c>
      <c r="AK366">
        <v>2</v>
      </c>
      <c r="AL366" t="s">
        <v>2228</v>
      </c>
      <c r="AM366">
        <v>0</v>
      </c>
      <c r="AN366" t="s">
        <v>2176</v>
      </c>
      <c r="AO366" t="s">
        <v>2176</v>
      </c>
      <c r="AP366" t="s">
        <v>2176</v>
      </c>
      <c r="AQ366">
        <v>9.48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4.5999999999999996</v>
      </c>
      <c r="AX366">
        <v>4.3</v>
      </c>
      <c r="AY366">
        <v>4.2</v>
      </c>
      <c r="AZ366">
        <v>3</v>
      </c>
      <c r="BA366">
        <v>2</v>
      </c>
      <c r="BB366">
        <v>36</v>
      </c>
      <c r="BC366">
        <v>24</v>
      </c>
      <c r="BD366">
        <v>31.79</v>
      </c>
      <c r="BE366">
        <v>142</v>
      </c>
      <c r="BF366">
        <v>88.3</v>
      </c>
      <c r="BG366">
        <v>34</v>
      </c>
      <c r="BH366">
        <v>24</v>
      </c>
      <c r="BI366">
        <v>30.5</v>
      </c>
      <c r="BJ366">
        <v>136</v>
      </c>
      <c r="BK366">
        <v>89.7</v>
      </c>
      <c r="BL366">
        <v>276</v>
      </c>
      <c r="BM366">
        <v>8.4054000000000002</v>
      </c>
    </row>
    <row r="367" spans="1:65" x14ac:dyDescent="0.25">
      <c r="A367" t="s">
        <v>430</v>
      </c>
      <c r="B367" t="s">
        <v>1435</v>
      </c>
      <c r="C367" t="s">
        <v>2158</v>
      </c>
      <c r="D367" s="1">
        <v>45348</v>
      </c>
      <c r="E367" s="1">
        <v>45392</v>
      </c>
      <c r="F367" s="1">
        <v>45424</v>
      </c>
      <c r="G367" t="s">
        <v>2161</v>
      </c>
      <c r="H367" t="s">
        <v>2167</v>
      </c>
      <c r="I367" t="s">
        <v>2175</v>
      </c>
      <c r="J367">
        <v>5976</v>
      </c>
      <c r="K367">
        <v>180</v>
      </c>
      <c r="L367">
        <v>13.2</v>
      </c>
      <c r="M367">
        <v>14.9</v>
      </c>
      <c r="N367">
        <v>5</v>
      </c>
      <c r="O367">
        <v>13930</v>
      </c>
      <c r="P367" t="s">
        <v>2177</v>
      </c>
      <c r="Q367">
        <v>7</v>
      </c>
      <c r="R367">
        <v>10</v>
      </c>
      <c r="S367">
        <v>7</v>
      </c>
      <c r="T367">
        <v>986</v>
      </c>
      <c r="U367" t="s">
        <v>2191</v>
      </c>
      <c r="W367" t="s">
        <v>2209</v>
      </c>
      <c r="X367" t="s">
        <v>2211</v>
      </c>
      <c r="Y367" t="s">
        <v>2213</v>
      </c>
      <c r="Z367" s="1">
        <v>45431</v>
      </c>
      <c r="AA367" s="1">
        <v>45437</v>
      </c>
      <c r="AB367" t="s">
        <v>2215</v>
      </c>
      <c r="AC367" t="s">
        <v>2208</v>
      </c>
      <c r="AD367" t="s">
        <v>2219</v>
      </c>
      <c r="AE367" t="s">
        <v>2161</v>
      </c>
      <c r="AF367" t="s">
        <v>2164</v>
      </c>
      <c r="AG367" t="s">
        <v>2222</v>
      </c>
      <c r="AH367">
        <v>24</v>
      </c>
      <c r="AI367">
        <v>39</v>
      </c>
      <c r="AJ367">
        <v>15</v>
      </c>
      <c r="AK367">
        <v>4</v>
      </c>
      <c r="AL367" t="s">
        <v>2225</v>
      </c>
      <c r="AM367">
        <v>0</v>
      </c>
      <c r="AN367" t="s">
        <v>2175</v>
      </c>
      <c r="AO367" t="s">
        <v>2177</v>
      </c>
      <c r="AP367" t="s">
        <v>2177</v>
      </c>
      <c r="AQ367">
        <v>196.68</v>
      </c>
      <c r="AR367">
        <v>2</v>
      </c>
      <c r="AS367">
        <v>3</v>
      </c>
      <c r="AT367">
        <v>2</v>
      </c>
      <c r="AU367">
        <v>2</v>
      </c>
      <c r="AV367">
        <v>2.333333333333333</v>
      </c>
      <c r="AW367">
        <v>4.3</v>
      </c>
      <c r="AX367">
        <v>4.5</v>
      </c>
      <c r="AY367">
        <v>4.3</v>
      </c>
      <c r="AZ367">
        <v>2</v>
      </c>
      <c r="BA367">
        <v>0</v>
      </c>
      <c r="BB367">
        <v>32</v>
      </c>
      <c r="BC367">
        <v>26</v>
      </c>
      <c r="BD367">
        <v>28.46</v>
      </c>
      <c r="BE367">
        <v>138</v>
      </c>
      <c r="BF367">
        <v>88.9</v>
      </c>
      <c r="BG367">
        <v>32</v>
      </c>
      <c r="BH367">
        <v>26</v>
      </c>
      <c r="BI367">
        <v>28.46</v>
      </c>
      <c r="BJ367">
        <v>138</v>
      </c>
      <c r="BK367">
        <v>88.9</v>
      </c>
      <c r="BL367">
        <v>264</v>
      </c>
      <c r="BM367">
        <v>1.6651</v>
      </c>
    </row>
    <row r="368" spans="1:65" x14ac:dyDescent="0.25">
      <c r="A368" t="s">
        <v>431</v>
      </c>
      <c r="B368" t="s">
        <v>1281</v>
      </c>
      <c r="C368" t="s">
        <v>2157</v>
      </c>
      <c r="D368" s="1">
        <v>45446</v>
      </c>
      <c r="E368" s="1">
        <v>45481</v>
      </c>
      <c r="F368" s="1">
        <v>45653</v>
      </c>
      <c r="G368" t="s">
        <v>2162</v>
      </c>
      <c r="H368" t="s">
        <v>2168</v>
      </c>
      <c r="I368" t="s">
        <v>2176</v>
      </c>
      <c r="J368">
        <v>47714</v>
      </c>
      <c r="K368">
        <v>1432</v>
      </c>
      <c r="L368">
        <v>7</v>
      </c>
      <c r="M368">
        <v>7.8</v>
      </c>
      <c r="N368">
        <v>2</v>
      </c>
      <c r="O368">
        <v>5001</v>
      </c>
      <c r="P368" t="s">
        <v>2176</v>
      </c>
      <c r="Q368">
        <v>18</v>
      </c>
      <c r="R368">
        <v>30</v>
      </c>
      <c r="S368">
        <v>87</v>
      </c>
      <c r="T368">
        <v>554</v>
      </c>
      <c r="U368" t="s">
        <v>2163</v>
      </c>
      <c r="V368" t="s">
        <v>2169</v>
      </c>
      <c r="W368" t="s">
        <v>2209</v>
      </c>
      <c r="X368" t="s">
        <v>2211</v>
      </c>
      <c r="Y368" t="s">
        <v>2212</v>
      </c>
      <c r="Z368" s="1">
        <v>45649</v>
      </c>
      <c r="AA368" s="1">
        <v>45655</v>
      </c>
      <c r="AB368" t="s">
        <v>2214</v>
      </c>
      <c r="AC368" t="s">
        <v>2209</v>
      </c>
      <c r="AD368" t="s">
        <v>2218</v>
      </c>
      <c r="AE368" t="s">
        <v>2163</v>
      </c>
      <c r="AG368" t="s">
        <v>2221</v>
      </c>
      <c r="AH368">
        <v>135</v>
      </c>
      <c r="AI368">
        <v>168</v>
      </c>
      <c r="AJ368">
        <v>33</v>
      </c>
      <c r="AK368">
        <v>7</v>
      </c>
      <c r="AL368" t="s">
        <v>2226</v>
      </c>
      <c r="AM368">
        <v>0</v>
      </c>
      <c r="AN368" t="s">
        <v>2177</v>
      </c>
      <c r="AO368" t="s">
        <v>2176</v>
      </c>
      <c r="AP368" t="s">
        <v>2176</v>
      </c>
      <c r="AQ368">
        <v>54.6</v>
      </c>
      <c r="AR368">
        <v>1</v>
      </c>
      <c r="AS368">
        <v>2</v>
      </c>
      <c r="AT368">
        <v>1</v>
      </c>
      <c r="AU368">
        <v>1</v>
      </c>
      <c r="AV368">
        <v>1.333333333333333</v>
      </c>
      <c r="AW368">
        <v>4.4000000000000004</v>
      </c>
      <c r="AY368">
        <v>4.2</v>
      </c>
      <c r="AZ368">
        <v>1</v>
      </c>
      <c r="BA368">
        <v>1</v>
      </c>
      <c r="BB368">
        <v>33</v>
      </c>
      <c r="BC368">
        <v>27</v>
      </c>
      <c r="BD368">
        <v>28.89</v>
      </c>
      <c r="BE368">
        <v>145</v>
      </c>
      <c r="BF368">
        <v>87.5</v>
      </c>
      <c r="BG368">
        <v>30</v>
      </c>
      <c r="BH368">
        <v>27</v>
      </c>
      <c r="BI368">
        <v>26.15</v>
      </c>
      <c r="BJ368">
        <v>133</v>
      </c>
      <c r="BK368">
        <v>87.2</v>
      </c>
      <c r="BL368">
        <v>145</v>
      </c>
      <c r="BM368">
        <v>12.1844</v>
      </c>
    </row>
    <row r="369" spans="1:65" x14ac:dyDescent="0.25">
      <c r="A369" t="s">
        <v>432</v>
      </c>
      <c r="B369" t="s">
        <v>1436</v>
      </c>
      <c r="C369" t="s">
        <v>2160</v>
      </c>
      <c r="D369" s="1">
        <v>45432</v>
      </c>
      <c r="E369" s="1">
        <v>45475</v>
      </c>
      <c r="F369" s="1">
        <v>45538</v>
      </c>
      <c r="G369" t="s">
        <v>2165</v>
      </c>
      <c r="H369" t="s">
        <v>2171</v>
      </c>
      <c r="I369" t="s">
        <v>2173</v>
      </c>
      <c r="J369">
        <v>17007</v>
      </c>
      <c r="K369">
        <v>511</v>
      </c>
      <c r="L369">
        <v>14.3</v>
      </c>
      <c r="M369">
        <v>10.1</v>
      </c>
      <c r="N369">
        <v>5</v>
      </c>
      <c r="O369">
        <v>11888</v>
      </c>
      <c r="P369" t="s">
        <v>2177</v>
      </c>
      <c r="Q369">
        <v>10</v>
      </c>
      <c r="R369">
        <v>14</v>
      </c>
      <c r="S369">
        <v>21</v>
      </c>
      <c r="T369">
        <v>844</v>
      </c>
      <c r="U369" t="s">
        <v>2203</v>
      </c>
      <c r="W369" t="s">
        <v>2209</v>
      </c>
      <c r="X369" t="s">
        <v>2211</v>
      </c>
      <c r="Y369" t="s">
        <v>2213</v>
      </c>
      <c r="Z369" s="1">
        <v>45538</v>
      </c>
      <c r="AA369" s="1">
        <v>45543</v>
      </c>
      <c r="AB369" t="s">
        <v>2214</v>
      </c>
      <c r="AC369" t="s">
        <v>2209</v>
      </c>
      <c r="AD369" t="s">
        <v>2219</v>
      </c>
      <c r="AE369" t="s">
        <v>2162</v>
      </c>
      <c r="AF369" t="s">
        <v>2166</v>
      </c>
      <c r="AG369" t="s">
        <v>2222</v>
      </c>
      <c r="AH369">
        <v>45</v>
      </c>
      <c r="AI369">
        <v>63</v>
      </c>
      <c r="AJ369">
        <v>18</v>
      </c>
      <c r="AK369">
        <v>7</v>
      </c>
      <c r="AL369" t="s">
        <v>2226</v>
      </c>
      <c r="AM369">
        <v>0</v>
      </c>
      <c r="AN369" t="s">
        <v>2175</v>
      </c>
      <c r="AO369" t="s">
        <v>2177</v>
      </c>
      <c r="AP369" t="s">
        <v>2177</v>
      </c>
      <c r="AQ369">
        <v>144.43</v>
      </c>
      <c r="AR369">
        <v>2</v>
      </c>
      <c r="AS369">
        <v>3</v>
      </c>
      <c r="AT369">
        <v>2</v>
      </c>
      <c r="AU369">
        <v>2</v>
      </c>
      <c r="AV369">
        <v>2.333333333333333</v>
      </c>
      <c r="AW369">
        <v>4.2</v>
      </c>
      <c r="AX369">
        <v>4.8</v>
      </c>
      <c r="AY369">
        <v>4.5999999999999996</v>
      </c>
      <c r="AZ369">
        <v>0</v>
      </c>
      <c r="BA369">
        <v>3</v>
      </c>
      <c r="BB369">
        <v>30</v>
      </c>
      <c r="BC369">
        <v>27</v>
      </c>
      <c r="BD369">
        <v>26.15</v>
      </c>
      <c r="BE369">
        <v>133</v>
      </c>
      <c r="BF369">
        <v>87.2</v>
      </c>
      <c r="BG369">
        <v>38</v>
      </c>
      <c r="BH369">
        <v>27</v>
      </c>
      <c r="BI369">
        <v>34</v>
      </c>
      <c r="BJ369">
        <v>174</v>
      </c>
      <c r="BK369">
        <v>89.5</v>
      </c>
      <c r="BL369">
        <v>349</v>
      </c>
      <c r="BM369">
        <v>4.7347000000000001</v>
      </c>
    </row>
    <row r="370" spans="1:65" x14ac:dyDescent="0.25">
      <c r="A370" t="s">
        <v>433</v>
      </c>
      <c r="B370" t="s">
        <v>1383</v>
      </c>
      <c r="C370" t="s">
        <v>2158</v>
      </c>
      <c r="D370" s="1">
        <v>45362</v>
      </c>
      <c r="E370" s="1">
        <v>45397</v>
      </c>
      <c r="F370" s="1">
        <v>45476</v>
      </c>
      <c r="G370" t="s">
        <v>2161</v>
      </c>
      <c r="H370" t="s">
        <v>2167</v>
      </c>
      <c r="I370" t="s">
        <v>2174</v>
      </c>
      <c r="J370">
        <v>16729</v>
      </c>
      <c r="K370">
        <v>502</v>
      </c>
      <c r="L370">
        <v>5.5</v>
      </c>
      <c r="M370">
        <v>3</v>
      </c>
      <c r="N370">
        <v>4</v>
      </c>
      <c r="O370">
        <v>5926</v>
      </c>
      <c r="P370" t="s">
        <v>2176</v>
      </c>
      <c r="Q370">
        <v>10</v>
      </c>
      <c r="R370">
        <v>14</v>
      </c>
      <c r="S370">
        <v>25</v>
      </c>
      <c r="T370">
        <v>691</v>
      </c>
      <c r="U370" t="s">
        <v>2179</v>
      </c>
      <c r="W370" t="s">
        <v>2209</v>
      </c>
      <c r="X370" t="s">
        <v>2211</v>
      </c>
      <c r="Y370" t="s">
        <v>2213</v>
      </c>
      <c r="Z370" s="1">
        <v>45464</v>
      </c>
      <c r="AA370" s="1">
        <v>45466</v>
      </c>
      <c r="AB370" t="s">
        <v>2214</v>
      </c>
      <c r="AC370" t="s">
        <v>2209</v>
      </c>
      <c r="AD370" t="s">
        <v>2219</v>
      </c>
      <c r="AE370" t="s">
        <v>2165</v>
      </c>
      <c r="AF370" t="s">
        <v>2162</v>
      </c>
      <c r="AG370" t="s">
        <v>2222</v>
      </c>
      <c r="AH370">
        <v>49</v>
      </c>
      <c r="AI370">
        <v>67</v>
      </c>
      <c r="AJ370">
        <v>18</v>
      </c>
      <c r="AK370">
        <v>4</v>
      </c>
      <c r="AL370" t="s">
        <v>2225</v>
      </c>
      <c r="AM370">
        <v>0</v>
      </c>
      <c r="AN370" t="s">
        <v>2176</v>
      </c>
      <c r="AO370" t="s">
        <v>2177</v>
      </c>
      <c r="AP370" t="s">
        <v>2176</v>
      </c>
      <c r="AQ370">
        <v>16.5</v>
      </c>
      <c r="AR370">
        <v>1</v>
      </c>
      <c r="AS370">
        <v>1</v>
      </c>
      <c r="AT370">
        <v>2</v>
      </c>
      <c r="AU370">
        <v>1</v>
      </c>
      <c r="AV370">
        <v>1.333333333333333</v>
      </c>
      <c r="AW370">
        <v>4.5999999999999996</v>
      </c>
      <c r="AX370">
        <v>4.2</v>
      </c>
      <c r="AY370">
        <v>4.3</v>
      </c>
      <c r="AZ370">
        <v>2</v>
      </c>
      <c r="BA370">
        <v>2</v>
      </c>
      <c r="BB370">
        <v>46</v>
      </c>
      <c r="BC370">
        <v>26</v>
      </c>
      <c r="BD370">
        <v>40.729999999999997</v>
      </c>
      <c r="BE370">
        <v>203</v>
      </c>
      <c r="BF370">
        <v>88.5</v>
      </c>
      <c r="BG370">
        <v>32</v>
      </c>
      <c r="BH370">
        <v>26</v>
      </c>
      <c r="BI370">
        <v>28.46</v>
      </c>
      <c r="BJ370">
        <v>138</v>
      </c>
      <c r="BK370">
        <v>88.9</v>
      </c>
      <c r="BL370">
        <v>307</v>
      </c>
      <c r="BM370">
        <v>3.169</v>
      </c>
    </row>
    <row r="371" spans="1:65" x14ac:dyDescent="0.25">
      <c r="A371" t="s">
        <v>434</v>
      </c>
      <c r="B371" t="s">
        <v>1437</v>
      </c>
      <c r="C371" t="s">
        <v>2160</v>
      </c>
      <c r="D371" s="1">
        <v>45355</v>
      </c>
      <c r="E371" s="1">
        <v>45386</v>
      </c>
      <c r="F371" s="1">
        <v>45457</v>
      </c>
      <c r="G371" t="s">
        <v>2166</v>
      </c>
      <c r="H371" t="s">
        <v>2172</v>
      </c>
      <c r="I371" t="s">
        <v>2173</v>
      </c>
      <c r="J371">
        <v>18515</v>
      </c>
      <c r="K371">
        <v>556</v>
      </c>
      <c r="L371">
        <v>14</v>
      </c>
      <c r="M371">
        <v>9.6</v>
      </c>
      <c r="N371">
        <v>3</v>
      </c>
      <c r="O371">
        <v>14689</v>
      </c>
      <c r="P371" t="s">
        <v>2176</v>
      </c>
      <c r="Q371">
        <v>10</v>
      </c>
      <c r="R371">
        <v>14</v>
      </c>
      <c r="S371">
        <v>23</v>
      </c>
      <c r="T371">
        <v>832</v>
      </c>
      <c r="U371" t="s">
        <v>2201</v>
      </c>
      <c r="W371" t="s">
        <v>2209</v>
      </c>
      <c r="X371" t="s">
        <v>2211</v>
      </c>
      <c r="Y371" t="s">
        <v>2213</v>
      </c>
      <c r="Z371" s="1">
        <v>45452</v>
      </c>
      <c r="AA371" s="1">
        <v>45452</v>
      </c>
      <c r="AB371" t="s">
        <v>2214</v>
      </c>
      <c r="AC371" t="s">
        <v>2209</v>
      </c>
      <c r="AD371" t="s">
        <v>2219</v>
      </c>
      <c r="AE371" t="s">
        <v>2165</v>
      </c>
      <c r="AF371" t="s">
        <v>2161</v>
      </c>
      <c r="AG371" t="s">
        <v>2222</v>
      </c>
      <c r="AH371">
        <v>47</v>
      </c>
      <c r="AI371">
        <v>66</v>
      </c>
      <c r="AJ371">
        <v>19</v>
      </c>
      <c r="AK371">
        <v>4</v>
      </c>
      <c r="AL371" t="s">
        <v>2225</v>
      </c>
      <c r="AM371">
        <v>0</v>
      </c>
      <c r="AN371" t="s">
        <v>2177</v>
      </c>
      <c r="AO371" t="s">
        <v>2176</v>
      </c>
      <c r="AP371" t="s">
        <v>2177</v>
      </c>
      <c r="AQ371">
        <v>134.4</v>
      </c>
      <c r="AR371">
        <v>1</v>
      </c>
      <c r="AS371">
        <v>2</v>
      </c>
      <c r="AT371">
        <v>1</v>
      </c>
      <c r="AU371">
        <v>2</v>
      </c>
      <c r="AV371">
        <v>1.666666666666667</v>
      </c>
      <c r="AW371">
        <v>4.5999999999999996</v>
      </c>
      <c r="AX371">
        <v>4.3</v>
      </c>
      <c r="AY371">
        <v>4.8</v>
      </c>
      <c r="AZ371">
        <v>0</v>
      </c>
      <c r="BA371">
        <v>3</v>
      </c>
      <c r="BB371">
        <v>46</v>
      </c>
      <c r="BC371">
        <v>26</v>
      </c>
      <c r="BD371">
        <v>40.729999999999997</v>
      </c>
      <c r="BE371">
        <v>203</v>
      </c>
      <c r="BF371">
        <v>88.5</v>
      </c>
      <c r="BG371">
        <v>45</v>
      </c>
      <c r="BH371">
        <v>26</v>
      </c>
      <c r="BI371">
        <v>40.270000000000003</v>
      </c>
      <c r="BJ371">
        <v>199</v>
      </c>
      <c r="BK371">
        <v>89.5</v>
      </c>
      <c r="BL371">
        <v>341</v>
      </c>
      <c r="BM371">
        <v>3.5072999999999999</v>
      </c>
    </row>
    <row r="372" spans="1:65" x14ac:dyDescent="0.25">
      <c r="A372" t="s">
        <v>435</v>
      </c>
      <c r="B372" t="s">
        <v>1438</v>
      </c>
      <c r="C372" t="s">
        <v>2159</v>
      </c>
      <c r="D372" s="1">
        <v>45341</v>
      </c>
      <c r="E372" s="1">
        <v>45386</v>
      </c>
      <c r="F372" s="1">
        <v>45489</v>
      </c>
      <c r="G372" t="s">
        <v>2166</v>
      </c>
      <c r="H372" t="s">
        <v>2172</v>
      </c>
      <c r="I372" t="s">
        <v>2176</v>
      </c>
      <c r="J372">
        <v>25827</v>
      </c>
      <c r="K372">
        <v>775</v>
      </c>
      <c r="L372">
        <v>11.5</v>
      </c>
      <c r="M372">
        <v>9.8000000000000007</v>
      </c>
      <c r="N372">
        <v>5</v>
      </c>
      <c r="O372">
        <v>4311</v>
      </c>
      <c r="P372" t="s">
        <v>2176</v>
      </c>
      <c r="Q372">
        <v>14</v>
      </c>
      <c r="R372">
        <v>20</v>
      </c>
      <c r="S372">
        <v>41</v>
      </c>
      <c r="T372">
        <v>644</v>
      </c>
      <c r="U372" t="s">
        <v>2201</v>
      </c>
      <c r="W372" t="s">
        <v>2209</v>
      </c>
      <c r="X372" t="s">
        <v>2211</v>
      </c>
      <c r="Y372" t="s">
        <v>2213</v>
      </c>
      <c r="Z372" s="1">
        <v>45484</v>
      </c>
      <c r="AA372" s="1">
        <v>45486</v>
      </c>
      <c r="AB372" t="s">
        <v>2214</v>
      </c>
      <c r="AC372" t="s">
        <v>2209</v>
      </c>
      <c r="AD372" t="s">
        <v>2219</v>
      </c>
      <c r="AE372" t="s">
        <v>2165</v>
      </c>
      <c r="AF372" t="s">
        <v>2161</v>
      </c>
      <c r="AG372" t="s">
        <v>2222</v>
      </c>
      <c r="AH372">
        <v>75</v>
      </c>
      <c r="AI372">
        <v>98</v>
      </c>
      <c r="AJ372">
        <v>23</v>
      </c>
      <c r="AK372">
        <v>4</v>
      </c>
      <c r="AL372" t="s">
        <v>2225</v>
      </c>
      <c r="AM372">
        <v>0</v>
      </c>
      <c r="AN372" t="s">
        <v>2177</v>
      </c>
      <c r="AO372" t="s">
        <v>2177</v>
      </c>
      <c r="AP372" t="s">
        <v>2176</v>
      </c>
      <c r="AQ372">
        <v>112.7</v>
      </c>
      <c r="AR372">
        <v>1</v>
      </c>
      <c r="AS372">
        <v>2</v>
      </c>
      <c r="AT372">
        <v>2</v>
      </c>
      <c r="AU372">
        <v>1</v>
      </c>
      <c r="AV372">
        <v>1.666666666666667</v>
      </c>
      <c r="AW372">
        <v>4.5999999999999996</v>
      </c>
      <c r="AX372">
        <v>4.3</v>
      </c>
      <c r="AY372">
        <v>4.8</v>
      </c>
      <c r="AZ372">
        <v>3</v>
      </c>
      <c r="BA372">
        <v>1</v>
      </c>
      <c r="BB372">
        <v>46</v>
      </c>
      <c r="BC372">
        <v>26</v>
      </c>
      <c r="BD372">
        <v>40.729999999999997</v>
      </c>
      <c r="BE372">
        <v>203</v>
      </c>
      <c r="BF372">
        <v>88.5</v>
      </c>
      <c r="BG372">
        <v>45</v>
      </c>
      <c r="BH372">
        <v>26</v>
      </c>
      <c r="BI372">
        <v>40.270000000000003</v>
      </c>
      <c r="BJ372">
        <v>199</v>
      </c>
      <c r="BK372">
        <v>89.5</v>
      </c>
      <c r="BL372">
        <v>341</v>
      </c>
      <c r="BM372">
        <v>4.8924000000000003</v>
      </c>
    </row>
    <row r="373" spans="1:65" x14ac:dyDescent="0.25">
      <c r="A373" t="s">
        <v>436</v>
      </c>
      <c r="B373" t="s">
        <v>1439</v>
      </c>
      <c r="C373" t="s">
        <v>2160</v>
      </c>
      <c r="D373" s="1">
        <v>45376</v>
      </c>
      <c r="E373" s="1">
        <v>45413</v>
      </c>
      <c r="F373" s="1">
        <v>45500</v>
      </c>
      <c r="G373" t="s">
        <v>2162</v>
      </c>
      <c r="H373" t="s">
        <v>2168</v>
      </c>
      <c r="I373" t="s">
        <v>2174</v>
      </c>
      <c r="J373">
        <v>19032</v>
      </c>
      <c r="K373">
        <v>571</v>
      </c>
      <c r="L373">
        <v>6.4</v>
      </c>
      <c r="M373">
        <v>4.0999999999999996</v>
      </c>
      <c r="N373">
        <v>3</v>
      </c>
      <c r="O373">
        <v>4026</v>
      </c>
      <c r="P373" t="s">
        <v>2176</v>
      </c>
      <c r="Q373">
        <v>10</v>
      </c>
      <c r="R373">
        <v>14</v>
      </c>
      <c r="S373">
        <v>28</v>
      </c>
      <c r="T373">
        <v>691</v>
      </c>
      <c r="U373" t="s">
        <v>2182</v>
      </c>
      <c r="W373" t="s">
        <v>2209</v>
      </c>
      <c r="X373" t="s">
        <v>2211</v>
      </c>
      <c r="Y373" t="s">
        <v>2213</v>
      </c>
      <c r="Z373" s="1">
        <v>45484</v>
      </c>
      <c r="AA373" s="1">
        <v>45487</v>
      </c>
      <c r="AB373" t="s">
        <v>2214</v>
      </c>
      <c r="AC373" t="s">
        <v>2209</v>
      </c>
      <c r="AD373" t="s">
        <v>2219</v>
      </c>
      <c r="AE373" t="s">
        <v>2166</v>
      </c>
      <c r="AF373" t="s">
        <v>2162</v>
      </c>
      <c r="AG373" t="s">
        <v>2222</v>
      </c>
      <c r="AH373">
        <v>52</v>
      </c>
      <c r="AI373">
        <v>71</v>
      </c>
      <c r="AJ373">
        <v>19</v>
      </c>
      <c r="AK373">
        <v>5</v>
      </c>
      <c r="AL373" t="s">
        <v>2224</v>
      </c>
      <c r="AM373">
        <v>0</v>
      </c>
      <c r="AN373" t="s">
        <v>2176</v>
      </c>
      <c r="AO373" t="s">
        <v>2176</v>
      </c>
      <c r="AP373" t="s">
        <v>2176</v>
      </c>
      <c r="AQ373">
        <v>26.24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4.8</v>
      </c>
      <c r="AX373">
        <v>4.2</v>
      </c>
      <c r="AY373">
        <v>4.2</v>
      </c>
      <c r="AZ373">
        <v>0</v>
      </c>
      <c r="BA373">
        <v>2</v>
      </c>
      <c r="BB373">
        <v>43</v>
      </c>
      <c r="BC373">
        <v>27</v>
      </c>
      <c r="BD373">
        <v>37.299999999999997</v>
      </c>
      <c r="BE373">
        <v>193</v>
      </c>
      <c r="BF373">
        <v>86.7</v>
      </c>
      <c r="BG373">
        <v>24</v>
      </c>
      <c r="BH373">
        <v>27</v>
      </c>
      <c r="BI373">
        <v>21.44</v>
      </c>
      <c r="BJ373">
        <v>108</v>
      </c>
      <c r="BK373">
        <v>89.3</v>
      </c>
      <c r="BL373">
        <v>301</v>
      </c>
      <c r="BM373">
        <v>3.6516000000000002</v>
      </c>
    </row>
    <row r="374" spans="1:65" x14ac:dyDescent="0.25">
      <c r="A374" t="s">
        <v>437</v>
      </c>
      <c r="B374" t="s">
        <v>1265</v>
      </c>
      <c r="C374" t="s">
        <v>2160</v>
      </c>
      <c r="D374" s="1">
        <v>45432</v>
      </c>
      <c r="E374" s="1">
        <v>45470</v>
      </c>
      <c r="F374" s="1">
        <v>45510</v>
      </c>
      <c r="G374" t="s">
        <v>2163</v>
      </c>
      <c r="H374" t="s">
        <v>2169</v>
      </c>
      <c r="I374" t="s">
        <v>2173</v>
      </c>
      <c r="J374">
        <v>6803</v>
      </c>
      <c r="K374">
        <v>205</v>
      </c>
      <c r="L374">
        <v>11.4</v>
      </c>
      <c r="M374">
        <v>13.4</v>
      </c>
      <c r="N374">
        <v>6</v>
      </c>
      <c r="O374">
        <v>13508</v>
      </c>
      <c r="P374" t="s">
        <v>2177</v>
      </c>
      <c r="Q374">
        <v>7</v>
      </c>
      <c r="R374">
        <v>10</v>
      </c>
      <c r="S374">
        <v>8</v>
      </c>
      <c r="T374">
        <v>892</v>
      </c>
      <c r="U374" t="s">
        <v>2166</v>
      </c>
      <c r="V374" t="s">
        <v>2172</v>
      </c>
      <c r="W374" t="s">
        <v>2209</v>
      </c>
      <c r="X374" t="s">
        <v>2211</v>
      </c>
      <c r="Y374" t="s">
        <v>2212</v>
      </c>
      <c r="Z374" s="1">
        <v>45510</v>
      </c>
      <c r="AA374" s="1">
        <v>45515</v>
      </c>
      <c r="AB374" t="s">
        <v>2214</v>
      </c>
      <c r="AC374" t="s">
        <v>2209</v>
      </c>
      <c r="AD374" t="s">
        <v>2218</v>
      </c>
      <c r="AE374" t="s">
        <v>2166</v>
      </c>
      <c r="AG374" t="s">
        <v>2221</v>
      </c>
      <c r="AH374">
        <v>25</v>
      </c>
      <c r="AI374">
        <v>40</v>
      </c>
      <c r="AJ374">
        <v>15</v>
      </c>
      <c r="AK374">
        <v>6</v>
      </c>
      <c r="AL374" t="s">
        <v>2223</v>
      </c>
      <c r="AM374">
        <v>0</v>
      </c>
      <c r="AN374" t="s">
        <v>2175</v>
      </c>
      <c r="AO374" t="s">
        <v>2177</v>
      </c>
      <c r="AP374" t="s">
        <v>2177</v>
      </c>
      <c r="AQ374">
        <v>152.76</v>
      </c>
      <c r="AR374">
        <v>2</v>
      </c>
      <c r="AS374">
        <v>3</v>
      </c>
      <c r="AT374">
        <v>2</v>
      </c>
      <c r="AU374">
        <v>2</v>
      </c>
      <c r="AV374">
        <v>2.333333333333333</v>
      </c>
      <c r="AW374">
        <v>4.8</v>
      </c>
      <c r="AY374">
        <v>4.4000000000000004</v>
      </c>
      <c r="AZ374">
        <v>0</v>
      </c>
      <c r="BA374">
        <v>3</v>
      </c>
      <c r="BB374">
        <v>45</v>
      </c>
      <c r="BC374">
        <v>25</v>
      </c>
      <c r="BD374">
        <v>39.200000000000003</v>
      </c>
      <c r="BE374">
        <v>186</v>
      </c>
      <c r="BF374">
        <v>87.1</v>
      </c>
      <c r="BG374">
        <v>30</v>
      </c>
      <c r="BH374">
        <v>25</v>
      </c>
      <c r="BI374">
        <v>26.48</v>
      </c>
      <c r="BJ374">
        <v>121</v>
      </c>
      <c r="BK374">
        <v>88.3</v>
      </c>
      <c r="BL374">
        <v>186</v>
      </c>
      <c r="BM374">
        <v>1.4626999999999999</v>
      </c>
    </row>
    <row r="375" spans="1:65" x14ac:dyDescent="0.25">
      <c r="A375" t="s">
        <v>438</v>
      </c>
      <c r="B375" t="s">
        <v>1227</v>
      </c>
      <c r="C375" t="s">
        <v>2158</v>
      </c>
      <c r="D375" s="1">
        <v>45432</v>
      </c>
      <c r="E375" s="1">
        <v>45467</v>
      </c>
      <c r="F375" s="1">
        <v>45512</v>
      </c>
      <c r="G375" t="s">
        <v>2163</v>
      </c>
      <c r="H375" t="s">
        <v>2169</v>
      </c>
      <c r="I375" t="s">
        <v>2173</v>
      </c>
      <c r="J375">
        <v>6373</v>
      </c>
      <c r="K375">
        <v>192</v>
      </c>
      <c r="L375">
        <v>9.1</v>
      </c>
      <c r="M375">
        <v>8</v>
      </c>
      <c r="N375">
        <v>5</v>
      </c>
      <c r="O375">
        <v>13327</v>
      </c>
      <c r="P375" t="s">
        <v>2176</v>
      </c>
      <c r="Q375">
        <v>7</v>
      </c>
      <c r="R375">
        <v>10</v>
      </c>
      <c r="S375">
        <v>9</v>
      </c>
      <c r="T375">
        <v>724</v>
      </c>
      <c r="U375" t="s">
        <v>2181</v>
      </c>
      <c r="W375" t="s">
        <v>2209</v>
      </c>
      <c r="X375" t="s">
        <v>2211</v>
      </c>
      <c r="Y375" t="s">
        <v>2213</v>
      </c>
      <c r="Z375" s="1">
        <v>45508</v>
      </c>
      <c r="AA375" s="1">
        <v>45508</v>
      </c>
      <c r="AB375" t="s">
        <v>2214</v>
      </c>
      <c r="AC375" t="s">
        <v>2209</v>
      </c>
      <c r="AD375" t="s">
        <v>2219</v>
      </c>
      <c r="AE375" t="s">
        <v>2166</v>
      </c>
      <c r="AF375" t="s">
        <v>2163</v>
      </c>
      <c r="AG375" t="s">
        <v>2222</v>
      </c>
      <c r="AH375">
        <v>26</v>
      </c>
      <c r="AI375">
        <v>41</v>
      </c>
      <c r="AJ375">
        <v>15</v>
      </c>
      <c r="AK375">
        <v>6</v>
      </c>
      <c r="AL375" t="s">
        <v>2223</v>
      </c>
      <c r="AM375">
        <v>0</v>
      </c>
      <c r="AN375" t="s">
        <v>2177</v>
      </c>
      <c r="AO375" t="s">
        <v>2177</v>
      </c>
      <c r="AP375" t="s">
        <v>2177</v>
      </c>
      <c r="AQ375">
        <v>72.8</v>
      </c>
      <c r="AR375">
        <v>1</v>
      </c>
      <c r="AS375">
        <v>2</v>
      </c>
      <c r="AT375">
        <v>2</v>
      </c>
      <c r="AU375">
        <v>2</v>
      </c>
      <c r="AV375">
        <v>2</v>
      </c>
      <c r="AW375">
        <v>4.8</v>
      </c>
      <c r="AX375">
        <v>4.4000000000000004</v>
      </c>
      <c r="AY375">
        <v>4.4000000000000004</v>
      </c>
      <c r="AZ375">
        <v>2</v>
      </c>
      <c r="BA375">
        <v>3</v>
      </c>
      <c r="BB375">
        <v>45</v>
      </c>
      <c r="BC375">
        <v>25</v>
      </c>
      <c r="BD375">
        <v>39.200000000000003</v>
      </c>
      <c r="BE375">
        <v>186</v>
      </c>
      <c r="BF375">
        <v>87.1</v>
      </c>
      <c r="BG375">
        <v>30</v>
      </c>
      <c r="BH375">
        <v>25</v>
      </c>
      <c r="BI375">
        <v>26.48</v>
      </c>
      <c r="BJ375">
        <v>121</v>
      </c>
      <c r="BK375">
        <v>88.3</v>
      </c>
      <c r="BL375">
        <v>307</v>
      </c>
      <c r="BM375">
        <v>1.3702000000000001</v>
      </c>
    </row>
    <row r="376" spans="1:65" x14ac:dyDescent="0.25">
      <c r="A376" t="s">
        <v>439</v>
      </c>
      <c r="B376" t="s">
        <v>1424</v>
      </c>
      <c r="C376" t="s">
        <v>2157</v>
      </c>
      <c r="D376" s="1">
        <v>45383</v>
      </c>
      <c r="E376" s="1">
        <v>45427</v>
      </c>
      <c r="F376" s="1">
        <v>45619</v>
      </c>
      <c r="G376" t="s">
        <v>2164</v>
      </c>
      <c r="H376" t="s">
        <v>2170</v>
      </c>
      <c r="I376" t="s">
        <v>2174</v>
      </c>
      <c r="J376">
        <v>57718</v>
      </c>
      <c r="K376">
        <v>1732</v>
      </c>
      <c r="L376">
        <v>1.1000000000000001</v>
      </c>
      <c r="M376">
        <v>5.3</v>
      </c>
      <c r="N376">
        <v>2</v>
      </c>
      <c r="O376">
        <v>2813</v>
      </c>
      <c r="P376" t="s">
        <v>2176</v>
      </c>
      <c r="Q376">
        <v>18</v>
      </c>
      <c r="R376">
        <v>30</v>
      </c>
      <c r="S376">
        <v>100</v>
      </c>
      <c r="T376">
        <v>578</v>
      </c>
      <c r="U376" t="s">
        <v>2203</v>
      </c>
      <c r="W376" t="s">
        <v>2209</v>
      </c>
      <c r="X376" t="s">
        <v>2211</v>
      </c>
      <c r="Y376" t="s">
        <v>2213</v>
      </c>
      <c r="Z376" s="1">
        <v>45610</v>
      </c>
      <c r="AA376" s="1">
        <v>45613</v>
      </c>
      <c r="AB376" t="s">
        <v>2214</v>
      </c>
      <c r="AC376" t="s">
        <v>2209</v>
      </c>
      <c r="AD376" t="s">
        <v>2219</v>
      </c>
      <c r="AE376" t="s">
        <v>2162</v>
      </c>
      <c r="AF376" t="s">
        <v>2166</v>
      </c>
      <c r="AG376" t="s">
        <v>2222</v>
      </c>
      <c r="AH376">
        <v>148</v>
      </c>
      <c r="AI376">
        <v>183</v>
      </c>
      <c r="AJ376">
        <v>35</v>
      </c>
      <c r="AK376">
        <v>5</v>
      </c>
      <c r="AL376" t="s">
        <v>2224</v>
      </c>
      <c r="AM376">
        <v>0</v>
      </c>
      <c r="AN376" t="s">
        <v>2176</v>
      </c>
      <c r="AO376" t="s">
        <v>2176</v>
      </c>
      <c r="AP376" t="s">
        <v>2176</v>
      </c>
      <c r="AQ376">
        <v>5.83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4.2</v>
      </c>
      <c r="AX376">
        <v>4.8</v>
      </c>
      <c r="AY376">
        <v>4.5</v>
      </c>
      <c r="AZ376">
        <v>1</v>
      </c>
      <c r="BA376">
        <v>2</v>
      </c>
      <c r="BB376">
        <v>24</v>
      </c>
      <c r="BC376">
        <v>27</v>
      </c>
      <c r="BD376">
        <v>21.44</v>
      </c>
      <c r="BE376">
        <v>108</v>
      </c>
      <c r="BF376">
        <v>89.3</v>
      </c>
      <c r="BG376">
        <v>35</v>
      </c>
      <c r="BH376">
        <v>27</v>
      </c>
      <c r="BI376">
        <v>30.96</v>
      </c>
      <c r="BJ376">
        <v>158</v>
      </c>
      <c r="BK376">
        <v>88.5</v>
      </c>
      <c r="BL376">
        <v>301</v>
      </c>
      <c r="BM376">
        <v>19.786799999999999</v>
      </c>
    </row>
    <row r="377" spans="1:65" x14ac:dyDescent="0.25">
      <c r="A377" t="s">
        <v>440</v>
      </c>
      <c r="B377" t="s">
        <v>1439</v>
      </c>
      <c r="C377" t="s">
        <v>2160</v>
      </c>
      <c r="D377" s="1">
        <v>45376</v>
      </c>
      <c r="E377" s="1">
        <v>45417</v>
      </c>
      <c r="F377" s="1">
        <v>45458</v>
      </c>
      <c r="G377" t="s">
        <v>2162</v>
      </c>
      <c r="H377" t="s">
        <v>2168</v>
      </c>
      <c r="I377" t="s">
        <v>2174</v>
      </c>
      <c r="J377">
        <v>3816</v>
      </c>
      <c r="K377">
        <v>115</v>
      </c>
      <c r="L377">
        <v>2.2999999999999998</v>
      </c>
      <c r="M377">
        <v>7.6</v>
      </c>
      <c r="N377">
        <v>1</v>
      </c>
      <c r="O377">
        <v>1647</v>
      </c>
      <c r="P377" t="s">
        <v>2176</v>
      </c>
      <c r="Q377">
        <v>5</v>
      </c>
      <c r="R377">
        <v>8</v>
      </c>
      <c r="S377">
        <v>6</v>
      </c>
      <c r="T377">
        <v>650</v>
      </c>
      <c r="U377" t="s">
        <v>2162</v>
      </c>
      <c r="V377" t="s">
        <v>2168</v>
      </c>
      <c r="W377" t="s">
        <v>2208</v>
      </c>
      <c r="X377" t="s">
        <v>2210</v>
      </c>
      <c r="Y377" t="s">
        <v>2212</v>
      </c>
      <c r="Z377" s="1">
        <v>45449</v>
      </c>
      <c r="AA377" s="1">
        <v>45452</v>
      </c>
      <c r="AB377" t="s">
        <v>2214</v>
      </c>
      <c r="AC377" t="s">
        <v>2209</v>
      </c>
      <c r="AD377" t="s">
        <v>2216</v>
      </c>
      <c r="AE377" t="s">
        <v>2162</v>
      </c>
      <c r="AG377" t="s">
        <v>2220</v>
      </c>
      <c r="AH377">
        <v>19</v>
      </c>
      <c r="AI377">
        <v>32</v>
      </c>
      <c r="AJ377">
        <v>13</v>
      </c>
      <c r="AK377">
        <v>5</v>
      </c>
      <c r="AL377" t="s">
        <v>2224</v>
      </c>
      <c r="AM377">
        <v>0</v>
      </c>
      <c r="AN377" t="s">
        <v>2176</v>
      </c>
      <c r="AO377" t="s">
        <v>2176</v>
      </c>
      <c r="AP377" t="s">
        <v>2176</v>
      </c>
      <c r="AQ377">
        <v>17.48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4.2</v>
      </c>
      <c r="AY377">
        <v>4.2</v>
      </c>
      <c r="AZ377">
        <v>0</v>
      </c>
      <c r="BA377">
        <v>2</v>
      </c>
      <c r="BB377">
        <v>24</v>
      </c>
      <c r="BC377">
        <v>27</v>
      </c>
      <c r="BD377">
        <v>21.44</v>
      </c>
      <c r="BE377">
        <v>108</v>
      </c>
      <c r="BF377">
        <v>89.3</v>
      </c>
      <c r="BG377">
        <v>24</v>
      </c>
      <c r="BH377">
        <v>27</v>
      </c>
      <c r="BI377">
        <v>21.44</v>
      </c>
      <c r="BJ377">
        <v>108</v>
      </c>
      <c r="BK377">
        <v>89.3</v>
      </c>
      <c r="BL377">
        <v>108</v>
      </c>
      <c r="BM377">
        <v>1.3082</v>
      </c>
    </row>
    <row r="378" spans="1:65" x14ac:dyDescent="0.25">
      <c r="A378" t="s">
        <v>441</v>
      </c>
      <c r="B378" t="s">
        <v>1385</v>
      </c>
      <c r="C378" t="s">
        <v>2158</v>
      </c>
      <c r="D378" s="1">
        <v>45453</v>
      </c>
      <c r="E378" s="1">
        <v>45486</v>
      </c>
      <c r="F378" s="1">
        <v>45569</v>
      </c>
      <c r="G378" t="s">
        <v>2166</v>
      </c>
      <c r="H378" t="s">
        <v>2172</v>
      </c>
      <c r="I378" t="s">
        <v>2174</v>
      </c>
      <c r="J378">
        <v>12717</v>
      </c>
      <c r="K378">
        <v>382</v>
      </c>
      <c r="L378">
        <v>7.1</v>
      </c>
      <c r="M378">
        <v>1.2</v>
      </c>
      <c r="N378">
        <v>2</v>
      </c>
      <c r="O378">
        <v>6010</v>
      </c>
      <c r="P378" t="s">
        <v>2176</v>
      </c>
      <c r="Q378">
        <v>10</v>
      </c>
      <c r="R378">
        <v>14</v>
      </c>
      <c r="S378">
        <v>24</v>
      </c>
      <c r="T378">
        <v>546</v>
      </c>
      <c r="U378" t="s">
        <v>2203</v>
      </c>
      <c r="W378" t="s">
        <v>2209</v>
      </c>
      <c r="X378" t="s">
        <v>2211</v>
      </c>
      <c r="Y378" t="s">
        <v>2213</v>
      </c>
      <c r="Z378" s="1">
        <v>45553</v>
      </c>
      <c r="AA378" s="1">
        <v>45557</v>
      </c>
      <c r="AB378" t="s">
        <v>2214</v>
      </c>
      <c r="AC378" t="s">
        <v>2209</v>
      </c>
      <c r="AD378" t="s">
        <v>2219</v>
      </c>
      <c r="AE378" t="s">
        <v>2162</v>
      </c>
      <c r="AF378" t="s">
        <v>2166</v>
      </c>
      <c r="AG378" t="s">
        <v>2222</v>
      </c>
      <c r="AH378">
        <v>48</v>
      </c>
      <c r="AI378">
        <v>67</v>
      </c>
      <c r="AJ378">
        <v>19</v>
      </c>
      <c r="AK378">
        <v>7</v>
      </c>
      <c r="AL378" t="s">
        <v>2226</v>
      </c>
      <c r="AM378">
        <v>0</v>
      </c>
      <c r="AN378" t="s">
        <v>2176</v>
      </c>
      <c r="AO378" t="s">
        <v>2176</v>
      </c>
      <c r="AP378" t="s">
        <v>2176</v>
      </c>
      <c r="AQ378">
        <v>8.52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4.2</v>
      </c>
      <c r="AX378">
        <v>4.8</v>
      </c>
      <c r="AY378">
        <v>4.8</v>
      </c>
      <c r="AZ378">
        <v>2</v>
      </c>
      <c r="BA378">
        <v>2</v>
      </c>
      <c r="BB378">
        <v>30</v>
      </c>
      <c r="BC378">
        <v>27</v>
      </c>
      <c r="BD378">
        <v>26.15</v>
      </c>
      <c r="BE378">
        <v>133</v>
      </c>
      <c r="BF378">
        <v>87.2</v>
      </c>
      <c r="BG378">
        <v>48</v>
      </c>
      <c r="BH378">
        <v>27</v>
      </c>
      <c r="BI378">
        <v>42.33</v>
      </c>
      <c r="BJ378">
        <v>216</v>
      </c>
      <c r="BK378">
        <v>88.2</v>
      </c>
      <c r="BL378">
        <v>349</v>
      </c>
      <c r="BM378">
        <v>3.5404</v>
      </c>
    </row>
    <row r="379" spans="1:65" x14ac:dyDescent="0.25">
      <c r="A379" t="s">
        <v>442</v>
      </c>
      <c r="B379" t="s">
        <v>1407</v>
      </c>
      <c r="C379" t="s">
        <v>2159</v>
      </c>
      <c r="D379" s="1">
        <v>45397</v>
      </c>
      <c r="E379" s="1">
        <v>45432</v>
      </c>
      <c r="F379" s="1">
        <v>45520</v>
      </c>
      <c r="G379" t="s">
        <v>2161</v>
      </c>
      <c r="H379" t="s">
        <v>2167</v>
      </c>
      <c r="I379" t="s">
        <v>2174</v>
      </c>
      <c r="J379">
        <v>19176</v>
      </c>
      <c r="K379">
        <v>576</v>
      </c>
      <c r="L379">
        <v>2.1</v>
      </c>
      <c r="M379">
        <v>1.8</v>
      </c>
      <c r="N379">
        <v>1</v>
      </c>
      <c r="O379">
        <v>2781</v>
      </c>
      <c r="P379" t="s">
        <v>2176</v>
      </c>
      <c r="Q379">
        <v>10</v>
      </c>
      <c r="R379">
        <v>14</v>
      </c>
      <c r="S379">
        <v>29</v>
      </c>
      <c r="T379">
        <v>675</v>
      </c>
      <c r="U379" t="s">
        <v>2188</v>
      </c>
      <c r="W379" t="s">
        <v>2209</v>
      </c>
      <c r="X379" t="s">
        <v>2211</v>
      </c>
      <c r="Y379" t="s">
        <v>2213</v>
      </c>
      <c r="Z379" s="1">
        <v>45504</v>
      </c>
      <c r="AA379" s="1">
        <v>45508</v>
      </c>
      <c r="AB379" t="s">
        <v>2214</v>
      </c>
      <c r="AC379" t="s">
        <v>2209</v>
      </c>
      <c r="AD379" t="s">
        <v>2219</v>
      </c>
      <c r="AE379" t="s">
        <v>2162</v>
      </c>
      <c r="AF379" t="s">
        <v>2165</v>
      </c>
      <c r="AG379" t="s">
        <v>2222</v>
      </c>
      <c r="AH379">
        <v>53</v>
      </c>
      <c r="AI379">
        <v>72</v>
      </c>
      <c r="AJ379">
        <v>19</v>
      </c>
      <c r="AK379">
        <v>5</v>
      </c>
      <c r="AL379" t="s">
        <v>2224</v>
      </c>
      <c r="AM379">
        <v>0</v>
      </c>
      <c r="AN379" t="s">
        <v>2176</v>
      </c>
      <c r="AO379" t="s">
        <v>2176</v>
      </c>
      <c r="AP379" t="s">
        <v>2176</v>
      </c>
      <c r="AQ379">
        <v>3.78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4.2</v>
      </c>
      <c r="AX379">
        <v>4.5999999999999996</v>
      </c>
      <c r="AY379">
        <v>4.3</v>
      </c>
      <c r="AZ379">
        <v>3</v>
      </c>
      <c r="BA379">
        <v>2</v>
      </c>
      <c r="BB379">
        <v>24</v>
      </c>
      <c r="BC379">
        <v>27</v>
      </c>
      <c r="BD379">
        <v>21.44</v>
      </c>
      <c r="BE379">
        <v>108</v>
      </c>
      <c r="BF379">
        <v>89.3</v>
      </c>
      <c r="BG379">
        <v>33</v>
      </c>
      <c r="BH379">
        <v>27</v>
      </c>
      <c r="BI379">
        <v>28.96</v>
      </c>
      <c r="BJ379">
        <v>147</v>
      </c>
      <c r="BK379">
        <v>87.8</v>
      </c>
      <c r="BL379">
        <v>266</v>
      </c>
      <c r="BM379">
        <v>6.5739000000000001</v>
      </c>
    </row>
    <row r="380" spans="1:65" x14ac:dyDescent="0.25">
      <c r="A380" t="s">
        <v>443</v>
      </c>
      <c r="B380" t="s">
        <v>1217</v>
      </c>
      <c r="C380" t="s">
        <v>2157</v>
      </c>
      <c r="D380" s="1">
        <v>45320</v>
      </c>
      <c r="E380" s="1">
        <v>45351</v>
      </c>
      <c r="F380" s="1">
        <v>45519</v>
      </c>
      <c r="G380" t="s">
        <v>2165</v>
      </c>
      <c r="H380" t="s">
        <v>2171</v>
      </c>
      <c r="I380" t="s">
        <v>2174</v>
      </c>
      <c r="J380">
        <v>48300</v>
      </c>
      <c r="K380">
        <v>1449</v>
      </c>
      <c r="L380">
        <v>6.1</v>
      </c>
      <c r="M380">
        <v>5.2</v>
      </c>
      <c r="N380">
        <v>3</v>
      </c>
      <c r="O380">
        <v>2885</v>
      </c>
      <c r="P380" t="s">
        <v>2176</v>
      </c>
      <c r="Q380">
        <v>18</v>
      </c>
      <c r="R380">
        <v>30</v>
      </c>
      <c r="S380">
        <v>79</v>
      </c>
      <c r="T380">
        <v>618</v>
      </c>
      <c r="U380" t="s">
        <v>2189</v>
      </c>
      <c r="W380" t="s">
        <v>2209</v>
      </c>
      <c r="X380" t="s">
        <v>2211</v>
      </c>
      <c r="Y380" t="s">
        <v>2213</v>
      </c>
      <c r="Z380" s="1">
        <v>45510</v>
      </c>
      <c r="AA380" s="1">
        <v>45514</v>
      </c>
      <c r="AB380" t="s">
        <v>2214</v>
      </c>
      <c r="AC380" t="s">
        <v>2209</v>
      </c>
      <c r="AD380" t="s">
        <v>2219</v>
      </c>
      <c r="AE380" t="s">
        <v>2165</v>
      </c>
      <c r="AF380" t="s">
        <v>2166</v>
      </c>
      <c r="AG380" t="s">
        <v>2222</v>
      </c>
      <c r="AH380">
        <v>127</v>
      </c>
      <c r="AI380">
        <v>159</v>
      </c>
      <c r="AJ380">
        <v>32</v>
      </c>
      <c r="AK380">
        <v>2</v>
      </c>
      <c r="AL380" t="s">
        <v>2228</v>
      </c>
      <c r="AM380">
        <v>0</v>
      </c>
      <c r="AN380" t="s">
        <v>2177</v>
      </c>
      <c r="AO380" t="s">
        <v>2176</v>
      </c>
      <c r="AP380" t="s">
        <v>2176</v>
      </c>
      <c r="AQ380">
        <v>31.72</v>
      </c>
      <c r="AR380">
        <v>1</v>
      </c>
      <c r="AS380">
        <v>2</v>
      </c>
      <c r="AT380">
        <v>1</v>
      </c>
      <c r="AU380">
        <v>1</v>
      </c>
      <c r="AV380">
        <v>1.333333333333333</v>
      </c>
      <c r="AW380">
        <v>4.5999999999999996</v>
      </c>
      <c r="AX380">
        <v>4.8</v>
      </c>
      <c r="AY380">
        <v>4.5999999999999996</v>
      </c>
      <c r="AZ380">
        <v>1</v>
      </c>
      <c r="BA380">
        <v>2</v>
      </c>
      <c r="BB380">
        <v>36</v>
      </c>
      <c r="BC380">
        <v>24</v>
      </c>
      <c r="BD380">
        <v>31.79</v>
      </c>
      <c r="BE380">
        <v>142</v>
      </c>
      <c r="BF380">
        <v>88.3</v>
      </c>
      <c r="BG380">
        <v>36</v>
      </c>
      <c r="BH380">
        <v>24</v>
      </c>
      <c r="BI380">
        <v>31.79</v>
      </c>
      <c r="BJ380">
        <v>142</v>
      </c>
      <c r="BK380">
        <v>88.3</v>
      </c>
      <c r="BL380">
        <v>302</v>
      </c>
      <c r="BM380">
        <v>14.1684</v>
      </c>
    </row>
    <row r="381" spans="1:65" x14ac:dyDescent="0.25">
      <c r="A381" t="s">
        <v>444</v>
      </c>
      <c r="B381" t="s">
        <v>1391</v>
      </c>
      <c r="C381" t="s">
        <v>2160</v>
      </c>
      <c r="D381" s="1">
        <v>45313</v>
      </c>
      <c r="E381" s="1">
        <v>45350</v>
      </c>
      <c r="F381" s="1">
        <v>45410</v>
      </c>
      <c r="G381" t="s">
        <v>2163</v>
      </c>
      <c r="H381" t="s">
        <v>2169</v>
      </c>
      <c r="I381" t="s">
        <v>2175</v>
      </c>
      <c r="J381">
        <v>17932</v>
      </c>
      <c r="K381">
        <v>538</v>
      </c>
      <c r="L381">
        <v>11.4</v>
      </c>
      <c r="M381">
        <v>14</v>
      </c>
      <c r="N381">
        <v>7</v>
      </c>
      <c r="O381">
        <v>15291</v>
      </c>
      <c r="P381" t="s">
        <v>2178</v>
      </c>
      <c r="Q381">
        <v>10</v>
      </c>
      <c r="R381">
        <v>14</v>
      </c>
      <c r="S381">
        <v>20</v>
      </c>
      <c r="T381">
        <v>940</v>
      </c>
      <c r="U381" t="s">
        <v>2165</v>
      </c>
      <c r="V381" t="s">
        <v>2171</v>
      </c>
      <c r="W381" t="s">
        <v>2209</v>
      </c>
      <c r="X381" t="s">
        <v>2211</v>
      </c>
      <c r="Y381" t="s">
        <v>2212</v>
      </c>
      <c r="Z381" s="1">
        <v>45412</v>
      </c>
      <c r="AA381" s="1">
        <v>45416</v>
      </c>
      <c r="AB381" t="s">
        <v>2215</v>
      </c>
      <c r="AC381" t="s">
        <v>2208</v>
      </c>
      <c r="AD381" t="s">
        <v>2218</v>
      </c>
      <c r="AE381" t="s">
        <v>2165</v>
      </c>
      <c r="AG381" t="s">
        <v>2221</v>
      </c>
      <c r="AH381">
        <v>44</v>
      </c>
      <c r="AI381">
        <v>62</v>
      </c>
      <c r="AJ381">
        <v>18</v>
      </c>
      <c r="AK381">
        <v>2</v>
      </c>
      <c r="AL381" t="s">
        <v>2228</v>
      </c>
      <c r="AM381">
        <v>0</v>
      </c>
      <c r="AN381" t="s">
        <v>2175</v>
      </c>
      <c r="AO381" t="s">
        <v>2175</v>
      </c>
      <c r="AP381" t="s">
        <v>2175</v>
      </c>
      <c r="AQ381">
        <v>159.6</v>
      </c>
      <c r="AR381">
        <v>3</v>
      </c>
      <c r="AS381">
        <v>3</v>
      </c>
      <c r="AT381">
        <v>3</v>
      </c>
      <c r="AU381">
        <v>3</v>
      </c>
      <c r="AV381">
        <v>3</v>
      </c>
      <c r="AW381">
        <v>4.5999999999999996</v>
      </c>
      <c r="AY381">
        <v>4.4000000000000004</v>
      </c>
      <c r="AZ381">
        <v>0</v>
      </c>
      <c r="BA381">
        <v>0</v>
      </c>
      <c r="BB381">
        <v>36</v>
      </c>
      <c r="BC381">
        <v>24</v>
      </c>
      <c r="BD381">
        <v>31.79</v>
      </c>
      <c r="BE381">
        <v>142</v>
      </c>
      <c r="BF381">
        <v>88.3</v>
      </c>
      <c r="BG381">
        <v>30</v>
      </c>
      <c r="BH381">
        <v>24</v>
      </c>
      <c r="BI381">
        <v>26.21</v>
      </c>
      <c r="BJ381">
        <v>116</v>
      </c>
      <c r="BK381">
        <v>87.4</v>
      </c>
      <c r="BL381">
        <v>142</v>
      </c>
      <c r="BM381">
        <v>5.2602000000000002</v>
      </c>
    </row>
    <row r="382" spans="1:65" x14ac:dyDescent="0.25">
      <c r="A382" t="s">
        <v>445</v>
      </c>
      <c r="B382" t="s">
        <v>1322</v>
      </c>
      <c r="C382" t="s">
        <v>2160</v>
      </c>
      <c r="D382" s="1">
        <v>45369</v>
      </c>
      <c r="E382" s="1">
        <v>45411</v>
      </c>
      <c r="F382" s="1">
        <v>45479</v>
      </c>
      <c r="G382" t="s">
        <v>2163</v>
      </c>
      <c r="H382" t="s">
        <v>2169</v>
      </c>
      <c r="I382" t="s">
        <v>2176</v>
      </c>
      <c r="J382">
        <v>11868</v>
      </c>
      <c r="K382">
        <v>357</v>
      </c>
      <c r="L382">
        <v>3.3</v>
      </c>
      <c r="M382">
        <v>6.6</v>
      </c>
      <c r="N382">
        <v>3</v>
      </c>
      <c r="O382">
        <v>8003</v>
      </c>
      <c r="P382" t="s">
        <v>2176</v>
      </c>
      <c r="Q382">
        <v>10</v>
      </c>
      <c r="R382">
        <v>14</v>
      </c>
      <c r="S382">
        <v>17</v>
      </c>
      <c r="T382">
        <v>735</v>
      </c>
      <c r="U382" t="s">
        <v>2196</v>
      </c>
      <c r="W382" t="s">
        <v>2209</v>
      </c>
      <c r="X382" t="s">
        <v>2211</v>
      </c>
      <c r="Y382" t="s">
        <v>2213</v>
      </c>
      <c r="Z382" s="1">
        <v>45469</v>
      </c>
      <c r="AA382" s="1">
        <v>45473</v>
      </c>
      <c r="AB382" t="s">
        <v>2214</v>
      </c>
      <c r="AC382" t="s">
        <v>2209</v>
      </c>
      <c r="AD382" t="s">
        <v>2219</v>
      </c>
      <c r="AE382" t="s">
        <v>2165</v>
      </c>
      <c r="AF382" t="s">
        <v>2163</v>
      </c>
      <c r="AG382" t="s">
        <v>2222</v>
      </c>
      <c r="AH382">
        <v>41</v>
      </c>
      <c r="AI382">
        <v>58</v>
      </c>
      <c r="AJ382">
        <v>17</v>
      </c>
      <c r="AK382">
        <v>4</v>
      </c>
      <c r="AL382" t="s">
        <v>2225</v>
      </c>
      <c r="AM382">
        <v>0</v>
      </c>
      <c r="AN382" t="s">
        <v>2176</v>
      </c>
      <c r="AO382" t="s">
        <v>2176</v>
      </c>
      <c r="AP382" t="s">
        <v>2177</v>
      </c>
      <c r="AQ382">
        <v>21.78</v>
      </c>
      <c r="AR382">
        <v>1</v>
      </c>
      <c r="AS382">
        <v>1</v>
      </c>
      <c r="AT382">
        <v>1</v>
      </c>
      <c r="AU382">
        <v>2</v>
      </c>
      <c r="AV382">
        <v>1.333333333333333</v>
      </c>
      <c r="AW382">
        <v>4.5999999999999996</v>
      </c>
      <c r="AX382">
        <v>4.4000000000000004</v>
      </c>
      <c r="AY382">
        <v>4.4000000000000004</v>
      </c>
      <c r="AZ382">
        <v>0</v>
      </c>
      <c r="BA382">
        <v>1</v>
      </c>
      <c r="BB382">
        <v>46</v>
      </c>
      <c r="BC382">
        <v>26</v>
      </c>
      <c r="BD382">
        <v>40.729999999999997</v>
      </c>
      <c r="BE382">
        <v>203</v>
      </c>
      <c r="BF382">
        <v>88.5</v>
      </c>
      <c r="BG382">
        <v>31</v>
      </c>
      <c r="BH382">
        <v>26</v>
      </c>
      <c r="BI382">
        <v>27.23</v>
      </c>
      <c r="BJ382">
        <v>132</v>
      </c>
      <c r="BK382">
        <v>87.8</v>
      </c>
      <c r="BL382">
        <v>335</v>
      </c>
      <c r="BM382">
        <v>2.2482000000000002</v>
      </c>
    </row>
    <row r="383" spans="1:65" x14ac:dyDescent="0.25">
      <c r="A383" t="s">
        <v>446</v>
      </c>
      <c r="B383" t="s">
        <v>1295</v>
      </c>
      <c r="C383" t="s">
        <v>2158</v>
      </c>
      <c r="D383" s="1">
        <v>45439</v>
      </c>
      <c r="E383" s="1">
        <v>45478</v>
      </c>
      <c r="F383" s="1">
        <v>45534</v>
      </c>
      <c r="G383" t="s">
        <v>2166</v>
      </c>
      <c r="H383" t="s">
        <v>2172</v>
      </c>
      <c r="I383" t="s">
        <v>2174</v>
      </c>
      <c r="J383">
        <v>6922</v>
      </c>
      <c r="K383">
        <v>208</v>
      </c>
      <c r="L383">
        <v>4.5</v>
      </c>
      <c r="M383">
        <v>2.2000000000000002</v>
      </c>
      <c r="N383">
        <v>4</v>
      </c>
      <c r="O383">
        <v>4139</v>
      </c>
      <c r="P383" t="s">
        <v>2176</v>
      </c>
      <c r="Q383">
        <v>7</v>
      </c>
      <c r="R383">
        <v>10</v>
      </c>
      <c r="S383">
        <v>11</v>
      </c>
      <c r="T383">
        <v>641</v>
      </c>
      <c r="U383" t="s">
        <v>2203</v>
      </c>
      <c r="W383" t="s">
        <v>2209</v>
      </c>
      <c r="X383" t="s">
        <v>2211</v>
      </c>
      <c r="Y383" t="s">
        <v>2213</v>
      </c>
      <c r="Z383" s="1">
        <v>45522</v>
      </c>
      <c r="AA383" s="1">
        <v>45522</v>
      </c>
      <c r="AB383" t="s">
        <v>2214</v>
      </c>
      <c r="AC383" t="s">
        <v>2209</v>
      </c>
      <c r="AD383" t="s">
        <v>2219</v>
      </c>
      <c r="AE383" t="s">
        <v>2162</v>
      </c>
      <c r="AF383" t="s">
        <v>2166</v>
      </c>
      <c r="AG383" t="s">
        <v>2222</v>
      </c>
      <c r="AH383">
        <v>28</v>
      </c>
      <c r="AI383">
        <v>44</v>
      </c>
      <c r="AJ383">
        <v>16</v>
      </c>
      <c r="AK383">
        <v>7</v>
      </c>
      <c r="AL383" t="s">
        <v>2226</v>
      </c>
      <c r="AM383">
        <v>0</v>
      </c>
      <c r="AN383" t="s">
        <v>2176</v>
      </c>
      <c r="AO383" t="s">
        <v>2177</v>
      </c>
      <c r="AP383" t="s">
        <v>2176</v>
      </c>
      <c r="AQ383">
        <v>9.9</v>
      </c>
      <c r="AR383">
        <v>1</v>
      </c>
      <c r="AS383">
        <v>1</v>
      </c>
      <c r="AT383">
        <v>2</v>
      </c>
      <c r="AU383">
        <v>1</v>
      </c>
      <c r="AV383">
        <v>1.333333333333333</v>
      </c>
      <c r="AW383">
        <v>4.2</v>
      </c>
      <c r="AX383">
        <v>4.8</v>
      </c>
      <c r="AY383">
        <v>4.8</v>
      </c>
      <c r="AZ383">
        <v>2</v>
      </c>
      <c r="BA383">
        <v>2</v>
      </c>
      <c r="BB383">
        <v>30</v>
      </c>
      <c r="BC383">
        <v>27</v>
      </c>
      <c r="BD383">
        <v>26.15</v>
      </c>
      <c r="BE383">
        <v>133</v>
      </c>
      <c r="BF383">
        <v>87.2</v>
      </c>
      <c r="BG383">
        <v>48</v>
      </c>
      <c r="BH383">
        <v>27</v>
      </c>
      <c r="BI383">
        <v>42.33</v>
      </c>
      <c r="BJ383">
        <v>216</v>
      </c>
      <c r="BK383">
        <v>88.2</v>
      </c>
      <c r="BL383">
        <v>349</v>
      </c>
      <c r="BM383">
        <v>1.9271</v>
      </c>
    </row>
    <row r="384" spans="1:65" x14ac:dyDescent="0.25">
      <c r="A384" t="s">
        <v>447</v>
      </c>
      <c r="B384" t="s">
        <v>1402</v>
      </c>
      <c r="C384" t="s">
        <v>2157</v>
      </c>
      <c r="D384" s="1">
        <v>45432</v>
      </c>
      <c r="E384" s="1">
        <v>45475</v>
      </c>
      <c r="F384" s="1">
        <v>45620</v>
      </c>
      <c r="G384" t="s">
        <v>2164</v>
      </c>
      <c r="H384" t="s">
        <v>2170</v>
      </c>
      <c r="I384" t="s">
        <v>2173</v>
      </c>
      <c r="J384">
        <v>50312</v>
      </c>
      <c r="K384">
        <v>1510</v>
      </c>
      <c r="L384">
        <v>9.4</v>
      </c>
      <c r="M384">
        <v>10.4</v>
      </c>
      <c r="N384">
        <v>6</v>
      </c>
      <c r="O384">
        <v>11612</v>
      </c>
      <c r="P384" t="s">
        <v>2177</v>
      </c>
      <c r="Q384">
        <v>18</v>
      </c>
      <c r="R384">
        <v>30</v>
      </c>
      <c r="S384">
        <v>65</v>
      </c>
      <c r="T384">
        <v>776</v>
      </c>
      <c r="U384" t="s">
        <v>2162</v>
      </c>
      <c r="V384" t="s">
        <v>2168</v>
      </c>
      <c r="W384" t="s">
        <v>2209</v>
      </c>
      <c r="X384" t="s">
        <v>2211</v>
      </c>
      <c r="Y384" t="s">
        <v>2212</v>
      </c>
      <c r="Z384" s="1">
        <v>45617</v>
      </c>
      <c r="AA384" s="1">
        <v>45620</v>
      </c>
      <c r="AB384" t="s">
        <v>2214</v>
      </c>
      <c r="AC384" t="s">
        <v>2209</v>
      </c>
      <c r="AD384" t="s">
        <v>2218</v>
      </c>
      <c r="AE384" t="s">
        <v>2162</v>
      </c>
      <c r="AG384" t="s">
        <v>2221</v>
      </c>
      <c r="AH384">
        <v>113</v>
      </c>
      <c r="AI384">
        <v>142</v>
      </c>
      <c r="AJ384">
        <v>29</v>
      </c>
      <c r="AK384">
        <v>7</v>
      </c>
      <c r="AL384" t="s">
        <v>2226</v>
      </c>
      <c r="AM384">
        <v>0</v>
      </c>
      <c r="AN384" t="s">
        <v>2177</v>
      </c>
      <c r="AO384" t="s">
        <v>2177</v>
      </c>
      <c r="AP384" t="s">
        <v>2177</v>
      </c>
      <c r="AQ384">
        <v>97.76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4.2</v>
      </c>
      <c r="AY384">
        <v>4.5</v>
      </c>
      <c r="AZ384">
        <v>1</v>
      </c>
      <c r="BA384">
        <v>3</v>
      </c>
      <c r="BB384">
        <v>30</v>
      </c>
      <c r="BC384">
        <v>27</v>
      </c>
      <c r="BD384">
        <v>26.15</v>
      </c>
      <c r="BE384">
        <v>133</v>
      </c>
      <c r="BF384">
        <v>87.2</v>
      </c>
      <c r="BG384">
        <v>29</v>
      </c>
      <c r="BH384">
        <v>27</v>
      </c>
      <c r="BI384">
        <v>25.96</v>
      </c>
      <c r="BJ384">
        <v>130</v>
      </c>
      <c r="BK384">
        <v>89.5</v>
      </c>
      <c r="BL384">
        <v>133</v>
      </c>
      <c r="BM384">
        <v>14.0067</v>
      </c>
    </row>
    <row r="385" spans="1:65" x14ac:dyDescent="0.25">
      <c r="A385" t="s">
        <v>448</v>
      </c>
      <c r="B385" t="s">
        <v>1440</v>
      </c>
      <c r="C385" t="s">
        <v>2157</v>
      </c>
      <c r="D385" s="1">
        <v>45320</v>
      </c>
      <c r="E385" s="1">
        <v>45360</v>
      </c>
      <c r="F385" s="1">
        <v>45551</v>
      </c>
      <c r="G385" t="s">
        <v>2166</v>
      </c>
      <c r="H385" t="s">
        <v>2172</v>
      </c>
      <c r="I385" t="s">
        <v>2174</v>
      </c>
      <c r="J385">
        <v>54454</v>
      </c>
      <c r="K385">
        <v>1634</v>
      </c>
      <c r="L385">
        <v>2.6</v>
      </c>
      <c r="M385">
        <v>5</v>
      </c>
      <c r="N385">
        <v>1</v>
      </c>
      <c r="O385">
        <v>6291</v>
      </c>
      <c r="P385" t="s">
        <v>2176</v>
      </c>
      <c r="Q385">
        <v>18</v>
      </c>
      <c r="R385">
        <v>30</v>
      </c>
      <c r="S385">
        <v>96</v>
      </c>
      <c r="T385">
        <v>570</v>
      </c>
      <c r="U385" t="s">
        <v>2189</v>
      </c>
      <c r="W385" t="s">
        <v>2209</v>
      </c>
      <c r="X385" t="s">
        <v>2211</v>
      </c>
      <c r="Y385" t="s">
        <v>2213</v>
      </c>
      <c r="Z385" s="1">
        <v>45538</v>
      </c>
      <c r="AA385" s="1">
        <v>45542</v>
      </c>
      <c r="AB385" t="s">
        <v>2214</v>
      </c>
      <c r="AC385" t="s">
        <v>2209</v>
      </c>
      <c r="AD385" t="s">
        <v>2219</v>
      </c>
      <c r="AE385" t="s">
        <v>2165</v>
      </c>
      <c r="AF385" t="s">
        <v>2166</v>
      </c>
      <c r="AG385" t="s">
        <v>2222</v>
      </c>
      <c r="AH385">
        <v>144</v>
      </c>
      <c r="AI385">
        <v>178</v>
      </c>
      <c r="AJ385">
        <v>34</v>
      </c>
      <c r="AK385">
        <v>3</v>
      </c>
      <c r="AL385" t="s">
        <v>2227</v>
      </c>
      <c r="AM385">
        <v>0</v>
      </c>
      <c r="AN385" t="s">
        <v>2176</v>
      </c>
      <c r="AO385" t="s">
        <v>2176</v>
      </c>
      <c r="AP385" t="s">
        <v>2176</v>
      </c>
      <c r="AQ385">
        <v>13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4.5999999999999996</v>
      </c>
      <c r="AX385">
        <v>4.8</v>
      </c>
      <c r="AY385">
        <v>4.8</v>
      </c>
      <c r="AZ385">
        <v>1</v>
      </c>
      <c r="BA385">
        <v>2</v>
      </c>
      <c r="BB385">
        <v>48</v>
      </c>
      <c r="BC385">
        <v>26</v>
      </c>
      <c r="BD385">
        <v>42.38</v>
      </c>
      <c r="BE385">
        <v>212</v>
      </c>
      <c r="BF385">
        <v>88.3</v>
      </c>
      <c r="BG385">
        <v>49</v>
      </c>
      <c r="BH385">
        <v>26</v>
      </c>
      <c r="BI385">
        <v>43.12</v>
      </c>
      <c r="BJ385">
        <v>216</v>
      </c>
      <c r="BK385">
        <v>88</v>
      </c>
      <c r="BL385">
        <v>428</v>
      </c>
      <c r="BM385">
        <v>9.8773999999999997</v>
      </c>
    </row>
    <row r="386" spans="1:65" x14ac:dyDescent="0.25">
      <c r="A386" t="s">
        <v>449</v>
      </c>
      <c r="B386" t="s">
        <v>1283</v>
      </c>
      <c r="C386" t="s">
        <v>2159</v>
      </c>
      <c r="D386" s="1">
        <v>45348</v>
      </c>
      <c r="E386" s="1">
        <v>45387</v>
      </c>
      <c r="F386" s="1">
        <v>45447</v>
      </c>
      <c r="G386" t="s">
        <v>2161</v>
      </c>
      <c r="H386" t="s">
        <v>2167</v>
      </c>
      <c r="I386" t="s">
        <v>2173</v>
      </c>
      <c r="J386">
        <v>10812</v>
      </c>
      <c r="K386">
        <v>325</v>
      </c>
      <c r="L386">
        <v>10.9</v>
      </c>
      <c r="M386">
        <v>11.4</v>
      </c>
      <c r="N386">
        <v>4</v>
      </c>
      <c r="O386">
        <v>9865</v>
      </c>
      <c r="P386" t="s">
        <v>2177</v>
      </c>
      <c r="Q386">
        <v>10</v>
      </c>
      <c r="R386">
        <v>14</v>
      </c>
      <c r="S386">
        <v>15</v>
      </c>
      <c r="T386">
        <v>741</v>
      </c>
      <c r="U386" t="s">
        <v>2187</v>
      </c>
      <c r="W386" t="s">
        <v>2209</v>
      </c>
      <c r="X386" t="s">
        <v>2211</v>
      </c>
      <c r="Y386" t="s">
        <v>2213</v>
      </c>
      <c r="Z386" s="1">
        <v>45444</v>
      </c>
      <c r="AA386" s="1">
        <v>45444</v>
      </c>
      <c r="AB386" t="s">
        <v>2214</v>
      </c>
      <c r="AC386" t="s">
        <v>2209</v>
      </c>
      <c r="AD386" t="s">
        <v>2219</v>
      </c>
      <c r="AE386" t="s">
        <v>2161</v>
      </c>
      <c r="AF386" t="s">
        <v>2162</v>
      </c>
      <c r="AG386" t="s">
        <v>2222</v>
      </c>
      <c r="AH386">
        <v>39</v>
      </c>
      <c r="AI386">
        <v>57</v>
      </c>
      <c r="AJ386">
        <v>18</v>
      </c>
      <c r="AK386">
        <v>4</v>
      </c>
      <c r="AL386" t="s">
        <v>2225</v>
      </c>
      <c r="AM386">
        <v>0</v>
      </c>
      <c r="AN386" t="s">
        <v>2175</v>
      </c>
      <c r="AO386" t="s">
        <v>2177</v>
      </c>
      <c r="AP386" t="s">
        <v>2177</v>
      </c>
      <c r="AQ386">
        <v>124.26</v>
      </c>
      <c r="AR386">
        <v>2</v>
      </c>
      <c r="AS386">
        <v>3</v>
      </c>
      <c r="AT386">
        <v>2</v>
      </c>
      <c r="AU386">
        <v>2</v>
      </c>
      <c r="AV386">
        <v>2.333333333333333</v>
      </c>
      <c r="AW386">
        <v>4.3</v>
      </c>
      <c r="AX386">
        <v>4.2</v>
      </c>
      <c r="AY386">
        <v>4.3</v>
      </c>
      <c r="AZ386">
        <v>3</v>
      </c>
      <c r="BA386">
        <v>3</v>
      </c>
      <c r="BB386">
        <v>32</v>
      </c>
      <c r="BC386">
        <v>26</v>
      </c>
      <c r="BD386">
        <v>28.46</v>
      </c>
      <c r="BE386">
        <v>138</v>
      </c>
      <c r="BF386">
        <v>88.9</v>
      </c>
      <c r="BG386">
        <v>32</v>
      </c>
      <c r="BH386">
        <v>26</v>
      </c>
      <c r="BI386">
        <v>28.46</v>
      </c>
      <c r="BJ386">
        <v>138</v>
      </c>
      <c r="BK386">
        <v>88.9</v>
      </c>
      <c r="BL386">
        <v>242</v>
      </c>
      <c r="BM386">
        <v>3.0125000000000002</v>
      </c>
    </row>
    <row r="387" spans="1:65" x14ac:dyDescent="0.25">
      <c r="A387" t="s">
        <v>450</v>
      </c>
      <c r="B387" t="s">
        <v>1441</v>
      </c>
      <c r="C387" t="s">
        <v>2160</v>
      </c>
      <c r="D387" s="1">
        <v>45390</v>
      </c>
      <c r="E387" s="1">
        <v>45427</v>
      </c>
      <c r="F387" s="1">
        <v>45491</v>
      </c>
      <c r="G387" t="s">
        <v>2166</v>
      </c>
      <c r="H387" t="s">
        <v>2172</v>
      </c>
      <c r="I387" t="s">
        <v>2174</v>
      </c>
      <c r="J387">
        <v>8264</v>
      </c>
      <c r="K387">
        <v>248</v>
      </c>
      <c r="L387">
        <v>2.2999999999999998</v>
      </c>
      <c r="M387">
        <v>3.5</v>
      </c>
      <c r="N387">
        <v>2</v>
      </c>
      <c r="O387">
        <v>3811</v>
      </c>
      <c r="P387" t="s">
        <v>2176</v>
      </c>
      <c r="Q387">
        <v>7</v>
      </c>
      <c r="R387">
        <v>10</v>
      </c>
      <c r="S387">
        <v>15</v>
      </c>
      <c r="T387">
        <v>570</v>
      </c>
      <c r="U387" t="s">
        <v>2191</v>
      </c>
      <c r="W387" t="s">
        <v>2209</v>
      </c>
      <c r="X387" t="s">
        <v>2211</v>
      </c>
      <c r="Y387" t="s">
        <v>2213</v>
      </c>
      <c r="Z387" s="1">
        <v>45475</v>
      </c>
      <c r="AA387" s="1">
        <v>45480</v>
      </c>
      <c r="AB387" t="s">
        <v>2214</v>
      </c>
      <c r="AC387" t="s">
        <v>2209</v>
      </c>
      <c r="AD387" t="s">
        <v>2219</v>
      </c>
      <c r="AE387" t="s">
        <v>2161</v>
      </c>
      <c r="AF387" t="s">
        <v>2164</v>
      </c>
      <c r="AG387" t="s">
        <v>2222</v>
      </c>
      <c r="AH387">
        <v>32</v>
      </c>
      <c r="AI387">
        <v>48</v>
      </c>
      <c r="AJ387">
        <v>16</v>
      </c>
      <c r="AK387">
        <v>5</v>
      </c>
      <c r="AL387" t="s">
        <v>2224</v>
      </c>
      <c r="AM387">
        <v>0</v>
      </c>
      <c r="AN387" t="s">
        <v>2176</v>
      </c>
      <c r="AO387" t="s">
        <v>2176</v>
      </c>
      <c r="AP387" t="s">
        <v>2176</v>
      </c>
      <c r="AQ387">
        <v>8.0499999999999989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4.3</v>
      </c>
      <c r="AX387">
        <v>4.5</v>
      </c>
      <c r="AY387">
        <v>4.8</v>
      </c>
      <c r="AZ387">
        <v>0</v>
      </c>
      <c r="BA387">
        <v>2</v>
      </c>
      <c r="BB387">
        <v>33</v>
      </c>
      <c r="BC387">
        <v>27</v>
      </c>
      <c r="BD387">
        <v>28.96</v>
      </c>
      <c r="BE387">
        <v>147</v>
      </c>
      <c r="BF387">
        <v>87.8</v>
      </c>
      <c r="BG387">
        <v>43</v>
      </c>
      <c r="BH387">
        <v>27</v>
      </c>
      <c r="BI387">
        <v>37.299999999999997</v>
      </c>
      <c r="BJ387">
        <v>193</v>
      </c>
      <c r="BK387">
        <v>86.7</v>
      </c>
      <c r="BL387">
        <v>305</v>
      </c>
      <c r="BM387">
        <v>2.0815999999999999</v>
      </c>
    </row>
    <row r="388" spans="1:65" x14ac:dyDescent="0.25">
      <c r="A388" t="s">
        <v>451</v>
      </c>
      <c r="B388" t="s">
        <v>1442</v>
      </c>
      <c r="C388" t="s">
        <v>2158</v>
      </c>
      <c r="D388" s="1">
        <v>45306</v>
      </c>
      <c r="E388" s="1">
        <v>45344</v>
      </c>
      <c r="F388" s="1">
        <v>45407</v>
      </c>
      <c r="G388" t="s">
        <v>2166</v>
      </c>
      <c r="H388" t="s">
        <v>2172</v>
      </c>
      <c r="I388" t="s">
        <v>2175</v>
      </c>
      <c r="J388">
        <v>15722</v>
      </c>
      <c r="K388">
        <v>472</v>
      </c>
      <c r="L388">
        <v>16.5</v>
      </c>
      <c r="M388">
        <v>18.600000000000001</v>
      </c>
      <c r="N388">
        <v>8</v>
      </c>
      <c r="O388">
        <v>16267</v>
      </c>
      <c r="P388" t="s">
        <v>2178</v>
      </c>
      <c r="Q388">
        <v>10</v>
      </c>
      <c r="R388">
        <v>14</v>
      </c>
      <c r="S388">
        <v>19</v>
      </c>
      <c r="T388">
        <v>853</v>
      </c>
      <c r="U388" t="s">
        <v>2165</v>
      </c>
      <c r="V388" t="s">
        <v>2171</v>
      </c>
      <c r="W388" t="s">
        <v>2209</v>
      </c>
      <c r="X388" t="s">
        <v>2211</v>
      </c>
      <c r="Y388" t="s">
        <v>2212</v>
      </c>
      <c r="Z388" s="1">
        <v>45405</v>
      </c>
      <c r="AA388" s="1">
        <v>45409</v>
      </c>
      <c r="AB388" t="s">
        <v>2214</v>
      </c>
      <c r="AC388" t="s">
        <v>2209</v>
      </c>
      <c r="AD388" t="s">
        <v>2218</v>
      </c>
      <c r="AE388" t="s">
        <v>2165</v>
      </c>
      <c r="AG388" t="s">
        <v>2221</v>
      </c>
      <c r="AH388">
        <v>43</v>
      </c>
      <c r="AI388">
        <v>61</v>
      </c>
      <c r="AJ388">
        <v>18</v>
      </c>
      <c r="AK388">
        <v>2</v>
      </c>
      <c r="AL388" t="s">
        <v>2228</v>
      </c>
      <c r="AM388">
        <v>0</v>
      </c>
      <c r="AN388" t="s">
        <v>2175</v>
      </c>
      <c r="AO388" t="s">
        <v>2175</v>
      </c>
      <c r="AP388" t="s">
        <v>2175</v>
      </c>
      <c r="AQ388">
        <v>306.89999999999998</v>
      </c>
      <c r="AR388">
        <v>3</v>
      </c>
      <c r="AS388">
        <v>3</v>
      </c>
      <c r="AT388">
        <v>3</v>
      </c>
      <c r="AU388">
        <v>3</v>
      </c>
      <c r="AV388">
        <v>3</v>
      </c>
      <c r="AW388">
        <v>4.5999999999999996</v>
      </c>
      <c r="AY388">
        <v>4.8</v>
      </c>
      <c r="AZ388">
        <v>2</v>
      </c>
      <c r="BA388">
        <v>0</v>
      </c>
      <c r="BB388">
        <v>36</v>
      </c>
      <c r="BC388">
        <v>24</v>
      </c>
      <c r="BD388">
        <v>31.79</v>
      </c>
      <c r="BE388">
        <v>142</v>
      </c>
      <c r="BF388">
        <v>88.3</v>
      </c>
      <c r="BG388">
        <v>40</v>
      </c>
      <c r="BH388">
        <v>24</v>
      </c>
      <c r="BI388">
        <v>35.54</v>
      </c>
      <c r="BJ388">
        <v>160</v>
      </c>
      <c r="BK388">
        <v>88.8</v>
      </c>
      <c r="BL388">
        <v>142</v>
      </c>
      <c r="BM388">
        <v>4.6119000000000003</v>
      </c>
    </row>
    <row r="389" spans="1:65" x14ac:dyDescent="0.25">
      <c r="A389" t="s">
        <v>452</v>
      </c>
      <c r="B389" t="s">
        <v>1436</v>
      </c>
      <c r="C389" t="s">
        <v>2160</v>
      </c>
      <c r="D389" s="1">
        <v>45432</v>
      </c>
      <c r="E389" s="1">
        <v>45468</v>
      </c>
      <c r="F389" s="1">
        <v>45525</v>
      </c>
      <c r="G389" t="s">
        <v>2165</v>
      </c>
      <c r="H389" t="s">
        <v>2171</v>
      </c>
      <c r="I389" t="s">
        <v>2173</v>
      </c>
      <c r="J389">
        <v>10436</v>
      </c>
      <c r="K389">
        <v>314</v>
      </c>
      <c r="L389">
        <v>10.6</v>
      </c>
      <c r="M389">
        <v>8.6999999999999993</v>
      </c>
      <c r="N389">
        <v>5</v>
      </c>
      <c r="O389">
        <v>9896</v>
      </c>
      <c r="P389" t="s">
        <v>2177</v>
      </c>
      <c r="Q389">
        <v>10</v>
      </c>
      <c r="R389">
        <v>14</v>
      </c>
      <c r="S389">
        <v>14</v>
      </c>
      <c r="T389">
        <v>766</v>
      </c>
      <c r="U389" t="s">
        <v>2182</v>
      </c>
      <c r="W389" t="s">
        <v>2209</v>
      </c>
      <c r="X389" t="s">
        <v>2211</v>
      </c>
      <c r="Y389" t="s">
        <v>2213</v>
      </c>
      <c r="Z389" s="1">
        <v>45523</v>
      </c>
      <c r="AA389" s="1">
        <v>45529</v>
      </c>
      <c r="AB389" t="s">
        <v>2214</v>
      </c>
      <c r="AC389" t="s">
        <v>2209</v>
      </c>
      <c r="AD389" t="s">
        <v>2219</v>
      </c>
      <c r="AE389" t="s">
        <v>2166</v>
      </c>
      <c r="AF389" t="s">
        <v>2162</v>
      </c>
      <c r="AG389" t="s">
        <v>2222</v>
      </c>
      <c r="AH389">
        <v>38</v>
      </c>
      <c r="AI389">
        <v>55</v>
      </c>
      <c r="AJ389">
        <v>17</v>
      </c>
      <c r="AK389">
        <v>6</v>
      </c>
      <c r="AL389" t="s">
        <v>2223</v>
      </c>
      <c r="AM389">
        <v>0</v>
      </c>
      <c r="AN389" t="s">
        <v>2177</v>
      </c>
      <c r="AO389" t="s">
        <v>2177</v>
      </c>
      <c r="AP389" t="s">
        <v>2177</v>
      </c>
      <c r="AQ389">
        <v>92.219999999999985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4.8</v>
      </c>
      <c r="AX389">
        <v>4.2</v>
      </c>
      <c r="AY389">
        <v>4.5999999999999996</v>
      </c>
      <c r="AZ389">
        <v>0</v>
      </c>
      <c r="BA389">
        <v>3</v>
      </c>
      <c r="BB389">
        <v>45</v>
      </c>
      <c r="BC389">
        <v>25</v>
      </c>
      <c r="BD389">
        <v>39.200000000000003</v>
      </c>
      <c r="BE389">
        <v>186</v>
      </c>
      <c r="BF389">
        <v>87.1</v>
      </c>
      <c r="BG389">
        <v>40</v>
      </c>
      <c r="BH389">
        <v>25</v>
      </c>
      <c r="BI389">
        <v>34.72</v>
      </c>
      <c r="BJ389">
        <v>161</v>
      </c>
      <c r="BK389">
        <v>86.8</v>
      </c>
      <c r="BL389">
        <v>303</v>
      </c>
      <c r="BM389">
        <v>2.2437999999999998</v>
      </c>
    </row>
    <row r="390" spans="1:65" x14ac:dyDescent="0.25">
      <c r="A390" t="s">
        <v>453</v>
      </c>
      <c r="B390" t="s">
        <v>1300</v>
      </c>
      <c r="C390" t="s">
        <v>2159</v>
      </c>
      <c r="D390" s="1">
        <v>45320</v>
      </c>
      <c r="E390" s="1">
        <v>45357</v>
      </c>
      <c r="F390" s="1">
        <v>45423</v>
      </c>
      <c r="G390" t="s">
        <v>2165</v>
      </c>
      <c r="H390" t="s">
        <v>2171</v>
      </c>
      <c r="I390" t="s">
        <v>2176</v>
      </c>
      <c r="J390">
        <v>11800</v>
      </c>
      <c r="K390">
        <v>354</v>
      </c>
      <c r="L390">
        <v>4.5</v>
      </c>
      <c r="M390">
        <v>7.7</v>
      </c>
      <c r="N390">
        <v>4</v>
      </c>
      <c r="O390">
        <v>7226</v>
      </c>
      <c r="P390" t="s">
        <v>2176</v>
      </c>
      <c r="Q390">
        <v>10</v>
      </c>
      <c r="R390">
        <v>14</v>
      </c>
      <c r="S390">
        <v>19</v>
      </c>
      <c r="T390">
        <v>646</v>
      </c>
      <c r="U390" t="s">
        <v>2166</v>
      </c>
      <c r="V390" t="s">
        <v>2172</v>
      </c>
      <c r="W390" t="s">
        <v>2209</v>
      </c>
      <c r="X390" t="s">
        <v>2211</v>
      </c>
      <c r="Y390" t="s">
        <v>2212</v>
      </c>
      <c r="Z390" s="1">
        <v>45418</v>
      </c>
      <c r="AA390" s="1">
        <v>45423</v>
      </c>
      <c r="AB390" t="s">
        <v>2214</v>
      </c>
      <c r="AC390" t="s">
        <v>2209</v>
      </c>
      <c r="AD390" t="s">
        <v>2218</v>
      </c>
      <c r="AE390" t="s">
        <v>2166</v>
      </c>
      <c r="AG390" t="s">
        <v>2221</v>
      </c>
      <c r="AH390">
        <v>43</v>
      </c>
      <c r="AI390">
        <v>61</v>
      </c>
      <c r="AJ390">
        <v>18</v>
      </c>
      <c r="AK390">
        <v>3</v>
      </c>
      <c r="AL390" t="s">
        <v>2227</v>
      </c>
      <c r="AM390">
        <v>0</v>
      </c>
      <c r="AN390" t="s">
        <v>2176</v>
      </c>
      <c r="AO390" t="s">
        <v>2177</v>
      </c>
      <c r="AP390" t="s">
        <v>2177</v>
      </c>
      <c r="AQ390">
        <v>34.65</v>
      </c>
      <c r="AR390">
        <v>1</v>
      </c>
      <c r="AS390">
        <v>1</v>
      </c>
      <c r="AT390">
        <v>2</v>
      </c>
      <c r="AU390">
        <v>2</v>
      </c>
      <c r="AV390">
        <v>1.666666666666667</v>
      </c>
      <c r="AW390">
        <v>4.8</v>
      </c>
      <c r="AY390">
        <v>4.5999999999999996</v>
      </c>
      <c r="AZ390">
        <v>3</v>
      </c>
      <c r="BA390">
        <v>1</v>
      </c>
      <c r="BB390">
        <v>49</v>
      </c>
      <c r="BC390">
        <v>26</v>
      </c>
      <c r="BD390">
        <v>43.12</v>
      </c>
      <c r="BE390">
        <v>216</v>
      </c>
      <c r="BF390">
        <v>88</v>
      </c>
      <c r="BG390">
        <v>48</v>
      </c>
      <c r="BH390">
        <v>26</v>
      </c>
      <c r="BI390">
        <v>42.38</v>
      </c>
      <c r="BJ390">
        <v>212</v>
      </c>
      <c r="BK390">
        <v>88.3</v>
      </c>
      <c r="BL390">
        <v>216</v>
      </c>
      <c r="BM390">
        <v>2.1008</v>
      </c>
    </row>
    <row r="391" spans="1:65" x14ac:dyDescent="0.25">
      <c r="A391" t="s">
        <v>454</v>
      </c>
      <c r="B391" t="s">
        <v>1419</v>
      </c>
      <c r="C391" t="s">
        <v>2160</v>
      </c>
      <c r="D391" s="1">
        <v>45418</v>
      </c>
      <c r="E391" s="1">
        <v>45458</v>
      </c>
      <c r="F391" s="1">
        <v>45522</v>
      </c>
      <c r="G391" t="s">
        <v>2162</v>
      </c>
      <c r="H391" t="s">
        <v>2168</v>
      </c>
      <c r="I391" t="s">
        <v>2174</v>
      </c>
      <c r="J391">
        <v>9147</v>
      </c>
      <c r="K391">
        <v>275</v>
      </c>
      <c r="L391">
        <v>3.5</v>
      </c>
      <c r="M391">
        <v>7.7</v>
      </c>
      <c r="N391">
        <v>2</v>
      </c>
      <c r="O391">
        <v>2411</v>
      </c>
      <c r="P391" t="s">
        <v>2176</v>
      </c>
      <c r="Q391">
        <v>7</v>
      </c>
      <c r="R391">
        <v>10</v>
      </c>
      <c r="S391">
        <v>15</v>
      </c>
      <c r="T391">
        <v>632</v>
      </c>
      <c r="U391" t="s">
        <v>2196</v>
      </c>
      <c r="W391" t="s">
        <v>2209</v>
      </c>
      <c r="X391" t="s">
        <v>2211</v>
      </c>
      <c r="Y391" t="s">
        <v>2213</v>
      </c>
      <c r="Z391" s="1">
        <v>45506</v>
      </c>
      <c r="AA391" s="1">
        <v>45508</v>
      </c>
      <c r="AB391" t="s">
        <v>2214</v>
      </c>
      <c r="AC391" t="s">
        <v>2209</v>
      </c>
      <c r="AD391" t="s">
        <v>2219</v>
      </c>
      <c r="AE391" t="s">
        <v>2165</v>
      </c>
      <c r="AF391" t="s">
        <v>2163</v>
      </c>
      <c r="AG391" t="s">
        <v>2222</v>
      </c>
      <c r="AH391">
        <v>32</v>
      </c>
      <c r="AI391">
        <v>48</v>
      </c>
      <c r="AJ391">
        <v>16</v>
      </c>
      <c r="AK391">
        <v>6</v>
      </c>
      <c r="AL391" t="s">
        <v>2223</v>
      </c>
      <c r="AM391">
        <v>0</v>
      </c>
      <c r="AN391" t="s">
        <v>2176</v>
      </c>
      <c r="AO391" t="s">
        <v>2176</v>
      </c>
      <c r="AP391" t="s">
        <v>2176</v>
      </c>
      <c r="AQ391">
        <v>26.95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4.5999999999999996</v>
      </c>
      <c r="AX391">
        <v>4.4000000000000004</v>
      </c>
      <c r="AY391">
        <v>4.2</v>
      </c>
      <c r="AZ391">
        <v>0</v>
      </c>
      <c r="BA391">
        <v>2</v>
      </c>
      <c r="BB391">
        <v>40</v>
      </c>
      <c r="BC391">
        <v>25</v>
      </c>
      <c r="BD391">
        <v>34.72</v>
      </c>
      <c r="BE391">
        <v>161</v>
      </c>
      <c r="BF391">
        <v>86.8</v>
      </c>
      <c r="BG391">
        <v>29</v>
      </c>
      <c r="BH391">
        <v>25</v>
      </c>
      <c r="BI391">
        <v>25.56</v>
      </c>
      <c r="BJ391">
        <v>117</v>
      </c>
      <c r="BK391">
        <v>88.1</v>
      </c>
      <c r="BL391">
        <v>282</v>
      </c>
      <c r="BM391">
        <v>2.2719999999999998</v>
      </c>
    </row>
    <row r="392" spans="1:65" x14ac:dyDescent="0.25">
      <c r="A392" t="s">
        <v>455</v>
      </c>
      <c r="B392" t="s">
        <v>1443</v>
      </c>
      <c r="C392" t="s">
        <v>2157</v>
      </c>
      <c r="D392" s="1">
        <v>45411</v>
      </c>
      <c r="E392" s="1">
        <v>45455</v>
      </c>
      <c r="F392" s="1">
        <v>45623</v>
      </c>
      <c r="G392" t="s">
        <v>2162</v>
      </c>
      <c r="H392" t="s">
        <v>2168</v>
      </c>
      <c r="I392" t="s">
        <v>2176</v>
      </c>
      <c r="J392">
        <v>56643</v>
      </c>
      <c r="K392">
        <v>1700</v>
      </c>
      <c r="L392">
        <v>9.1999999999999993</v>
      </c>
      <c r="M392">
        <v>11.9</v>
      </c>
      <c r="N392">
        <v>4</v>
      </c>
      <c r="O392">
        <v>9155</v>
      </c>
      <c r="P392" t="s">
        <v>2177</v>
      </c>
      <c r="Q392">
        <v>18</v>
      </c>
      <c r="R392">
        <v>30</v>
      </c>
      <c r="S392">
        <v>80</v>
      </c>
      <c r="T392">
        <v>716</v>
      </c>
      <c r="U392" t="s">
        <v>2182</v>
      </c>
      <c r="W392" t="s">
        <v>2209</v>
      </c>
      <c r="X392" t="s">
        <v>2211</v>
      </c>
      <c r="Y392" t="s">
        <v>2213</v>
      </c>
      <c r="Z392" s="1">
        <v>45615</v>
      </c>
      <c r="AA392" s="1">
        <v>45620</v>
      </c>
      <c r="AB392" t="s">
        <v>2214</v>
      </c>
      <c r="AC392" t="s">
        <v>2209</v>
      </c>
      <c r="AD392" t="s">
        <v>2219</v>
      </c>
      <c r="AE392" t="s">
        <v>2166</v>
      </c>
      <c r="AF392" t="s">
        <v>2162</v>
      </c>
      <c r="AG392" t="s">
        <v>2222</v>
      </c>
      <c r="AH392">
        <v>128</v>
      </c>
      <c r="AI392">
        <v>160</v>
      </c>
      <c r="AJ392">
        <v>32</v>
      </c>
      <c r="AK392">
        <v>6</v>
      </c>
      <c r="AL392" t="s">
        <v>2223</v>
      </c>
      <c r="AM392">
        <v>0</v>
      </c>
      <c r="AN392" t="s">
        <v>2177</v>
      </c>
      <c r="AO392" t="s">
        <v>2177</v>
      </c>
      <c r="AP392" t="s">
        <v>2177</v>
      </c>
      <c r="AQ392">
        <v>109.48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4.8</v>
      </c>
      <c r="AX392">
        <v>4.2</v>
      </c>
      <c r="AY392">
        <v>4.2</v>
      </c>
      <c r="AZ392">
        <v>1</v>
      </c>
      <c r="BA392">
        <v>1</v>
      </c>
      <c r="BB392">
        <v>45</v>
      </c>
      <c r="BC392">
        <v>25</v>
      </c>
      <c r="BD392">
        <v>39.200000000000003</v>
      </c>
      <c r="BE392">
        <v>186</v>
      </c>
      <c r="BF392">
        <v>87.1</v>
      </c>
      <c r="BG392">
        <v>29</v>
      </c>
      <c r="BH392">
        <v>25</v>
      </c>
      <c r="BI392">
        <v>25.56</v>
      </c>
      <c r="BJ392">
        <v>117</v>
      </c>
      <c r="BK392">
        <v>88.1</v>
      </c>
      <c r="BL392">
        <v>303</v>
      </c>
      <c r="BM392">
        <v>12.178699999999999</v>
      </c>
    </row>
    <row r="393" spans="1:65" x14ac:dyDescent="0.25">
      <c r="A393" t="s">
        <v>456</v>
      </c>
      <c r="B393" t="s">
        <v>1444</v>
      </c>
      <c r="C393" t="s">
        <v>2158</v>
      </c>
      <c r="D393" s="1">
        <v>45446</v>
      </c>
      <c r="E393" s="1">
        <v>45480</v>
      </c>
      <c r="F393" s="1">
        <v>45555</v>
      </c>
      <c r="G393" t="s">
        <v>2163</v>
      </c>
      <c r="H393" t="s">
        <v>2169</v>
      </c>
      <c r="I393" t="s">
        <v>2176</v>
      </c>
      <c r="J393">
        <v>15026</v>
      </c>
      <c r="K393">
        <v>451</v>
      </c>
      <c r="L393">
        <v>4.2</v>
      </c>
      <c r="M393">
        <v>4.9000000000000004</v>
      </c>
      <c r="N393">
        <v>3</v>
      </c>
      <c r="O393">
        <v>5340</v>
      </c>
      <c r="P393" t="s">
        <v>2176</v>
      </c>
      <c r="Q393">
        <v>10</v>
      </c>
      <c r="R393">
        <v>14</v>
      </c>
      <c r="S393">
        <v>23</v>
      </c>
      <c r="T393">
        <v>664</v>
      </c>
      <c r="U393" t="s">
        <v>2182</v>
      </c>
      <c r="W393" t="s">
        <v>2209</v>
      </c>
      <c r="X393" t="s">
        <v>2211</v>
      </c>
      <c r="Y393" t="s">
        <v>2213</v>
      </c>
      <c r="Z393" s="1">
        <v>45545</v>
      </c>
      <c r="AA393" s="1">
        <v>45550</v>
      </c>
      <c r="AB393" t="s">
        <v>2214</v>
      </c>
      <c r="AC393" t="s">
        <v>2209</v>
      </c>
      <c r="AD393" t="s">
        <v>2219</v>
      </c>
      <c r="AE393" t="s">
        <v>2166</v>
      </c>
      <c r="AF393" t="s">
        <v>2162</v>
      </c>
      <c r="AG393" t="s">
        <v>2222</v>
      </c>
      <c r="AH393">
        <v>47</v>
      </c>
      <c r="AI393">
        <v>65</v>
      </c>
      <c r="AJ393">
        <v>18</v>
      </c>
      <c r="AK393">
        <v>7</v>
      </c>
      <c r="AL393" t="s">
        <v>2226</v>
      </c>
      <c r="AM393">
        <v>0</v>
      </c>
      <c r="AN393" t="s">
        <v>2176</v>
      </c>
      <c r="AO393" t="s">
        <v>2176</v>
      </c>
      <c r="AP393" t="s">
        <v>2176</v>
      </c>
      <c r="AQ393">
        <v>20.58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4.8</v>
      </c>
      <c r="AX393">
        <v>4.2</v>
      </c>
      <c r="AY393">
        <v>4.4000000000000004</v>
      </c>
      <c r="AZ393">
        <v>2</v>
      </c>
      <c r="BA393">
        <v>1</v>
      </c>
      <c r="BB393">
        <v>48</v>
      </c>
      <c r="BC393">
        <v>27</v>
      </c>
      <c r="BD393">
        <v>42.33</v>
      </c>
      <c r="BE393">
        <v>216</v>
      </c>
      <c r="BF393">
        <v>88.2</v>
      </c>
      <c r="BG393">
        <v>33</v>
      </c>
      <c r="BH393">
        <v>27</v>
      </c>
      <c r="BI393">
        <v>28.89</v>
      </c>
      <c r="BJ393">
        <v>145</v>
      </c>
      <c r="BK393">
        <v>87.5</v>
      </c>
      <c r="BL393">
        <v>349</v>
      </c>
      <c r="BM393">
        <v>2.5760000000000001</v>
      </c>
    </row>
    <row r="394" spans="1:65" x14ac:dyDescent="0.25">
      <c r="A394" t="s">
        <v>457</v>
      </c>
      <c r="B394" t="s">
        <v>1320</v>
      </c>
      <c r="C394" t="s">
        <v>2158</v>
      </c>
      <c r="D394" s="1">
        <v>45313</v>
      </c>
      <c r="E394" s="1">
        <v>45346</v>
      </c>
      <c r="F394" s="1">
        <v>45408</v>
      </c>
      <c r="G394" t="s">
        <v>2162</v>
      </c>
      <c r="H394" t="s">
        <v>2168</v>
      </c>
      <c r="I394" t="s">
        <v>2174</v>
      </c>
      <c r="J394">
        <v>6818</v>
      </c>
      <c r="K394">
        <v>205</v>
      </c>
      <c r="L394">
        <v>3.9</v>
      </c>
      <c r="M394">
        <v>4.5</v>
      </c>
      <c r="N394">
        <v>2</v>
      </c>
      <c r="O394">
        <v>1586</v>
      </c>
      <c r="P394" t="s">
        <v>2176</v>
      </c>
      <c r="Q394">
        <v>7</v>
      </c>
      <c r="R394">
        <v>10</v>
      </c>
      <c r="S394">
        <v>13</v>
      </c>
      <c r="T394">
        <v>550</v>
      </c>
      <c r="U394" t="s">
        <v>2164</v>
      </c>
      <c r="V394" t="s">
        <v>2170</v>
      </c>
      <c r="W394" t="s">
        <v>2209</v>
      </c>
      <c r="X394" t="s">
        <v>2211</v>
      </c>
      <c r="Y394" t="s">
        <v>2212</v>
      </c>
      <c r="Z394" s="1">
        <v>45391</v>
      </c>
      <c r="AA394" s="1">
        <v>45395</v>
      </c>
      <c r="AB394" t="s">
        <v>2214</v>
      </c>
      <c r="AC394" t="s">
        <v>2209</v>
      </c>
      <c r="AD394" t="s">
        <v>2218</v>
      </c>
      <c r="AE394" t="s">
        <v>2164</v>
      </c>
      <c r="AG394" t="s">
        <v>2221</v>
      </c>
      <c r="AH394">
        <v>30</v>
      </c>
      <c r="AI394">
        <v>45</v>
      </c>
      <c r="AJ394">
        <v>15</v>
      </c>
      <c r="AK394">
        <v>2</v>
      </c>
      <c r="AL394" t="s">
        <v>2228</v>
      </c>
      <c r="AM394">
        <v>0</v>
      </c>
      <c r="AN394" t="s">
        <v>2176</v>
      </c>
      <c r="AO394" t="s">
        <v>2176</v>
      </c>
      <c r="AP394" t="s">
        <v>2176</v>
      </c>
      <c r="AQ394">
        <v>17.55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4.5</v>
      </c>
      <c r="AY394">
        <v>4.2</v>
      </c>
      <c r="AZ394">
        <v>2</v>
      </c>
      <c r="BA394">
        <v>2</v>
      </c>
      <c r="BB394">
        <v>27</v>
      </c>
      <c r="BC394">
        <v>24</v>
      </c>
      <c r="BD394">
        <v>24.04</v>
      </c>
      <c r="BE394">
        <v>106</v>
      </c>
      <c r="BF394">
        <v>89</v>
      </c>
      <c r="BG394">
        <v>34</v>
      </c>
      <c r="BH394">
        <v>24</v>
      </c>
      <c r="BI394">
        <v>30.5</v>
      </c>
      <c r="BJ394">
        <v>136</v>
      </c>
      <c r="BK394">
        <v>89.7</v>
      </c>
      <c r="BL394">
        <v>106</v>
      </c>
      <c r="BM394">
        <v>2.6789999999999998</v>
      </c>
    </row>
    <row r="395" spans="1:65" x14ac:dyDescent="0.25">
      <c r="A395" t="s">
        <v>458</v>
      </c>
      <c r="B395" t="s">
        <v>1445</v>
      </c>
      <c r="C395" t="s">
        <v>2159</v>
      </c>
      <c r="D395" s="1">
        <v>45341</v>
      </c>
      <c r="E395" s="1">
        <v>45386</v>
      </c>
      <c r="F395" s="1">
        <v>45488</v>
      </c>
      <c r="G395" t="s">
        <v>2161</v>
      </c>
      <c r="H395" t="s">
        <v>2167</v>
      </c>
      <c r="I395" t="s">
        <v>2176</v>
      </c>
      <c r="J395">
        <v>26892</v>
      </c>
      <c r="K395">
        <v>807</v>
      </c>
      <c r="L395">
        <v>8.4</v>
      </c>
      <c r="M395">
        <v>6.5</v>
      </c>
      <c r="N395">
        <v>3</v>
      </c>
      <c r="O395">
        <v>6152</v>
      </c>
      <c r="P395" t="s">
        <v>2176</v>
      </c>
      <c r="Q395">
        <v>14</v>
      </c>
      <c r="R395">
        <v>20</v>
      </c>
      <c r="S395">
        <v>37</v>
      </c>
      <c r="T395">
        <v>744</v>
      </c>
      <c r="U395" t="s">
        <v>2196</v>
      </c>
      <c r="W395" t="s">
        <v>2209</v>
      </c>
      <c r="X395" t="s">
        <v>2211</v>
      </c>
      <c r="Y395" t="s">
        <v>2213</v>
      </c>
      <c r="Z395" s="1">
        <v>45480</v>
      </c>
      <c r="AA395" s="1">
        <v>45486</v>
      </c>
      <c r="AB395" t="s">
        <v>2214</v>
      </c>
      <c r="AC395" t="s">
        <v>2209</v>
      </c>
      <c r="AD395" t="s">
        <v>2219</v>
      </c>
      <c r="AE395" t="s">
        <v>2165</v>
      </c>
      <c r="AF395" t="s">
        <v>2163</v>
      </c>
      <c r="AG395" t="s">
        <v>2222</v>
      </c>
      <c r="AH395">
        <v>71</v>
      </c>
      <c r="AI395">
        <v>94</v>
      </c>
      <c r="AJ395">
        <v>23</v>
      </c>
      <c r="AK395">
        <v>4</v>
      </c>
      <c r="AL395" t="s">
        <v>2225</v>
      </c>
      <c r="AM395">
        <v>0</v>
      </c>
      <c r="AN395" t="s">
        <v>2177</v>
      </c>
      <c r="AO395" t="s">
        <v>2176</v>
      </c>
      <c r="AP395" t="s">
        <v>2176</v>
      </c>
      <c r="AQ395">
        <v>54.6</v>
      </c>
      <c r="AR395">
        <v>1</v>
      </c>
      <c r="AS395">
        <v>2</v>
      </c>
      <c r="AT395">
        <v>1</v>
      </c>
      <c r="AU395">
        <v>1</v>
      </c>
      <c r="AV395">
        <v>1.333333333333333</v>
      </c>
      <c r="AW395">
        <v>4.5999999999999996</v>
      </c>
      <c r="AX395">
        <v>4.4000000000000004</v>
      </c>
      <c r="AY395">
        <v>4.3</v>
      </c>
      <c r="AZ395">
        <v>3</v>
      </c>
      <c r="BA395">
        <v>1</v>
      </c>
      <c r="BB395">
        <v>46</v>
      </c>
      <c r="BC395">
        <v>26</v>
      </c>
      <c r="BD395">
        <v>40.729999999999997</v>
      </c>
      <c r="BE395">
        <v>203</v>
      </c>
      <c r="BF395">
        <v>88.5</v>
      </c>
      <c r="BG395">
        <v>32</v>
      </c>
      <c r="BH395">
        <v>26</v>
      </c>
      <c r="BI395">
        <v>28.46</v>
      </c>
      <c r="BJ395">
        <v>138</v>
      </c>
      <c r="BK395">
        <v>88.9</v>
      </c>
      <c r="BL395">
        <v>335</v>
      </c>
      <c r="BM395">
        <v>5.0941000000000001</v>
      </c>
    </row>
    <row r="396" spans="1:65" x14ac:dyDescent="0.25">
      <c r="A396" t="s">
        <v>459</v>
      </c>
      <c r="B396" t="s">
        <v>1446</v>
      </c>
      <c r="C396" t="s">
        <v>2159</v>
      </c>
      <c r="D396" s="1">
        <v>45313</v>
      </c>
      <c r="E396" s="1">
        <v>45347</v>
      </c>
      <c r="F396" s="1">
        <v>45458</v>
      </c>
      <c r="G396" t="s">
        <v>2161</v>
      </c>
      <c r="H396" t="s">
        <v>2167</v>
      </c>
      <c r="I396" t="s">
        <v>2174</v>
      </c>
      <c r="J396">
        <v>24235</v>
      </c>
      <c r="K396">
        <v>728</v>
      </c>
      <c r="L396">
        <v>3.9</v>
      </c>
      <c r="M396">
        <v>4.5</v>
      </c>
      <c r="N396">
        <v>2</v>
      </c>
      <c r="O396">
        <v>2838</v>
      </c>
      <c r="P396" t="s">
        <v>2176</v>
      </c>
      <c r="Q396">
        <v>14</v>
      </c>
      <c r="R396">
        <v>20</v>
      </c>
      <c r="S396">
        <v>43</v>
      </c>
      <c r="T396">
        <v>576</v>
      </c>
      <c r="U396" t="s">
        <v>2201</v>
      </c>
      <c r="W396" t="s">
        <v>2209</v>
      </c>
      <c r="X396" t="s">
        <v>2211</v>
      </c>
      <c r="Y396" t="s">
        <v>2213</v>
      </c>
      <c r="Z396" s="1">
        <v>45447</v>
      </c>
      <c r="AA396" s="1">
        <v>45451</v>
      </c>
      <c r="AB396" t="s">
        <v>2214</v>
      </c>
      <c r="AC396" t="s">
        <v>2209</v>
      </c>
      <c r="AD396" t="s">
        <v>2219</v>
      </c>
      <c r="AE396" t="s">
        <v>2165</v>
      </c>
      <c r="AF396" t="s">
        <v>2161</v>
      </c>
      <c r="AG396" t="s">
        <v>2222</v>
      </c>
      <c r="AH396">
        <v>77</v>
      </c>
      <c r="AI396">
        <v>100</v>
      </c>
      <c r="AJ396">
        <v>23</v>
      </c>
      <c r="AK396">
        <v>2</v>
      </c>
      <c r="AL396" t="s">
        <v>2228</v>
      </c>
      <c r="AM396">
        <v>0</v>
      </c>
      <c r="AN396" t="s">
        <v>2176</v>
      </c>
      <c r="AO396" t="s">
        <v>2176</v>
      </c>
      <c r="AP396" t="s">
        <v>2176</v>
      </c>
      <c r="AQ396">
        <v>17.55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4.5999999999999996</v>
      </c>
      <c r="AX396">
        <v>4.3</v>
      </c>
      <c r="AY396">
        <v>4.3</v>
      </c>
      <c r="AZ396">
        <v>3</v>
      </c>
      <c r="BA396">
        <v>2</v>
      </c>
      <c r="BB396">
        <v>36</v>
      </c>
      <c r="BC396">
        <v>24</v>
      </c>
      <c r="BD396">
        <v>31.79</v>
      </c>
      <c r="BE396">
        <v>142</v>
      </c>
      <c r="BF396">
        <v>88.3</v>
      </c>
      <c r="BG396">
        <v>34</v>
      </c>
      <c r="BH396">
        <v>24</v>
      </c>
      <c r="BI396">
        <v>29.92</v>
      </c>
      <c r="BJ396">
        <v>134</v>
      </c>
      <c r="BK396">
        <v>88</v>
      </c>
      <c r="BL396">
        <v>276</v>
      </c>
      <c r="BM396">
        <v>7.1090999999999998</v>
      </c>
    </row>
    <row r="397" spans="1:65" x14ac:dyDescent="0.25">
      <c r="A397" t="s">
        <v>460</v>
      </c>
      <c r="B397" t="s">
        <v>1442</v>
      </c>
      <c r="C397" t="s">
        <v>2158</v>
      </c>
      <c r="D397" s="1">
        <v>45306</v>
      </c>
      <c r="E397" s="1">
        <v>45350</v>
      </c>
      <c r="F397" s="1">
        <v>45405</v>
      </c>
      <c r="G397" t="s">
        <v>2166</v>
      </c>
      <c r="H397" t="s">
        <v>2172</v>
      </c>
      <c r="I397" t="s">
        <v>2175</v>
      </c>
      <c r="J397">
        <v>13271</v>
      </c>
      <c r="K397">
        <v>399</v>
      </c>
      <c r="L397">
        <v>18.5</v>
      </c>
      <c r="M397">
        <v>18.2</v>
      </c>
      <c r="N397">
        <v>5</v>
      </c>
      <c r="O397">
        <v>16808</v>
      </c>
      <c r="P397" t="s">
        <v>2178</v>
      </c>
      <c r="Q397">
        <v>10</v>
      </c>
      <c r="R397">
        <v>14</v>
      </c>
      <c r="S397">
        <v>16</v>
      </c>
      <c r="T397">
        <v>842</v>
      </c>
      <c r="U397" t="s">
        <v>2165</v>
      </c>
      <c r="V397" t="s">
        <v>2171</v>
      </c>
      <c r="W397" t="s">
        <v>2209</v>
      </c>
      <c r="X397" t="s">
        <v>2211</v>
      </c>
      <c r="Y397" t="s">
        <v>2212</v>
      </c>
      <c r="Z397" s="1">
        <v>45407</v>
      </c>
      <c r="AA397" s="1">
        <v>45409</v>
      </c>
      <c r="AB397" t="s">
        <v>2215</v>
      </c>
      <c r="AC397" t="s">
        <v>2208</v>
      </c>
      <c r="AD397" t="s">
        <v>2218</v>
      </c>
      <c r="AE397" t="s">
        <v>2165</v>
      </c>
      <c r="AG397" t="s">
        <v>2221</v>
      </c>
      <c r="AH397">
        <v>40</v>
      </c>
      <c r="AI397">
        <v>57</v>
      </c>
      <c r="AJ397">
        <v>17</v>
      </c>
      <c r="AK397">
        <v>2</v>
      </c>
      <c r="AL397" t="s">
        <v>2228</v>
      </c>
      <c r="AM397">
        <v>0</v>
      </c>
      <c r="AN397" t="s">
        <v>2175</v>
      </c>
      <c r="AO397" t="s">
        <v>2177</v>
      </c>
      <c r="AP397" t="s">
        <v>2175</v>
      </c>
      <c r="AQ397">
        <v>336.7</v>
      </c>
      <c r="AR397">
        <v>3</v>
      </c>
      <c r="AS397">
        <v>3</v>
      </c>
      <c r="AT397">
        <v>2</v>
      </c>
      <c r="AU397">
        <v>3</v>
      </c>
      <c r="AV397">
        <v>2.666666666666667</v>
      </c>
      <c r="AW397">
        <v>4.5999999999999996</v>
      </c>
      <c r="AY397">
        <v>4.8</v>
      </c>
      <c r="AZ397">
        <v>2</v>
      </c>
      <c r="BA397">
        <v>0</v>
      </c>
      <c r="BB397">
        <v>36</v>
      </c>
      <c r="BC397">
        <v>24</v>
      </c>
      <c r="BD397">
        <v>31.79</v>
      </c>
      <c r="BE397">
        <v>142</v>
      </c>
      <c r="BF397">
        <v>88.3</v>
      </c>
      <c r="BG397">
        <v>40</v>
      </c>
      <c r="BH397">
        <v>24</v>
      </c>
      <c r="BI397">
        <v>35.54</v>
      </c>
      <c r="BJ397">
        <v>160</v>
      </c>
      <c r="BK397">
        <v>88.8</v>
      </c>
      <c r="BL397">
        <v>142</v>
      </c>
      <c r="BM397">
        <v>3.8929</v>
      </c>
    </row>
    <row r="398" spans="1:65" x14ac:dyDescent="0.25">
      <c r="A398" t="s">
        <v>461</v>
      </c>
      <c r="B398" t="s">
        <v>1330</v>
      </c>
      <c r="C398" t="s">
        <v>2160</v>
      </c>
      <c r="D398" s="1">
        <v>45418</v>
      </c>
      <c r="E398" s="1">
        <v>45461</v>
      </c>
      <c r="F398" s="1">
        <v>45506</v>
      </c>
      <c r="G398" t="s">
        <v>2163</v>
      </c>
      <c r="H398" t="s">
        <v>2169</v>
      </c>
      <c r="I398" t="s">
        <v>2173</v>
      </c>
      <c r="J398">
        <v>6387</v>
      </c>
      <c r="K398">
        <v>192</v>
      </c>
      <c r="L398">
        <v>10.9</v>
      </c>
      <c r="M398">
        <v>14.9</v>
      </c>
      <c r="N398">
        <v>5</v>
      </c>
      <c r="O398">
        <v>10006</v>
      </c>
      <c r="P398" t="s">
        <v>2177</v>
      </c>
      <c r="Q398">
        <v>7</v>
      </c>
      <c r="R398">
        <v>10</v>
      </c>
      <c r="S398">
        <v>9</v>
      </c>
      <c r="T398">
        <v>719</v>
      </c>
      <c r="U398" t="s">
        <v>2180</v>
      </c>
      <c r="W398" t="s">
        <v>2209</v>
      </c>
      <c r="X398" t="s">
        <v>2211</v>
      </c>
      <c r="Y398" t="s">
        <v>2213</v>
      </c>
      <c r="Z398" s="1">
        <v>45502</v>
      </c>
      <c r="AA398" s="1">
        <v>45508</v>
      </c>
      <c r="AB398" t="s">
        <v>2214</v>
      </c>
      <c r="AC398" t="s">
        <v>2209</v>
      </c>
      <c r="AD398" t="s">
        <v>2219</v>
      </c>
      <c r="AE398" t="s">
        <v>2163</v>
      </c>
      <c r="AF398" t="s">
        <v>2165</v>
      </c>
      <c r="AG398" t="s">
        <v>2222</v>
      </c>
      <c r="AH398">
        <v>26</v>
      </c>
      <c r="AI398">
        <v>41</v>
      </c>
      <c r="AJ398">
        <v>15</v>
      </c>
      <c r="AK398">
        <v>6</v>
      </c>
      <c r="AL398" t="s">
        <v>2223</v>
      </c>
      <c r="AM398">
        <v>0</v>
      </c>
      <c r="AN398" t="s">
        <v>2175</v>
      </c>
      <c r="AO398" t="s">
        <v>2177</v>
      </c>
      <c r="AP398" t="s">
        <v>2177</v>
      </c>
      <c r="AQ398">
        <v>162.41</v>
      </c>
      <c r="AR398">
        <v>2</v>
      </c>
      <c r="AS398">
        <v>3</v>
      </c>
      <c r="AT398">
        <v>2</v>
      </c>
      <c r="AU398">
        <v>2</v>
      </c>
      <c r="AV398">
        <v>2.333333333333333</v>
      </c>
      <c r="AW398">
        <v>4.4000000000000004</v>
      </c>
      <c r="AX398">
        <v>4.5999999999999996</v>
      </c>
      <c r="AY398">
        <v>4.4000000000000004</v>
      </c>
      <c r="AZ398">
        <v>0</v>
      </c>
      <c r="BA398">
        <v>3</v>
      </c>
      <c r="BB398">
        <v>30</v>
      </c>
      <c r="BC398">
        <v>25</v>
      </c>
      <c r="BD398">
        <v>26.48</v>
      </c>
      <c r="BE398">
        <v>121</v>
      </c>
      <c r="BF398">
        <v>88.3</v>
      </c>
      <c r="BG398">
        <v>30</v>
      </c>
      <c r="BH398">
        <v>25</v>
      </c>
      <c r="BI398">
        <v>26.48</v>
      </c>
      <c r="BJ398">
        <v>121</v>
      </c>
      <c r="BK398">
        <v>88.3</v>
      </c>
      <c r="BL398">
        <v>282</v>
      </c>
      <c r="BM398">
        <v>2.1107</v>
      </c>
    </row>
    <row r="399" spans="1:65" x14ac:dyDescent="0.25">
      <c r="A399" t="s">
        <v>462</v>
      </c>
      <c r="B399" t="s">
        <v>1321</v>
      </c>
      <c r="C399" t="s">
        <v>2158</v>
      </c>
      <c r="D399" s="1">
        <v>45383</v>
      </c>
      <c r="E399" s="1">
        <v>45413</v>
      </c>
      <c r="F399" s="1">
        <v>45459</v>
      </c>
      <c r="G399" t="s">
        <v>2166</v>
      </c>
      <c r="H399" t="s">
        <v>2172</v>
      </c>
      <c r="I399" t="s">
        <v>2176</v>
      </c>
      <c r="J399">
        <v>5435</v>
      </c>
      <c r="K399">
        <v>164</v>
      </c>
      <c r="L399">
        <v>9.6</v>
      </c>
      <c r="M399">
        <v>7.3</v>
      </c>
      <c r="N399">
        <v>4</v>
      </c>
      <c r="O399">
        <v>8255</v>
      </c>
      <c r="P399" t="s">
        <v>2176</v>
      </c>
      <c r="Q399">
        <v>7</v>
      </c>
      <c r="R399">
        <v>10</v>
      </c>
      <c r="S399">
        <v>7</v>
      </c>
      <c r="T399">
        <v>790</v>
      </c>
      <c r="U399" t="s">
        <v>2165</v>
      </c>
      <c r="V399" t="s">
        <v>2171</v>
      </c>
      <c r="W399" t="s">
        <v>2209</v>
      </c>
      <c r="X399" t="s">
        <v>2211</v>
      </c>
      <c r="Y399" t="s">
        <v>2212</v>
      </c>
      <c r="Z399" s="1">
        <v>45452</v>
      </c>
      <c r="AA399" s="1">
        <v>45452</v>
      </c>
      <c r="AB399" t="s">
        <v>2214</v>
      </c>
      <c r="AC399" t="s">
        <v>2209</v>
      </c>
      <c r="AD399" t="s">
        <v>2218</v>
      </c>
      <c r="AE399" t="s">
        <v>2165</v>
      </c>
      <c r="AG399" t="s">
        <v>2221</v>
      </c>
      <c r="AH399">
        <v>24</v>
      </c>
      <c r="AI399">
        <v>39</v>
      </c>
      <c r="AJ399">
        <v>15</v>
      </c>
      <c r="AK399">
        <v>5</v>
      </c>
      <c r="AL399" t="s">
        <v>2224</v>
      </c>
      <c r="AM399">
        <v>0</v>
      </c>
      <c r="AN399" t="s">
        <v>2177</v>
      </c>
      <c r="AO399" t="s">
        <v>2177</v>
      </c>
      <c r="AP399" t="s">
        <v>2177</v>
      </c>
      <c r="AQ399">
        <v>70.08</v>
      </c>
      <c r="AR399">
        <v>1</v>
      </c>
      <c r="AS399">
        <v>2</v>
      </c>
      <c r="AT399">
        <v>2</v>
      </c>
      <c r="AU399">
        <v>2</v>
      </c>
      <c r="AV399">
        <v>2</v>
      </c>
      <c r="AW399">
        <v>4.5999999999999996</v>
      </c>
      <c r="AY399">
        <v>4.8</v>
      </c>
      <c r="AZ399">
        <v>2</v>
      </c>
      <c r="BA399">
        <v>1</v>
      </c>
      <c r="BB399">
        <v>36</v>
      </c>
      <c r="BC399">
        <v>27</v>
      </c>
      <c r="BD399">
        <v>31.37</v>
      </c>
      <c r="BE399">
        <v>158</v>
      </c>
      <c r="BF399">
        <v>87.1</v>
      </c>
      <c r="BG399">
        <v>43</v>
      </c>
      <c r="BH399">
        <v>27</v>
      </c>
      <c r="BI399">
        <v>37.299999999999997</v>
      </c>
      <c r="BJ399">
        <v>193</v>
      </c>
      <c r="BK399">
        <v>86.7</v>
      </c>
      <c r="BL399">
        <v>158</v>
      </c>
      <c r="BM399">
        <v>1.2737000000000001</v>
      </c>
    </row>
    <row r="400" spans="1:65" x14ac:dyDescent="0.25">
      <c r="A400" t="s">
        <v>463</v>
      </c>
      <c r="B400" t="s">
        <v>1375</v>
      </c>
      <c r="C400" t="s">
        <v>2160</v>
      </c>
      <c r="D400" s="1">
        <v>45404</v>
      </c>
      <c r="E400" s="1">
        <v>45446</v>
      </c>
      <c r="F400" s="1">
        <v>45509</v>
      </c>
      <c r="G400" t="s">
        <v>2166</v>
      </c>
      <c r="H400" t="s">
        <v>2172</v>
      </c>
      <c r="I400" t="s">
        <v>2174</v>
      </c>
      <c r="J400">
        <v>9076</v>
      </c>
      <c r="K400">
        <v>273</v>
      </c>
      <c r="L400">
        <v>1.7</v>
      </c>
      <c r="M400">
        <v>4.4000000000000004</v>
      </c>
      <c r="N400">
        <v>2</v>
      </c>
      <c r="O400">
        <v>6848</v>
      </c>
      <c r="P400" t="s">
        <v>2176</v>
      </c>
      <c r="Q400">
        <v>7</v>
      </c>
      <c r="R400">
        <v>10</v>
      </c>
      <c r="S400">
        <v>15</v>
      </c>
      <c r="T400">
        <v>626</v>
      </c>
      <c r="U400" t="s">
        <v>2188</v>
      </c>
      <c r="W400" t="s">
        <v>2209</v>
      </c>
      <c r="X400" t="s">
        <v>2211</v>
      </c>
      <c r="Y400" t="s">
        <v>2213</v>
      </c>
      <c r="Z400" s="1">
        <v>45494</v>
      </c>
      <c r="AA400" s="1">
        <v>45494</v>
      </c>
      <c r="AB400" t="s">
        <v>2214</v>
      </c>
      <c r="AC400" t="s">
        <v>2209</v>
      </c>
      <c r="AD400" t="s">
        <v>2219</v>
      </c>
      <c r="AE400" t="s">
        <v>2162</v>
      </c>
      <c r="AF400" t="s">
        <v>2165</v>
      </c>
      <c r="AG400" t="s">
        <v>2222</v>
      </c>
      <c r="AH400">
        <v>32</v>
      </c>
      <c r="AI400">
        <v>48</v>
      </c>
      <c r="AJ400">
        <v>16</v>
      </c>
      <c r="AK400">
        <v>6</v>
      </c>
      <c r="AL400" t="s">
        <v>2223</v>
      </c>
      <c r="AM400">
        <v>0</v>
      </c>
      <c r="AN400" t="s">
        <v>2176</v>
      </c>
      <c r="AO400" t="s">
        <v>2176</v>
      </c>
      <c r="AP400" t="s">
        <v>2176</v>
      </c>
      <c r="AQ400">
        <v>7.48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4.2</v>
      </c>
      <c r="AX400">
        <v>4.5999999999999996</v>
      </c>
      <c r="AY400">
        <v>4.8</v>
      </c>
      <c r="AZ400">
        <v>0</v>
      </c>
      <c r="BA400">
        <v>2</v>
      </c>
      <c r="BB400">
        <v>29</v>
      </c>
      <c r="BC400">
        <v>25</v>
      </c>
      <c r="BD400">
        <v>25.56</v>
      </c>
      <c r="BE400">
        <v>117</v>
      </c>
      <c r="BF400">
        <v>88.1</v>
      </c>
      <c r="BG400">
        <v>45</v>
      </c>
      <c r="BH400">
        <v>25</v>
      </c>
      <c r="BI400">
        <v>39.200000000000003</v>
      </c>
      <c r="BJ400">
        <v>186</v>
      </c>
      <c r="BK400">
        <v>87.1</v>
      </c>
      <c r="BL400">
        <v>278</v>
      </c>
      <c r="BM400">
        <v>3.1017999999999999</v>
      </c>
    </row>
    <row r="401" spans="1:65" x14ac:dyDescent="0.25">
      <c r="A401" t="s">
        <v>464</v>
      </c>
      <c r="B401" t="s">
        <v>1251</v>
      </c>
      <c r="C401" t="s">
        <v>2157</v>
      </c>
      <c r="D401" s="1">
        <v>45306</v>
      </c>
      <c r="E401" s="1">
        <v>45351</v>
      </c>
      <c r="F401" s="1">
        <v>45473</v>
      </c>
      <c r="G401" t="s">
        <v>2163</v>
      </c>
      <c r="H401" t="s">
        <v>2169</v>
      </c>
      <c r="I401" t="s">
        <v>2175</v>
      </c>
      <c r="J401">
        <v>42938</v>
      </c>
      <c r="K401">
        <v>1289</v>
      </c>
      <c r="L401">
        <v>11.3</v>
      </c>
      <c r="M401">
        <v>17.600000000000001</v>
      </c>
      <c r="N401">
        <v>5</v>
      </c>
      <c r="O401">
        <v>19749</v>
      </c>
      <c r="P401" t="s">
        <v>2178</v>
      </c>
      <c r="Q401">
        <v>18</v>
      </c>
      <c r="R401">
        <v>30</v>
      </c>
      <c r="S401">
        <v>46</v>
      </c>
      <c r="T401">
        <v>940</v>
      </c>
      <c r="U401" t="s">
        <v>2186</v>
      </c>
      <c r="W401" t="s">
        <v>2209</v>
      </c>
      <c r="X401" t="s">
        <v>2211</v>
      </c>
      <c r="Y401" t="s">
        <v>2213</v>
      </c>
      <c r="Z401" s="1">
        <v>45472</v>
      </c>
      <c r="AA401" s="1">
        <v>45472</v>
      </c>
      <c r="AB401" t="s">
        <v>2214</v>
      </c>
      <c r="AC401" t="s">
        <v>2209</v>
      </c>
      <c r="AD401" t="s">
        <v>2219</v>
      </c>
      <c r="AE401" t="s">
        <v>2161</v>
      </c>
      <c r="AF401" t="s">
        <v>2163</v>
      </c>
      <c r="AG401" t="s">
        <v>2222</v>
      </c>
      <c r="AH401">
        <v>94</v>
      </c>
      <c r="AI401">
        <v>121</v>
      </c>
      <c r="AJ401">
        <v>27</v>
      </c>
      <c r="AK401">
        <v>2</v>
      </c>
      <c r="AL401" t="s">
        <v>2228</v>
      </c>
      <c r="AM401">
        <v>0</v>
      </c>
      <c r="AN401" t="s">
        <v>2175</v>
      </c>
      <c r="AO401" t="s">
        <v>2177</v>
      </c>
      <c r="AP401" t="s">
        <v>2175</v>
      </c>
      <c r="AQ401">
        <v>198.88</v>
      </c>
      <c r="AR401">
        <v>3</v>
      </c>
      <c r="AS401">
        <v>3</v>
      </c>
      <c r="AT401">
        <v>2</v>
      </c>
      <c r="AU401">
        <v>3</v>
      </c>
      <c r="AV401">
        <v>2.666666666666667</v>
      </c>
      <c r="AW401">
        <v>4.3</v>
      </c>
      <c r="AX401">
        <v>4.4000000000000004</v>
      </c>
      <c r="AY401">
        <v>4.4000000000000004</v>
      </c>
      <c r="AZ401">
        <v>1</v>
      </c>
      <c r="BA401">
        <v>0</v>
      </c>
      <c r="BB401">
        <v>34</v>
      </c>
      <c r="BC401">
        <v>24</v>
      </c>
      <c r="BD401">
        <v>29.92</v>
      </c>
      <c r="BE401">
        <v>134</v>
      </c>
      <c r="BF401">
        <v>88</v>
      </c>
      <c r="BG401">
        <v>30</v>
      </c>
      <c r="BH401">
        <v>24</v>
      </c>
      <c r="BI401">
        <v>26.21</v>
      </c>
      <c r="BJ401">
        <v>116</v>
      </c>
      <c r="BK401">
        <v>87.4</v>
      </c>
      <c r="BL401">
        <v>250</v>
      </c>
      <c r="BM401">
        <v>13.347200000000001</v>
      </c>
    </row>
    <row r="402" spans="1:65" x14ac:dyDescent="0.25">
      <c r="A402" t="s">
        <v>465</v>
      </c>
      <c r="B402" t="s">
        <v>1447</v>
      </c>
      <c r="C402" t="s">
        <v>2158</v>
      </c>
      <c r="D402" s="1">
        <v>45594</v>
      </c>
      <c r="E402" s="1">
        <v>45627</v>
      </c>
      <c r="F402" s="1">
        <v>45672</v>
      </c>
      <c r="G402" t="s">
        <v>2162</v>
      </c>
      <c r="I402" t="s">
        <v>2175</v>
      </c>
      <c r="J402">
        <v>24039</v>
      </c>
      <c r="K402">
        <v>721</v>
      </c>
      <c r="L402">
        <v>10</v>
      </c>
      <c r="M402">
        <v>17.600000000000001</v>
      </c>
      <c r="N402">
        <v>5</v>
      </c>
      <c r="O402">
        <v>11028</v>
      </c>
      <c r="P402" t="s">
        <v>2178</v>
      </c>
      <c r="Q402">
        <v>12</v>
      </c>
      <c r="R402">
        <v>18</v>
      </c>
      <c r="S402">
        <v>20</v>
      </c>
      <c r="T402">
        <v>480</v>
      </c>
      <c r="U402" t="s">
        <v>2162</v>
      </c>
      <c r="W402" t="s">
        <v>2208</v>
      </c>
      <c r="X402" t="s">
        <v>2210</v>
      </c>
      <c r="Y402" t="s">
        <v>2212</v>
      </c>
      <c r="Z402" s="1">
        <v>45677</v>
      </c>
      <c r="AA402" s="1">
        <v>45699</v>
      </c>
      <c r="AB402" t="s">
        <v>2215</v>
      </c>
      <c r="AC402" t="s">
        <v>2208</v>
      </c>
      <c r="AD402" t="s">
        <v>2216</v>
      </c>
      <c r="AE402" t="s">
        <v>2162</v>
      </c>
      <c r="AG402" t="s">
        <v>2220</v>
      </c>
      <c r="AH402">
        <v>50</v>
      </c>
      <c r="AI402">
        <v>72</v>
      </c>
      <c r="AJ402">
        <v>22</v>
      </c>
      <c r="AK402">
        <v>12</v>
      </c>
      <c r="AL402" t="s">
        <v>2229</v>
      </c>
      <c r="AM402">
        <v>1</v>
      </c>
      <c r="AN402" t="s">
        <v>2175</v>
      </c>
      <c r="AO402" t="s">
        <v>2177</v>
      </c>
      <c r="AP402" t="s">
        <v>2177</v>
      </c>
      <c r="AQ402">
        <v>176</v>
      </c>
      <c r="AR402">
        <v>3</v>
      </c>
      <c r="AS402">
        <v>3</v>
      </c>
      <c r="AT402">
        <v>2</v>
      </c>
      <c r="AU402">
        <v>2</v>
      </c>
      <c r="AV402">
        <v>2.333333333333333</v>
      </c>
      <c r="AW402">
        <v>4.2</v>
      </c>
      <c r="AY402">
        <v>4.2</v>
      </c>
      <c r="AZ402">
        <v>2</v>
      </c>
      <c r="BA402">
        <v>3</v>
      </c>
      <c r="BB402">
        <v>26</v>
      </c>
      <c r="BC402">
        <v>27</v>
      </c>
      <c r="BD402">
        <v>23.04</v>
      </c>
      <c r="BE402">
        <v>110</v>
      </c>
      <c r="BF402">
        <v>88.6</v>
      </c>
      <c r="BG402">
        <v>26</v>
      </c>
      <c r="BH402">
        <v>27</v>
      </c>
      <c r="BI402">
        <v>23.04</v>
      </c>
      <c r="BJ402">
        <v>110</v>
      </c>
      <c r="BK402">
        <v>88.6</v>
      </c>
      <c r="BL402">
        <v>110</v>
      </c>
      <c r="BM402">
        <v>8.0912000000000006</v>
      </c>
    </row>
    <row r="403" spans="1:65" x14ac:dyDescent="0.25">
      <c r="A403" t="s">
        <v>466</v>
      </c>
      <c r="B403" t="s">
        <v>1448</v>
      </c>
      <c r="C403" t="s">
        <v>2158</v>
      </c>
      <c r="D403" s="1">
        <v>45547</v>
      </c>
      <c r="E403" s="1">
        <v>45605</v>
      </c>
      <c r="F403" s="1">
        <v>45635</v>
      </c>
      <c r="G403" t="s">
        <v>2164</v>
      </c>
      <c r="I403" t="s">
        <v>2173</v>
      </c>
      <c r="J403">
        <v>10206</v>
      </c>
      <c r="K403">
        <v>306</v>
      </c>
      <c r="L403">
        <v>5.4</v>
      </c>
      <c r="M403">
        <v>13.3</v>
      </c>
      <c r="N403">
        <v>5</v>
      </c>
      <c r="O403">
        <v>16019</v>
      </c>
      <c r="P403" t="s">
        <v>2178</v>
      </c>
      <c r="Q403">
        <v>4</v>
      </c>
      <c r="R403">
        <v>4</v>
      </c>
      <c r="S403">
        <v>9</v>
      </c>
      <c r="T403">
        <v>600</v>
      </c>
      <c r="U403" t="s">
        <v>2164</v>
      </c>
      <c r="W403" t="s">
        <v>2208</v>
      </c>
      <c r="X403" t="s">
        <v>2210</v>
      </c>
      <c r="Y403" t="s">
        <v>2212</v>
      </c>
      <c r="Z403" s="1">
        <v>45622</v>
      </c>
      <c r="AA403" s="1">
        <v>45639</v>
      </c>
      <c r="AB403" t="s">
        <v>2214</v>
      </c>
      <c r="AC403" t="s">
        <v>2209</v>
      </c>
      <c r="AD403" t="s">
        <v>2216</v>
      </c>
      <c r="AE403" t="s">
        <v>2164</v>
      </c>
      <c r="AG403" t="s">
        <v>2220</v>
      </c>
      <c r="AH403">
        <v>17</v>
      </c>
      <c r="AI403">
        <v>34</v>
      </c>
      <c r="AJ403">
        <v>17</v>
      </c>
      <c r="AK403">
        <v>11</v>
      </c>
      <c r="AL403" t="s">
        <v>2231</v>
      </c>
      <c r="AM403">
        <v>1</v>
      </c>
      <c r="AN403" t="s">
        <v>2177</v>
      </c>
      <c r="AO403" t="s">
        <v>2177</v>
      </c>
      <c r="AP403" t="s">
        <v>2175</v>
      </c>
      <c r="AQ403">
        <v>71.820000000000007</v>
      </c>
      <c r="AR403">
        <v>3</v>
      </c>
      <c r="AS403">
        <v>2</v>
      </c>
      <c r="AT403">
        <v>2</v>
      </c>
      <c r="AU403">
        <v>3</v>
      </c>
      <c r="AV403">
        <v>2.333333333333333</v>
      </c>
      <c r="AW403">
        <v>4.5</v>
      </c>
      <c r="AY403">
        <v>4.5</v>
      </c>
      <c r="AZ403">
        <v>2</v>
      </c>
      <c r="BA403">
        <v>2</v>
      </c>
      <c r="BB403">
        <v>35</v>
      </c>
      <c r="BC403">
        <v>25</v>
      </c>
      <c r="BD403">
        <v>30.64</v>
      </c>
      <c r="BE403">
        <v>142</v>
      </c>
      <c r="BF403">
        <v>87.5</v>
      </c>
      <c r="BG403">
        <v>35</v>
      </c>
      <c r="BH403">
        <v>25</v>
      </c>
      <c r="BI403">
        <v>30.64</v>
      </c>
      <c r="BJ403">
        <v>142</v>
      </c>
      <c r="BK403">
        <v>87.5</v>
      </c>
      <c r="BL403">
        <v>142</v>
      </c>
      <c r="BM403">
        <v>2.8740999999999999</v>
      </c>
    </row>
    <row r="404" spans="1:65" x14ac:dyDescent="0.25">
      <c r="A404" t="s">
        <v>467</v>
      </c>
      <c r="B404" t="s">
        <v>1449</v>
      </c>
      <c r="C404" t="s">
        <v>2159</v>
      </c>
      <c r="D404" s="1">
        <v>45550</v>
      </c>
      <c r="E404" s="1">
        <v>45597</v>
      </c>
      <c r="F404" s="1">
        <v>45726</v>
      </c>
      <c r="G404" t="s">
        <v>2164</v>
      </c>
      <c r="I404" t="s">
        <v>2175</v>
      </c>
      <c r="J404">
        <v>43827</v>
      </c>
      <c r="K404">
        <v>1314</v>
      </c>
      <c r="L404">
        <v>13.1</v>
      </c>
      <c r="M404">
        <v>8.8000000000000007</v>
      </c>
      <c r="N404">
        <v>6</v>
      </c>
      <c r="O404">
        <v>13627</v>
      </c>
      <c r="P404" t="s">
        <v>2178</v>
      </c>
      <c r="Q404">
        <v>32</v>
      </c>
      <c r="R404">
        <v>49</v>
      </c>
      <c r="S404">
        <v>52</v>
      </c>
      <c r="T404">
        <v>329</v>
      </c>
      <c r="U404" t="s">
        <v>2164</v>
      </c>
      <c r="W404" t="s">
        <v>2208</v>
      </c>
      <c r="X404" t="s">
        <v>2210</v>
      </c>
      <c r="Y404" t="s">
        <v>2212</v>
      </c>
      <c r="Z404" s="1">
        <v>45730</v>
      </c>
      <c r="AA404" s="1">
        <v>45746</v>
      </c>
      <c r="AB404" t="s">
        <v>2215</v>
      </c>
      <c r="AC404" t="s">
        <v>2208</v>
      </c>
      <c r="AD404" t="s">
        <v>2216</v>
      </c>
      <c r="AE404" t="s">
        <v>2164</v>
      </c>
      <c r="AG404" t="s">
        <v>2220</v>
      </c>
      <c r="AH404">
        <v>133</v>
      </c>
      <c r="AI404">
        <v>149</v>
      </c>
      <c r="AJ404">
        <v>16</v>
      </c>
      <c r="AK404">
        <v>11</v>
      </c>
      <c r="AL404" t="s">
        <v>2231</v>
      </c>
      <c r="AM404">
        <v>1</v>
      </c>
      <c r="AN404" t="s">
        <v>2177</v>
      </c>
      <c r="AO404" t="s">
        <v>2177</v>
      </c>
      <c r="AP404" t="s">
        <v>2177</v>
      </c>
      <c r="AQ404">
        <v>115.28</v>
      </c>
      <c r="AR404">
        <v>3</v>
      </c>
      <c r="AS404">
        <v>2</v>
      </c>
      <c r="AT404">
        <v>2</v>
      </c>
      <c r="AU404">
        <v>2</v>
      </c>
      <c r="AV404">
        <v>2</v>
      </c>
      <c r="AW404">
        <v>4.5</v>
      </c>
      <c r="AY404">
        <v>4.5</v>
      </c>
      <c r="AZ404">
        <v>0</v>
      </c>
      <c r="BA404">
        <v>3</v>
      </c>
      <c r="BB404">
        <v>35</v>
      </c>
      <c r="BC404">
        <v>25</v>
      </c>
      <c r="BD404">
        <v>30.64</v>
      </c>
      <c r="BE404">
        <v>142</v>
      </c>
      <c r="BF404">
        <v>87.5</v>
      </c>
      <c r="BG404">
        <v>35</v>
      </c>
      <c r="BH404">
        <v>25</v>
      </c>
      <c r="BI404">
        <v>30.64</v>
      </c>
      <c r="BJ404">
        <v>142</v>
      </c>
      <c r="BK404">
        <v>87.5</v>
      </c>
      <c r="BL404">
        <v>142</v>
      </c>
      <c r="BM404">
        <v>12.3422</v>
      </c>
    </row>
    <row r="405" spans="1:65" x14ac:dyDescent="0.25">
      <c r="A405" t="s">
        <v>468</v>
      </c>
      <c r="B405" t="s">
        <v>1450</v>
      </c>
      <c r="C405" t="s">
        <v>2159</v>
      </c>
      <c r="D405" s="1">
        <v>45524</v>
      </c>
      <c r="E405" s="1">
        <v>45580</v>
      </c>
      <c r="F405" s="1">
        <v>45675</v>
      </c>
      <c r="G405" t="s">
        <v>2162</v>
      </c>
      <c r="I405" t="s">
        <v>2173</v>
      </c>
      <c r="J405">
        <v>33776</v>
      </c>
      <c r="K405">
        <v>1013</v>
      </c>
      <c r="L405">
        <v>9.6</v>
      </c>
      <c r="M405">
        <v>9</v>
      </c>
      <c r="N405">
        <v>8</v>
      </c>
      <c r="O405">
        <v>15530</v>
      </c>
      <c r="P405" t="s">
        <v>2178</v>
      </c>
      <c r="Q405">
        <v>21</v>
      </c>
      <c r="R405">
        <v>33</v>
      </c>
      <c r="S405">
        <v>27</v>
      </c>
      <c r="T405">
        <v>416</v>
      </c>
      <c r="U405" t="s">
        <v>2162</v>
      </c>
      <c r="W405" t="s">
        <v>2208</v>
      </c>
      <c r="X405" t="s">
        <v>2210</v>
      </c>
      <c r="Y405" t="s">
        <v>2212</v>
      </c>
      <c r="Z405" s="1">
        <v>45661</v>
      </c>
      <c r="AA405" s="1">
        <v>45682</v>
      </c>
      <c r="AB405" t="s">
        <v>2214</v>
      </c>
      <c r="AC405" t="s">
        <v>2209</v>
      </c>
      <c r="AD405" t="s">
        <v>2216</v>
      </c>
      <c r="AE405" t="s">
        <v>2162</v>
      </c>
      <c r="AG405" t="s">
        <v>2220</v>
      </c>
      <c r="AH405">
        <v>81</v>
      </c>
      <c r="AI405">
        <v>102</v>
      </c>
      <c r="AJ405">
        <v>21</v>
      </c>
      <c r="AK405">
        <v>10</v>
      </c>
      <c r="AL405" t="s">
        <v>2230</v>
      </c>
      <c r="AM405">
        <v>1</v>
      </c>
      <c r="AN405" t="s">
        <v>2177</v>
      </c>
      <c r="AO405" t="s">
        <v>2175</v>
      </c>
      <c r="AP405" t="s">
        <v>2175</v>
      </c>
      <c r="AQ405">
        <v>86.399999999999991</v>
      </c>
      <c r="AR405">
        <v>3</v>
      </c>
      <c r="AS405">
        <v>2</v>
      </c>
      <c r="AT405">
        <v>3</v>
      </c>
      <c r="AU405">
        <v>3</v>
      </c>
      <c r="AV405">
        <v>2.666666666666667</v>
      </c>
      <c r="AW405">
        <v>4.2</v>
      </c>
      <c r="AY405">
        <v>4.2</v>
      </c>
      <c r="AZ405">
        <v>0</v>
      </c>
      <c r="BA405">
        <v>2</v>
      </c>
      <c r="BB405">
        <v>25</v>
      </c>
      <c r="BC405">
        <v>27</v>
      </c>
      <c r="BD405">
        <v>21.89</v>
      </c>
      <c r="BE405">
        <v>108</v>
      </c>
      <c r="BF405">
        <v>87.6</v>
      </c>
      <c r="BG405">
        <v>25</v>
      </c>
      <c r="BH405">
        <v>27</v>
      </c>
      <c r="BI405">
        <v>21.89</v>
      </c>
      <c r="BJ405">
        <v>108</v>
      </c>
      <c r="BK405">
        <v>87.6</v>
      </c>
      <c r="BL405">
        <v>108</v>
      </c>
      <c r="BM405">
        <v>11.579000000000001</v>
      </c>
    </row>
    <row r="406" spans="1:65" x14ac:dyDescent="0.25">
      <c r="A406" t="s">
        <v>469</v>
      </c>
      <c r="B406" t="s">
        <v>1451</v>
      </c>
      <c r="C406" t="s">
        <v>2159</v>
      </c>
      <c r="D406" s="1">
        <v>45543</v>
      </c>
      <c r="E406" s="1">
        <v>45599</v>
      </c>
      <c r="F406" s="1">
        <v>45643</v>
      </c>
      <c r="G406" t="s">
        <v>2164</v>
      </c>
      <c r="I406" t="s">
        <v>2173</v>
      </c>
      <c r="J406">
        <v>23545</v>
      </c>
      <c r="K406">
        <v>706</v>
      </c>
      <c r="L406">
        <v>10.199999999999999</v>
      </c>
      <c r="M406">
        <v>5.8</v>
      </c>
      <c r="N406">
        <v>8</v>
      </c>
      <c r="O406">
        <v>11291</v>
      </c>
      <c r="P406" t="s">
        <v>2178</v>
      </c>
      <c r="Q406">
        <v>10</v>
      </c>
      <c r="R406">
        <v>13</v>
      </c>
      <c r="S406">
        <v>18</v>
      </c>
      <c r="T406">
        <v>574</v>
      </c>
      <c r="U406" t="s">
        <v>2164</v>
      </c>
      <c r="W406" t="s">
        <v>2208</v>
      </c>
      <c r="X406" t="s">
        <v>2210</v>
      </c>
      <c r="Y406" t="s">
        <v>2212</v>
      </c>
      <c r="Z406" s="1">
        <v>45640</v>
      </c>
      <c r="AA406" s="1">
        <v>45659</v>
      </c>
      <c r="AB406" t="s">
        <v>2215</v>
      </c>
      <c r="AC406" t="s">
        <v>2208</v>
      </c>
      <c r="AD406" t="s">
        <v>2216</v>
      </c>
      <c r="AE406" t="s">
        <v>2164</v>
      </c>
      <c r="AG406" t="s">
        <v>2220</v>
      </c>
      <c r="AH406">
        <v>41</v>
      </c>
      <c r="AI406">
        <v>60</v>
      </c>
      <c r="AJ406">
        <v>19</v>
      </c>
      <c r="AK406">
        <v>11</v>
      </c>
      <c r="AL406" t="s">
        <v>2231</v>
      </c>
      <c r="AM406">
        <v>1</v>
      </c>
      <c r="AN406" t="s">
        <v>2177</v>
      </c>
      <c r="AO406" t="s">
        <v>2175</v>
      </c>
      <c r="AP406" t="s">
        <v>2177</v>
      </c>
      <c r="AQ406">
        <v>59.16</v>
      </c>
      <c r="AR406">
        <v>3</v>
      </c>
      <c r="AS406">
        <v>2</v>
      </c>
      <c r="AT406">
        <v>3</v>
      </c>
      <c r="AU406">
        <v>2</v>
      </c>
      <c r="AV406">
        <v>2.333333333333333</v>
      </c>
      <c r="AW406">
        <v>4.5</v>
      </c>
      <c r="AY406">
        <v>4.5</v>
      </c>
      <c r="AZ406">
        <v>0</v>
      </c>
      <c r="BA406">
        <v>2</v>
      </c>
      <c r="BB406">
        <v>35</v>
      </c>
      <c r="BC406">
        <v>25</v>
      </c>
      <c r="BD406">
        <v>30.64</v>
      </c>
      <c r="BE406">
        <v>142</v>
      </c>
      <c r="BF406">
        <v>87.5</v>
      </c>
      <c r="BG406">
        <v>35</v>
      </c>
      <c r="BH406">
        <v>25</v>
      </c>
      <c r="BI406">
        <v>30.64</v>
      </c>
      <c r="BJ406">
        <v>142</v>
      </c>
      <c r="BK406">
        <v>87.5</v>
      </c>
      <c r="BL406">
        <v>142</v>
      </c>
      <c r="BM406">
        <v>6.6304999999999996</v>
      </c>
    </row>
    <row r="407" spans="1:65" x14ac:dyDescent="0.25">
      <c r="A407" t="s">
        <v>470</v>
      </c>
      <c r="B407" t="s">
        <v>1452</v>
      </c>
      <c r="C407" t="s">
        <v>2159</v>
      </c>
      <c r="D407" s="1">
        <v>45548</v>
      </c>
      <c r="E407" s="1">
        <v>45573</v>
      </c>
      <c r="F407" s="1">
        <v>45643</v>
      </c>
      <c r="G407" t="s">
        <v>2166</v>
      </c>
      <c r="I407" t="s">
        <v>2173</v>
      </c>
      <c r="J407">
        <v>36736</v>
      </c>
      <c r="K407">
        <v>1102</v>
      </c>
      <c r="L407">
        <v>9.5</v>
      </c>
      <c r="M407">
        <v>13.2</v>
      </c>
      <c r="N407">
        <v>6</v>
      </c>
      <c r="O407">
        <v>15172</v>
      </c>
      <c r="P407" t="s">
        <v>2178</v>
      </c>
      <c r="Q407">
        <v>19</v>
      </c>
      <c r="R407">
        <v>27</v>
      </c>
      <c r="S407">
        <v>25</v>
      </c>
      <c r="T407">
        <v>517</v>
      </c>
      <c r="U407" t="s">
        <v>2166</v>
      </c>
      <c r="W407" t="s">
        <v>2208</v>
      </c>
      <c r="X407" t="s">
        <v>2210</v>
      </c>
      <c r="Y407" t="s">
        <v>2212</v>
      </c>
      <c r="Z407" s="1">
        <v>45644</v>
      </c>
      <c r="AA407" s="1">
        <v>45668</v>
      </c>
      <c r="AB407" t="s">
        <v>2215</v>
      </c>
      <c r="AC407" t="s">
        <v>2208</v>
      </c>
      <c r="AD407" t="s">
        <v>2216</v>
      </c>
      <c r="AE407" t="s">
        <v>2166</v>
      </c>
      <c r="AG407" t="s">
        <v>2220</v>
      </c>
      <c r="AH407">
        <v>71</v>
      </c>
      <c r="AI407">
        <v>95</v>
      </c>
      <c r="AJ407">
        <v>24</v>
      </c>
      <c r="AK407">
        <v>10</v>
      </c>
      <c r="AL407" t="s">
        <v>2230</v>
      </c>
      <c r="AM407">
        <v>1</v>
      </c>
      <c r="AN407" t="s">
        <v>2177</v>
      </c>
      <c r="AO407" t="s">
        <v>2177</v>
      </c>
      <c r="AP407" t="s">
        <v>2175</v>
      </c>
      <c r="AQ407">
        <v>125.4</v>
      </c>
      <c r="AR407">
        <v>3</v>
      </c>
      <c r="AS407">
        <v>2</v>
      </c>
      <c r="AT407">
        <v>2</v>
      </c>
      <c r="AU407">
        <v>3</v>
      </c>
      <c r="AV407">
        <v>2.333333333333333</v>
      </c>
      <c r="AW407">
        <v>4.8</v>
      </c>
      <c r="AY407">
        <v>4.8</v>
      </c>
      <c r="AZ407">
        <v>0</v>
      </c>
      <c r="BA407">
        <v>2</v>
      </c>
      <c r="BB407">
        <v>50</v>
      </c>
      <c r="BC407">
        <v>27</v>
      </c>
      <c r="BD407">
        <v>42.44</v>
      </c>
      <c r="BE407">
        <v>220</v>
      </c>
      <c r="BF407">
        <v>84.9</v>
      </c>
      <c r="BG407">
        <v>50</v>
      </c>
      <c r="BH407">
        <v>27</v>
      </c>
      <c r="BI407">
        <v>42.44</v>
      </c>
      <c r="BJ407">
        <v>220</v>
      </c>
      <c r="BK407">
        <v>84.9</v>
      </c>
      <c r="BL407">
        <v>220</v>
      </c>
      <c r="BM407">
        <v>6.1835000000000004</v>
      </c>
    </row>
    <row r="408" spans="1:65" x14ac:dyDescent="0.25">
      <c r="A408" t="s">
        <v>471</v>
      </c>
      <c r="B408" t="s">
        <v>1453</v>
      </c>
      <c r="C408" t="s">
        <v>2157</v>
      </c>
      <c r="D408" s="1">
        <v>45583</v>
      </c>
      <c r="E408" s="1">
        <v>45608</v>
      </c>
      <c r="F408" s="1">
        <v>45707</v>
      </c>
      <c r="G408" t="s">
        <v>2163</v>
      </c>
      <c r="I408" t="s">
        <v>2175</v>
      </c>
      <c r="J408">
        <v>42970</v>
      </c>
      <c r="K408">
        <v>1289</v>
      </c>
      <c r="L408">
        <v>17.8</v>
      </c>
      <c r="M408">
        <v>10.199999999999999</v>
      </c>
      <c r="N408">
        <v>8</v>
      </c>
      <c r="O408">
        <v>16287</v>
      </c>
      <c r="P408" t="s">
        <v>2178</v>
      </c>
      <c r="Q408">
        <v>21</v>
      </c>
      <c r="R408">
        <v>35</v>
      </c>
      <c r="S408">
        <v>29</v>
      </c>
      <c r="T408">
        <v>505</v>
      </c>
      <c r="U408" t="s">
        <v>2163</v>
      </c>
      <c r="W408" t="s">
        <v>2208</v>
      </c>
      <c r="X408" t="s">
        <v>2210</v>
      </c>
      <c r="Y408" t="s">
        <v>2212</v>
      </c>
      <c r="Z408" s="1">
        <v>45693</v>
      </c>
      <c r="AA408" s="1">
        <v>45706</v>
      </c>
      <c r="AB408" t="s">
        <v>2214</v>
      </c>
      <c r="AC408" t="s">
        <v>2209</v>
      </c>
      <c r="AD408" t="s">
        <v>2216</v>
      </c>
      <c r="AE408" t="s">
        <v>2163</v>
      </c>
      <c r="AG408" t="s">
        <v>2220</v>
      </c>
      <c r="AH408">
        <v>85</v>
      </c>
      <c r="AI408">
        <v>98</v>
      </c>
      <c r="AJ408">
        <v>13</v>
      </c>
      <c r="AK408">
        <v>11</v>
      </c>
      <c r="AL408" t="s">
        <v>2231</v>
      </c>
      <c r="AM408">
        <v>1</v>
      </c>
      <c r="AN408" t="s">
        <v>2175</v>
      </c>
      <c r="AO408" t="s">
        <v>2175</v>
      </c>
      <c r="AP408" t="s">
        <v>2175</v>
      </c>
      <c r="AQ408">
        <v>181.56</v>
      </c>
      <c r="AR408">
        <v>3</v>
      </c>
      <c r="AS408">
        <v>3</v>
      </c>
      <c r="AT408">
        <v>3</v>
      </c>
      <c r="AU408">
        <v>3</v>
      </c>
      <c r="AV408">
        <v>3</v>
      </c>
      <c r="AW408">
        <v>4.4000000000000004</v>
      </c>
      <c r="AY408">
        <v>4.4000000000000004</v>
      </c>
      <c r="AZ408">
        <v>3</v>
      </c>
      <c r="BA408">
        <v>3</v>
      </c>
      <c r="BB408">
        <v>39</v>
      </c>
      <c r="BC408">
        <v>25</v>
      </c>
      <c r="BD408">
        <v>34.08</v>
      </c>
      <c r="BE408">
        <v>161</v>
      </c>
      <c r="BF408">
        <v>87.4</v>
      </c>
      <c r="BG408">
        <v>39</v>
      </c>
      <c r="BH408">
        <v>25</v>
      </c>
      <c r="BI408">
        <v>34.08</v>
      </c>
      <c r="BJ408">
        <v>161</v>
      </c>
      <c r="BK408">
        <v>87.4</v>
      </c>
      <c r="BL408">
        <v>161</v>
      </c>
      <c r="BM408">
        <v>10.6731</v>
      </c>
    </row>
    <row r="409" spans="1:65" x14ac:dyDescent="0.25">
      <c r="A409" t="s">
        <v>472</v>
      </c>
      <c r="B409" t="s">
        <v>1454</v>
      </c>
      <c r="C409" t="s">
        <v>2157</v>
      </c>
      <c r="D409" s="1">
        <v>45557</v>
      </c>
      <c r="E409" s="1">
        <v>45615</v>
      </c>
      <c r="F409" s="1">
        <v>45694</v>
      </c>
      <c r="G409" t="s">
        <v>2161</v>
      </c>
      <c r="I409" t="s">
        <v>2175</v>
      </c>
      <c r="J409">
        <v>36370</v>
      </c>
      <c r="K409">
        <v>1091</v>
      </c>
      <c r="L409">
        <v>15.5</v>
      </c>
      <c r="M409">
        <v>9.5</v>
      </c>
      <c r="N409">
        <v>8</v>
      </c>
      <c r="O409">
        <v>18680</v>
      </c>
      <c r="P409" t="s">
        <v>2178</v>
      </c>
      <c r="Q409">
        <v>18</v>
      </c>
      <c r="R409">
        <v>28</v>
      </c>
      <c r="S409">
        <v>36</v>
      </c>
      <c r="T409">
        <v>443</v>
      </c>
      <c r="U409" t="s">
        <v>2161</v>
      </c>
      <c r="W409" t="s">
        <v>2208</v>
      </c>
      <c r="X409" t="s">
        <v>2210</v>
      </c>
      <c r="Y409" t="s">
        <v>2212</v>
      </c>
      <c r="Z409" s="1">
        <v>45697</v>
      </c>
      <c r="AA409" s="1">
        <v>45710</v>
      </c>
      <c r="AB409" t="s">
        <v>2215</v>
      </c>
      <c r="AC409" t="s">
        <v>2208</v>
      </c>
      <c r="AD409" t="s">
        <v>2216</v>
      </c>
      <c r="AE409" t="s">
        <v>2161</v>
      </c>
      <c r="AG409" t="s">
        <v>2220</v>
      </c>
      <c r="AH409">
        <v>82</v>
      </c>
      <c r="AI409">
        <v>95</v>
      </c>
      <c r="AJ409">
        <v>13</v>
      </c>
      <c r="AK409">
        <v>11</v>
      </c>
      <c r="AL409" t="s">
        <v>2231</v>
      </c>
      <c r="AM409">
        <v>1</v>
      </c>
      <c r="AN409" t="s">
        <v>2175</v>
      </c>
      <c r="AO409" t="s">
        <v>2175</v>
      </c>
      <c r="AP409" t="s">
        <v>2175</v>
      </c>
      <c r="AQ409">
        <v>147.25</v>
      </c>
      <c r="AR409">
        <v>3</v>
      </c>
      <c r="AS409">
        <v>3</v>
      </c>
      <c r="AT409">
        <v>3</v>
      </c>
      <c r="AU409">
        <v>3</v>
      </c>
      <c r="AV409">
        <v>3</v>
      </c>
      <c r="AW409">
        <v>4.3</v>
      </c>
      <c r="AY409">
        <v>4.3</v>
      </c>
      <c r="AZ409">
        <v>3</v>
      </c>
      <c r="BA409">
        <v>3</v>
      </c>
      <c r="BB409">
        <v>32</v>
      </c>
      <c r="BC409">
        <v>25</v>
      </c>
      <c r="BD409">
        <v>28.56</v>
      </c>
      <c r="BE409">
        <v>134</v>
      </c>
      <c r="BF409">
        <v>89.2</v>
      </c>
      <c r="BG409">
        <v>32</v>
      </c>
      <c r="BH409">
        <v>25</v>
      </c>
      <c r="BI409">
        <v>28.56</v>
      </c>
      <c r="BJ409">
        <v>134</v>
      </c>
      <c r="BK409">
        <v>89.2</v>
      </c>
      <c r="BL409">
        <v>134</v>
      </c>
      <c r="BM409">
        <v>10.8535</v>
      </c>
    </row>
    <row r="410" spans="1:65" x14ac:dyDescent="0.25">
      <c r="A410" t="s">
        <v>473</v>
      </c>
      <c r="B410" t="s">
        <v>1455</v>
      </c>
      <c r="C410" t="s">
        <v>2160</v>
      </c>
      <c r="D410" s="1">
        <v>45613</v>
      </c>
      <c r="E410" s="1">
        <v>45633</v>
      </c>
      <c r="F410" s="1">
        <v>45663</v>
      </c>
      <c r="G410" t="s">
        <v>2166</v>
      </c>
      <c r="I410" t="s">
        <v>2173</v>
      </c>
      <c r="J410">
        <v>11802</v>
      </c>
      <c r="K410">
        <v>354</v>
      </c>
      <c r="L410">
        <v>8.4</v>
      </c>
      <c r="M410">
        <v>13.6</v>
      </c>
      <c r="N410">
        <v>8</v>
      </c>
      <c r="O410">
        <v>19208</v>
      </c>
      <c r="P410" t="s">
        <v>2178</v>
      </c>
      <c r="Q410">
        <v>5</v>
      </c>
      <c r="R410">
        <v>6</v>
      </c>
      <c r="S410">
        <v>15</v>
      </c>
      <c r="T410">
        <v>453</v>
      </c>
      <c r="U410" t="s">
        <v>2166</v>
      </c>
      <c r="W410" t="s">
        <v>2208</v>
      </c>
      <c r="X410" t="s">
        <v>2210</v>
      </c>
      <c r="Y410" t="s">
        <v>2212</v>
      </c>
      <c r="Z410" s="1">
        <v>45659</v>
      </c>
      <c r="AA410" s="1">
        <v>45675</v>
      </c>
      <c r="AB410" t="s">
        <v>2215</v>
      </c>
      <c r="AC410" t="s">
        <v>2208</v>
      </c>
      <c r="AD410" t="s">
        <v>2216</v>
      </c>
      <c r="AE410" t="s">
        <v>2166</v>
      </c>
      <c r="AG410" t="s">
        <v>2220</v>
      </c>
      <c r="AH410">
        <v>26</v>
      </c>
      <c r="AI410">
        <v>42</v>
      </c>
      <c r="AJ410">
        <v>16</v>
      </c>
      <c r="AK410">
        <v>12</v>
      </c>
      <c r="AL410" t="s">
        <v>2229</v>
      </c>
      <c r="AM410">
        <v>1</v>
      </c>
      <c r="AN410" t="s">
        <v>2177</v>
      </c>
      <c r="AO410" t="s">
        <v>2175</v>
      </c>
      <c r="AP410" t="s">
        <v>2175</v>
      </c>
      <c r="AQ410">
        <v>114.24</v>
      </c>
      <c r="AR410">
        <v>3</v>
      </c>
      <c r="AS410">
        <v>2</v>
      </c>
      <c r="AT410">
        <v>3</v>
      </c>
      <c r="AU410">
        <v>3</v>
      </c>
      <c r="AV410">
        <v>2.666666666666667</v>
      </c>
      <c r="AW410">
        <v>4.8</v>
      </c>
      <c r="AY410">
        <v>4.8</v>
      </c>
      <c r="AZ410">
        <v>1</v>
      </c>
      <c r="BA410">
        <v>2</v>
      </c>
      <c r="BB410">
        <v>47</v>
      </c>
      <c r="BC410">
        <v>27</v>
      </c>
      <c r="BD410">
        <v>40.89</v>
      </c>
      <c r="BE410">
        <v>208</v>
      </c>
      <c r="BF410">
        <v>87</v>
      </c>
      <c r="BG410">
        <v>47</v>
      </c>
      <c r="BH410">
        <v>27</v>
      </c>
      <c r="BI410">
        <v>40.89</v>
      </c>
      <c r="BJ410">
        <v>208</v>
      </c>
      <c r="BK410">
        <v>87</v>
      </c>
      <c r="BL410">
        <v>208</v>
      </c>
      <c r="BM410">
        <v>2.1011000000000002</v>
      </c>
    </row>
    <row r="411" spans="1:65" x14ac:dyDescent="0.25">
      <c r="A411" t="s">
        <v>474</v>
      </c>
      <c r="B411" t="s">
        <v>1456</v>
      </c>
      <c r="C411" t="s">
        <v>2157</v>
      </c>
      <c r="D411" s="1">
        <v>45607</v>
      </c>
      <c r="E411" s="1">
        <v>45634</v>
      </c>
      <c r="F411" s="1">
        <v>45727</v>
      </c>
      <c r="G411" t="s">
        <v>2162</v>
      </c>
      <c r="I411" t="s">
        <v>2173</v>
      </c>
      <c r="J411">
        <v>30932</v>
      </c>
      <c r="K411">
        <v>927</v>
      </c>
      <c r="L411">
        <v>16</v>
      </c>
      <c r="M411">
        <v>16.100000000000001</v>
      </c>
      <c r="N411">
        <v>8</v>
      </c>
      <c r="O411">
        <v>19888</v>
      </c>
      <c r="P411" t="s">
        <v>2178</v>
      </c>
      <c r="Q411">
        <v>25</v>
      </c>
      <c r="R411">
        <v>34</v>
      </c>
      <c r="S411">
        <v>24</v>
      </c>
      <c r="T411">
        <v>372</v>
      </c>
      <c r="U411" t="s">
        <v>2162</v>
      </c>
      <c r="W411" t="s">
        <v>2208</v>
      </c>
      <c r="X411" t="s">
        <v>2210</v>
      </c>
      <c r="Y411" t="s">
        <v>2212</v>
      </c>
      <c r="Z411" s="1">
        <v>45717</v>
      </c>
      <c r="AA411" s="1">
        <v>45737</v>
      </c>
      <c r="AB411" t="s">
        <v>2215</v>
      </c>
      <c r="AC411" t="s">
        <v>2208</v>
      </c>
      <c r="AD411" t="s">
        <v>2216</v>
      </c>
      <c r="AE411" t="s">
        <v>2162</v>
      </c>
      <c r="AG411" t="s">
        <v>2220</v>
      </c>
      <c r="AH411">
        <v>83</v>
      </c>
      <c r="AI411">
        <v>103</v>
      </c>
      <c r="AJ411">
        <v>20</v>
      </c>
      <c r="AK411">
        <v>12</v>
      </c>
      <c r="AL411" t="s">
        <v>2229</v>
      </c>
      <c r="AM411">
        <v>1</v>
      </c>
      <c r="AN411" t="s">
        <v>2175</v>
      </c>
      <c r="AO411" t="s">
        <v>2175</v>
      </c>
      <c r="AP411" t="s">
        <v>2175</v>
      </c>
      <c r="AQ411">
        <v>257.60000000000002</v>
      </c>
      <c r="AR411">
        <v>3</v>
      </c>
      <c r="AS411">
        <v>3</v>
      </c>
      <c r="AT411">
        <v>3</v>
      </c>
      <c r="AU411">
        <v>3</v>
      </c>
      <c r="AV411">
        <v>3</v>
      </c>
      <c r="AW411">
        <v>4.2</v>
      </c>
      <c r="AY411">
        <v>4.2</v>
      </c>
      <c r="AZ411">
        <v>3</v>
      </c>
      <c r="BA411">
        <v>2</v>
      </c>
      <c r="BB411">
        <v>26</v>
      </c>
      <c r="BC411">
        <v>27</v>
      </c>
      <c r="BD411">
        <v>23.04</v>
      </c>
      <c r="BE411">
        <v>110</v>
      </c>
      <c r="BF411">
        <v>88.6</v>
      </c>
      <c r="BG411">
        <v>26</v>
      </c>
      <c r="BH411">
        <v>27</v>
      </c>
      <c r="BI411">
        <v>23.04</v>
      </c>
      <c r="BJ411">
        <v>110</v>
      </c>
      <c r="BK411">
        <v>88.6</v>
      </c>
      <c r="BL411">
        <v>110</v>
      </c>
      <c r="BM411">
        <v>10.411300000000001</v>
      </c>
    </row>
    <row r="412" spans="1:65" x14ac:dyDescent="0.25">
      <c r="A412" t="s">
        <v>475</v>
      </c>
      <c r="B412" t="s">
        <v>1457</v>
      </c>
      <c r="C412" t="s">
        <v>2157</v>
      </c>
      <c r="D412" s="1">
        <v>45594</v>
      </c>
      <c r="E412" s="1">
        <v>45627</v>
      </c>
      <c r="F412" s="1">
        <v>45668</v>
      </c>
      <c r="G412" t="s">
        <v>2162</v>
      </c>
      <c r="I412" t="s">
        <v>2173</v>
      </c>
      <c r="J412">
        <v>12557</v>
      </c>
      <c r="K412">
        <v>376</v>
      </c>
      <c r="L412">
        <v>12.1</v>
      </c>
      <c r="M412">
        <v>14</v>
      </c>
      <c r="N412">
        <v>5</v>
      </c>
      <c r="O412">
        <v>18352</v>
      </c>
      <c r="P412" t="s">
        <v>2178</v>
      </c>
      <c r="Q412">
        <v>9</v>
      </c>
      <c r="R412">
        <v>16</v>
      </c>
      <c r="S412">
        <v>8</v>
      </c>
      <c r="T412">
        <v>380</v>
      </c>
      <c r="U412" t="s">
        <v>2162</v>
      </c>
      <c r="W412" t="s">
        <v>2208</v>
      </c>
      <c r="X412" t="s">
        <v>2210</v>
      </c>
      <c r="Y412" t="s">
        <v>2212</v>
      </c>
      <c r="Z412" s="1">
        <v>45660</v>
      </c>
      <c r="AA412" s="1">
        <v>45676</v>
      </c>
      <c r="AB412" t="s">
        <v>2215</v>
      </c>
      <c r="AC412" t="s">
        <v>2208</v>
      </c>
      <c r="AD412" t="s">
        <v>2216</v>
      </c>
      <c r="AE412" t="s">
        <v>2162</v>
      </c>
      <c r="AG412" t="s">
        <v>2220</v>
      </c>
      <c r="AH412">
        <v>33</v>
      </c>
      <c r="AI412">
        <v>49</v>
      </c>
      <c r="AJ412">
        <v>16</v>
      </c>
      <c r="AK412">
        <v>12</v>
      </c>
      <c r="AL412" t="s">
        <v>2229</v>
      </c>
      <c r="AM412">
        <v>1</v>
      </c>
      <c r="AN412" t="s">
        <v>2175</v>
      </c>
      <c r="AO412" t="s">
        <v>2177</v>
      </c>
      <c r="AP412" t="s">
        <v>2175</v>
      </c>
      <c r="AQ412">
        <v>169.4</v>
      </c>
      <c r="AR412">
        <v>3</v>
      </c>
      <c r="AS412">
        <v>3</v>
      </c>
      <c r="AT412">
        <v>2</v>
      </c>
      <c r="AU412">
        <v>3</v>
      </c>
      <c r="AV412">
        <v>2.666666666666667</v>
      </c>
      <c r="AW412">
        <v>4.2</v>
      </c>
      <c r="AY412">
        <v>4.2</v>
      </c>
      <c r="AZ412">
        <v>3</v>
      </c>
      <c r="BA412">
        <v>2</v>
      </c>
      <c r="BB412">
        <v>26</v>
      </c>
      <c r="BC412">
        <v>27</v>
      </c>
      <c r="BD412">
        <v>23.04</v>
      </c>
      <c r="BE412">
        <v>110</v>
      </c>
      <c r="BF412">
        <v>88.6</v>
      </c>
      <c r="BG412">
        <v>26</v>
      </c>
      <c r="BH412">
        <v>27</v>
      </c>
      <c r="BI412">
        <v>23.04</v>
      </c>
      <c r="BJ412">
        <v>110</v>
      </c>
      <c r="BK412">
        <v>88.6</v>
      </c>
      <c r="BL412">
        <v>110</v>
      </c>
      <c r="BM412">
        <v>4.2264999999999997</v>
      </c>
    </row>
    <row r="413" spans="1:65" x14ac:dyDescent="0.25">
      <c r="A413" t="s">
        <v>476</v>
      </c>
      <c r="B413" t="s">
        <v>1458</v>
      </c>
      <c r="C413" t="s">
        <v>2159</v>
      </c>
      <c r="D413" s="1">
        <v>45553</v>
      </c>
      <c r="E413" s="1">
        <v>45580</v>
      </c>
      <c r="F413" s="1">
        <v>45664</v>
      </c>
      <c r="G413" t="s">
        <v>2163</v>
      </c>
      <c r="I413" t="s">
        <v>2173</v>
      </c>
      <c r="J413">
        <v>32399</v>
      </c>
      <c r="K413">
        <v>971</v>
      </c>
      <c r="L413">
        <v>12.1</v>
      </c>
      <c r="M413">
        <v>11.6</v>
      </c>
      <c r="N413">
        <v>7</v>
      </c>
      <c r="O413">
        <v>11045</v>
      </c>
      <c r="P413" t="s">
        <v>2178</v>
      </c>
      <c r="Q413">
        <v>24</v>
      </c>
      <c r="R413">
        <v>39</v>
      </c>
      <c r="S413">
        <v>26</v>
      </c>
      <c r="T413">
        <v>364</v>
      </c>
      <c r="U413" t="s">
        <v>2163</v>
      </c>
      <c r="W413" t="s">
        <v>2208</v>
      </c>
      <c r="X413" t="s">
        <v>2210</v>
      </c>
      <c r="Y413" t="s">
        <v>2212</v>
      </c>
      <c r="Z413" s="1">
        <v>45669</v>
      </c>
      <c r="AA413" s="1">
        <v>45687</v>
      </c>
      <c r="AB413" t="s">
        <v>2215</v>
      </c>
      <c r="AC413" t="s">
        <v>2208</v>
      </c>
      <c r="AD413" t="s">
        <v>2216</v>
      </c>
      <c r="AE413" t="s">
        <v>2163</v>
      </c>
      <c r="AG413" t="s">
        <v>2220</v>
      </c>
      <c r="AH413">
        <v>89</v>
      </c>
      <c r="AI413">
        <v>107</v>
      </c>
      <c r="AJ413">
        <v>18</v>
      </c>
      <c r="AK413">
        <v>10</v>
      </c>
      <c r="AL413" t="s">
        <v>2230</v>
      </c>
      <c r="AM413">
        <v>1</v>
      </c>
      <c r="AN413" t="s">
        <v>2175</v>
      </c>
      <c r="AO413" t="s">
        <v>2175</v>
      </c>
      <c r="AP413" t="s">
        <v>2177</v>
      </c>
      <c r="AQ413">
        <v>140.36000000000001</v>
      </c>
      <c r="AR413">
        <v>3</v>
      </c>
      <c r="AS413">
        <v>3</v>
      </c>
      <c r="AT413">
        <v>3</v>
      </c>
      <c r="AU413">
        <v>2</v>
      </c>
      <c r="AV413">
        <v>2.666666666666667</v>
      </c>
      <c r="AW413">
        <v>4.4000000000000004</v>
      </c>
      <c r="AY413">
        <v>4.4000000000000004</v>
      </c>
      <c r="AZ413">
        <v>0</v>
      </c>
      <c r="BA413">
        <v>2</v>
      </c>
      <c r="BB413">
        <v>37</v>
      </c>
      <c r="BC413">
        <v>27</v>
      </c>
      <c r="BD413">
        <v>32.81</v>
      </c>
      <c r="BE413">
        <v>165</v>
      </c>
      <c r="BF413">
        <v>88.7</v>
      </c>
      <c r="BG413">
        <v>37</v>
      </c>
      <c r="BH413">
        <v>27</v>
      </c>
      <c r="BI413">
        <v>32.81</v>
      </c>
      <c r="BJ413">
        <v>165</v>
      </c>
      <c r="BK413">
        <v>88.7</v>
      </c>
      <c r="BL413">
        <v>165</v>
      </c>
      <c r="BM413">
        <v>7.2709000000000001</v>
      </c>
    </row>
    <row r="414" spans="1:65" x14ac:dyDescent="0.25">
      <c r="A414" t="s">
        <v>477</v>
      </c>
      <c r="B414" t="s">
        <v>1459</v>
      </c>
      <c r="C414" t="s">
        <v>2158</v>
      </c>
      <c r="D414" s="1">
        <v>45585</v>
      </c>
      <c r="E414" s="1">
        <v>45633</v>
      </c>
      <c r="F414" s="1">
        <v>45732</v>
      </c>
      <c r="G414" t="s">
        <v>2164</v>
      </c>
      <c r="I414" t="s">
        <v>2175</v>
      </c>
      <c r="J414">
        <v>42352</v>
      </c>
      <c r="K414">
        <v>1270</v>
      </c>
      <c r="L414">
        <v>8.6999999999999993</v>
      </c>
      <c r="M414">
        <v>5.3</v>
      </c>
      <c r="N414">
        <v>8</v>
      </c>
      <c r="O414">
        <v>18208</v>
      </c>
      <c r="P414" t="s">
        <v>2178</v>
      </c>
      <c r="Q414">
        <v>20</v>
      </c>
      <c r="R414">
        <v>29</v>
      </c>
      <c r="S414">
        <v>40</v>
      </c>
      <c r="T414">
        <v>475</v>
      </c>
      <c r="U414" t="s">
        <v>2164</v>
      </c>
      <c r="W414" t="s">
        <v>2208</v>
      </c>
      <c r="X414" t="s">
        <v>2210</v>
      </c>
      <c r="Y414" t="s">
        <v>2212</v>
      </c>
      <c r="Z414" s="1">
        <v>45722</v>
      </c>
      <c r="AA414" s="1">
        <v>45746</v>
      </c>
      <c r="AB414" t="s">
        <v>2215</v>
      </c>
      <c r="AC414" t="s">
        <v>2208</v>
      </c>
      <c r="AD414" t="s">
        <v>2216</v>
      </c>
      <c r="AE414" t="s">
        <v>2164</v>
      </c>
      <c r="AG414" t="s">
        <v>2220</v>
      </c>
      <c r="AH414">
        <v>89</v>
      </c>
      <c r="AI414">
        <v>113</v>
      </c>
      <c r="AJ414">
        <v>24</v>
      </c>
      <c r="AK414">
        <v>12</v>
      </c>
      <c r="AL414" t="s">
        <v>2229</v>
      </c>
      <c r="AM414">
        <v>1</v>
      </c>
      <c r="AN414" t="s">
        <v>2177</v>
      </c>
      <c r="AO414" t="s">
        <v>2175</v>
      </c>
      <c r="AP414" t="s">
        <v>2175</v>
      </c>
      <c r="AQ414">
        <v>46.109999999999992</v>
      </c>
      <c r="AR414">
        <v>3</v>
      </c>
      <c r="AS414">
        <v>2</v>
      </c>
      <c r="AT414">
        <v>3</v>
      </c>
      <c r="AU414">
        <v>3</v>
      </c>
      <c r="AV414">
        <v>2.666666666666667</v>
      </c>
      <c r="AW414">
        <v>4.5</v>
      </c>
      <c r="AY414">
        <v>4.5</v>
      </c>
      <c r="AZ414">
        <v>2</v>
      </c>
      <c r="BA414">
        <v>3</v>
      </c>
      <c r="BB414">
        <v>35</v>
      </c>
      <c r="BC414">
        <v>27</v>
      </c>
      <c r="BD414">
        <v>30.78</v>
      </c>
      <c r="BE414">
        <v>153</v>
      </c>
      <c r="BF414">
        <v>87.9</v>
      </c>
      <c r="BG414">
        <v>35</v>
      </c>
      <c r="BH414">
        <v>27</v>
      </c>
      <c r="BI414">
        <v>30.78</v>
      </c>
      <c r="BJ414">
        <v>153</v>
      </c>
      <c r="BK414">
        <v>87.9</v>
      </c>
      <c r="BL414">
        <v>153</v>
      </c>
      <c r="BM414">
        <v>10.2498</v>
      </c>
    </row>
    <row r="415" spans="1:65" x14ac:dyDescent="0.25">
      <c r="A415" t="s">
        <v>478</v>
      </c>
      <c r="B415" t="s">
        <v>1460</v>
      </c>
      <c r="C415" t="s">
        <v>2160</v>
      </c>
      <c r="D415" s="1">
        <v>45585</v>
      </c>
      <c r="E415" s="1">
        <v>45627</v>
      </c>
      <c r="F415" s="1">
        <v>45753</v>
      </c>
      <c r="G415" t="s">
        <v>2161</v>
      </c>
      <c r="I415" t="s">
        <v>2173</v>
      </c>
      <c r="J415">
        <v>53525</v>
      </c>
      <c r="K415">
        <v>1605</v>
      </c>
      <c r="L415">
        <v>12.2</v>
      </c>
      <c r="M415">
        <v>12.4</v>
      </c>
      <c r="N415">
        <v>5</v>
      </c>
      <c r="O415">
        <v>19331</v>
      </c>
      <c r="P415" t="s">
        <v>2178</v>
      </c>
      <c r="Q415">
        <v>25</v>
      </c>
      <c r="R415">
        <v>30</v>
      </c>
      <c r="S415">
        <v>60</v>
      </c>
      <c r="T415">
        <v>465</v>
      </c>
      <c r="U415" t="s">
        <v>2161</v>
      </c>
      <c r="W415" t="s">
        <v>2208</v>
      </c>
      <c r="X415" t="s">
        <v>2210</v>
      </c>
      <c r="Y415" t="s">
        <v>2212</v>
      </c>
      <c r="Z415" s="1">
        <v>45742</v>
      </c>
      <c r="AA415" s="1">
        <v>45759</v>
      </c>
      <c r="AB415" t="s">
        <v>2215</v>
      </c>
      <c r="AC415" t="s">
        <v>2208</v>
      </c>
      <c r="AD415" t="s">
        <v>2216</v>
      </c>
      <c r="AE415" t="s">
        <v>2161</v>
      </c>
      <c r="AG415" t="s">
        <v>2220</v>
      </c>
      <c r="AH415">
        <v>115</v>
      </c>
      <c r="AI415">
        <v>132</v>
      </c>
      <c r="AJ415">
        <v>17</v>
      </c>
      <c r="AK415">
        <v>12</v>
      </c>
      <c r="AL415" t="s">
        <v>2229</v>
      </c>
      <c r="AM415">
        <v>1</v>
      </c>
      <c r="AN415" t="s">
        <v>2175</v>
      </c>
      <c r="AO415" t="s">
        <v>2177</v>
      </c>
      <c r="AP415" t="s">
        <v>2175</v>
      </c>
      <c r="AQ415">
        <v>151.28</v>
      </c>
      <c r="AR415">
        <v>3</v>
      </c>
      <c r="AS415">
        <v>3</v>
      </c>
      <c r="AT415">
        <v>2</v>
      </c>
      <c r="AU415">
        <v>3</v>
      </c>
      <c r="AV415">
        <v>2.666666666666667</v>
      </c>
      <c r="AW415">
        <v>4.3</v>
      </c>
      <c r="AY415">
        <v>4.3</v>
      </c>
      <c r="AZ415">
        <v>1</v>
      </c>
      <c r="BA415">
        <v>2</v>
      </c>
      <c r="BB415">
        <v>36</v>
      </c>
      <c r="BC415">
        <v>27</v>
      </c>
      <c r="BD415">
        <v>31.85</v>
      </c>
      <c r="BE415">
        <v>158</v>
      </c>
      <c r="BF415">
        <v>88.5</v>
      </c>
      <c r="BG415">
        <v>36</v>
      </c>
      <c r="BH415">
        <v>27</v>
      </c>
      <c r="BI415">
        <v>31.85</v>
      </c>
      <c r="BJ415">
        <v>158</v>
      </c>
      <c r="BK415">
        <v>88.5</v>
      </c>
      <c r="BL415">
        <v>158</v>
      </c>
      <c r="BM415">
        <v>12.543900000000001</v>
      </c>
    </row>
    <row r="416" spans="1:65" x14ac:dyDescent="0.25">
      <c r="A416" t="s">
        <v>479</v>
      </c>
      <c r="B416" t="s">
        <v>1461</v>
      </c>
      <c r="C416" t="s">
        <v>2159</v>
      </c>
      <c r="D416" s="1">
        <v>45581</v>
      </c>
      <c r="E416" s="1">
        <v>45627</v>
      </c>
      <c r="F416" s="1">
        <v>45716</v>
      </c>
      <c r="G416" t="s">
        <v>2164</v>
      </c>
      <c r="I416" t="s">
        <v>2175</v>
      </c>
      <c r="J416">
        <v>36641</v>
      </c>
      <c r="K416">
        <v>1099</v>
      </c>
      <c r="L416">
        <v>5.9</v>
      </c>
      <c r="M416">
        <v>7.7</v>
      </c>
      <c r="N416">
        <v>6</v>
      </c>
      <c r="O416">
        <v>11686</v>
      </c>
      <c r="P416" t="s">
        <v>2178</v>
      </c>
      <c r="Q416">
        <v>18</v>
      </c>
      <c r="R416">
        <v>30</v>
      </c>
      <c r="S416">
        <v>39</v>
      </c>
      <c r="T416">
        <v>421</v>
      </c>
      <c r="U416" t="s">
        <v>2164</v>
      </c>
      <c r="W416" t="s">
        <v>2208</v>
      </c>
      <c r="X416" t="s">
        <v>2210</v>
      </c>
      <c r="Y416" t="s">
        <v>2212</v>
      </c>
      <c r="Z416" s="1">
        <v>45714</v>
      </c>
      <c r="AA416" s="1">
        <v>45728</v>
      </c>
      <c r="AB416" t="s">
        <v>2215</v>
      </c>
      <c r="AC416" t="s">
        <v>2208</v>
      </c>
      <c r="AD416" t="s">
        <v>2216</v>
      </c>
      <c r="AE416" t="s">
        <v>2164</v>
      </c>
      <c r="AG416" t="s">
        <v>2220</v>
      </c>
      <c r="AH416">
        <v>87</v>
      </c>
      <c r="AI416">
        <v>101</v>
      </c>
      <c r="AJ416">
        <v>14</v>
      </c>
      <c r="AK416">
        <v>12</v>
      </c>
      <c r="AL416" t="s">
        <v>2229</v>
      </c>
      <c r="AM416">
        <v>1</v>
      </c>
      <c r="AN416" t="s">
        <v>2177</v>
      </c>
      <c r="AO416" t="s">
        <v>2177</v>
      </c>
      <c r="AP416" t="s">
        <v>2177</v>
      </c>
      <c r="AQ416">
        <v>45.430000000000007</v>
      </c>
      <c r="AR416">
        <v>3</v>
      </c>
      <c r="AS416">
        <v>2</v>
      </c>
      <c r="AT416">
        <v>2</v>
      </c>
      <c r="AU416">
        <v>2</v>
      </c>
      <c r="AV416">
        <v>2</v>
      </c>
      <c r="AW416">
        <v>4.5</v>
      </c>
      <c r="AY416">
        <v>4.5</v>
      </c>
      <c r="AZ416">
        <v>0</v>
      </c>
      <c r="BA416">
        <v>3</v>
      </c>
      <c r="BB416">
        <v>35</v>
      </c>
      <c r="BC416">
        <v>27</v>
      </c>
      <c r="BD416">
        <v>30.78</v>
      </c>
      <c r="BE416">
        <v>153</v>
      </c>
      <c r="BF416">
        <v>87.9</v>
      </c>
      <c r="BG416">
        <v>35</v>
      </c>
      <c r="BH416">
        <v>27</v>
      </c>
      <c r="BI416">
        <v>30.78</v>
      </c>
      <c r="BJ416">
        <v>153</v>
      </c>
      <c r="BK416">
        <v>87.9</v>
      </c>
      <c r="BL416">
        <v>153</v>
      </c>
      <c r="BM416">
        <v>8.8675999999999995</v>
      </c>
    </row>
    <row r="417" spans="1:65" x14ac:dyDescent="0.25">
      <c r="A417" t="s">
        <v>480</v>
      </c>
      <c r="B417" t="s">
        <v>1462</v>
      </c>
      <c r="C417" t="s">
        <v>2160</v>
      </c>
      <c r="D417" s="1">
        <v>45612</v>
      </c>
      <c r="E417" s="1">
        <v>45638</v>
      </c>
      <c r="F417" s="1">
        <v>45667</v>
      </c>
      <c r="G417" t="s">
        <v>2165</v>
      </c>
      <c r="I417" t="s">
        <v>2175</v>
      </c>
      <c r="J417">
        <v>10784</v>
      </c>
      <c r="K417">
        <v>323</v>
      </c>
      <c r="L417">
        <v>8.8000000000000007</v>
      </c>
      <c r="M417">
        <v>15.5</v>
      </c>
      <c r="N417">
        <v>6</v>
      </c>
      <c r="O417">
        <v>18716</v>
      </c>
      <c r="P417" t="s">
        <v>2178</v>
      </c>
      <c r="Q417">
        <v>6</v>
      </c>
      <c r="R417">
        <v>9</v>
      </c>
      <c r="S417">
        <v>13</v>
      </c>
      <c r="T417">
        <v>385</v>
      </c>
      <c r="U417" t="s">
        <v>2165</v>
      </c>
      <c r="W417" t="s">
        <v>2208</v>
      </c>
      <c r="X417" t="s">
        <v>2210</v>
      </c>
      <c r="Y417" t="s">
        <v>2212</v>
      </c>
      <c r="Z417" s="1">
        <v>45666</v>
      </c>
      <c r="AA417" s="1">
        <v>45690</v>
      </c>
      <c r="AB417" t="s">
        <v>2215</v>
      </c>
      <c r="AC417" t="s">
        <v>2208</v>
      </c>
      <c r="AD417" t="s">
        <v>2216</v>
      </c>
      <c r="AE417" t="s">
        <v>2165</v>
      </c>
      <c r="AG417" t="s">
        <v>2220</v>
      </c>
      <c r="AH417">
        <v>28</v>
      </c>
      <c r="AI417">
        <v>52</v>
      </c>
      <c r="AJ417">
        <v>24</v>
      </c>
      <c r="AK417">
        <v>12</v>
      </c>
      <c r="AL417" t="s">
        <v>2229</v>
      </c>
      <c r="AM417">
        <v>1</v>
      </c>
      <c r="AN417" t="s">
        <v>2175</v>
      </c>
      <c r="AO417" t="s">
        <v>2177</v>
      </c>
      <c r="AP417" t="s">
        <v>2175</v>
      </c>
      <c r="AQ417">
        <v>136.4</v>
      </c>
      <c r="AR417">
        <v>3</v>
      </c>
      <c r="AS417">
        <v>3</v>
      </c>
      <c r="AT417">
        <v>2</v>
      </c>
      <c r="AU417">
        <v>3</v>
      </c>
      <c r="AV417">
        <v>2.666666666666667</v>
      </c>
      <c r="AW417">
        <v>4.5999999999999996</v>
      </c>
      <c r="AY417">
        <v>4.5999999999999996</v>
      </c>
      <c r="AZ417">
        <v>1</v>
      </c>
      <c r="BA417">
        <v>3</v>
      </c>
      <c r="BB417">
        <v>36</v>
      </c>
      <c r="BC417">
        <v>27</v>
      </c>
      <c r="BD417">
        <v>31.41</v>
      </c>
      <c r="BE417">
        <v>155</v>
      </c>
      <c r="BF417">
        <v>87.2</v>
      </c>
      <c r="BG417">
        <v>36</v>
      </c>
      <c r="BH417">
        <v>27</v>
      </c>
      <c r="BI417">
        <v>31.41</v>
      </c>
      <c r="BJ417">
        <v>155</v>
      </c>
      <c r="BK417">
        <v>87.2</v>
      </c>
      <c r="BL417">
        <v>155</v>
      </c>
      <c r="BM417">
        <v>2.5762</v>
      </c>
    </row>
    <row r="418" spans="1:65" x14ac:dyDescent="0.25">
      <c r="A418" t="s">
        <v>481</v>
      </c>
      <c r="B418" t="s">
        <v>1463</v>
      </c>
      <c r="C418" t="s">
        <v>2159</v>
      </c>
      <c r="D418" s="1">
        <v>45571</v>
      </c>
      <c r="E418" s="1">
        <v>45615</v>
      </c>
      <c r="F418" s="1">
        <v>45657</v>
      </c>
      <c r="G418" t="s">
        <v>2163</v>
      </c>
      <c r="I418" t="s">
        <v>2173</v>
      </c>
      <c r="J418">
        <v>14780</v>
      </c>
      <c r="K418">
        <v>443</v>
      </c>
      <c r="L418">
        <v>16.600000000000001</v>
      </c>
      <c r="M418">
        <v>9.4</v>
      </c>
      <c r="N418">
        <v>6</v>
      </c>
      <c r="O418">
        <v>15919</v>
      </c>
      <c r="P418" t="s">
        <v>2178</v>
      </c>
      <c r="Q418">
        <v>9</v>
      </c>
      <c r="R418">
        <v>11</v>
      </c>
      <c r="S418">
        <v>14</v>
      </c>
      <c r="T418">
        <v>434</v>
      </c>
      <c r="U418" t="s">
        <v>2163</v>
      </c>
      <c r="W418" t="s">
        <v>2208</v>
      </c>
      <c r="X418" t="s">
        <v>2210</v>
      </c>
      <c r="Y418" t="s">
        <v>2212</v>
      </c>
      <c r="Z418" s="1">
        <v>45649</v>
      </c>
      <c r="AA418" s="1">
        <v>45668</v>
      </c>
      <c r="AB418" t="s">
        <v>2215</v>
      </c>
      <c r="AC418" t="s">
        <v>2208</v>
      </c>
      <c r="AD418" t="s">
        <v>2216</v>
      </c>
      <c r="AE418" t="s">
        <v>2163</v>
      </c>
      <c r="AG418" t="s">
        <v>2220</v>
      </c>
      <c r="AH418">
        <v>34</v>
      </c>
      <c r="AI418">
        <v>53</v>
      </c>
      <c r="AJ418">
        <v>19</v>
      </c>
      <c r="AK418">
        <v>11</v>
      </c>
      <c r="AL418" t="s">
        <v>2231</v>
      </c>
      <c r="AM418">
        <v>1</v>
      </c>
      <c r="AN418" t="s">
        <v>2175</v>
      </c>
      <c r="AO418" t="s">
        <v>2177</v>
      </c>
      <c r="AP418" t="s">
        <v>2175</v>
      </c>
      <c r="AQ418">
        <v>156.04</v>
      </c>
      <c r="AR418">
        <v>3</v>
      </c>
      <c r="AS418">
        <v>3</v>
      </c>
      <c r="AT418">
        <v>2</v>
      </c>
      <c r="AU418">
        <v>3</v>
      </c>
      <c r="AV418">
        <v>2.666666666666667</v>
      </c>
      <c r="AW418">
        <v>4.4000000000000004</v>
      </c>
      <c r="AY418">
        <v>4.4000000000000004</v>
      </c>
      <c r="AZ418">
        <v>0</v>
      </c>
      <c r="BA418">
        <v>2</v>
      </c>
      <c r="BB418">
        <v>39</v>
      </c>
      <c r="BC418">
        <v>25</v>
      </c>
      <c r="BD418">
        <v>34.08</v>
      </c>
      <c r="BE418">
        <v>161</v>
      </c>
      <c r="BF418">
        <v>87.4</v>
      </c>
      <c r="BG418">
        <v>39</v>
      </c>
      <c r="BH418">
        <v>25</v>
      </c>
      <c r="BI418">
        <v>34.08</v>
      </c>
      <c r="BJ418">
        <v>161</v>
      </c>
      <c r="BK418">
        <v>87.4</v>
      </c>
      <c r="BL418">
        <v>161</v>
      </c>
      <c r="BM418">
        <v>3.6711</v>
      </c>
    </row>
    <row r="419" spans="1:65" x14ac:dyDescent="0.25">
      <c r="A419" t="s">
        <v>482</v>
      </c>
      <c r="B419" t="s">
        <v>1464</v>
      </c>
      <c r="C419" t="s">
        <v>2160</v>
      </c>
      <c r="D419" s="1">
        <v>45580</v>
      </c>
      <c r="E419" s="1">
        <v>45604</v>
      </c>
      <c r="F419" s="1">
        <v>45681</v>
      </c>
      <c r="G419" t="s">
        <v>2162</v>
      </c>
      <c r="I419" t="s">
        <v>2175</v>
      </c>
      <c r="J419">
        <v>32677</v>
      </c>
      <c r="K419">
        <v>980</v>
      </c>
      <c r="L419">
        <v>9.6999999999999993</v>
      </c>
      <c r="M419">
        <v>6.7</v>
      </c>
      <c r="N419">
        <v>8</v>
      </c>
      <c r="O419">
        <v>13124</v>
      </c>
      <c r="P419" t="s">
        <v>2178</v>
      </c>
      <c r="Q419">
        <v>21</v>
      </c>
      <c r="R419">
        <v>25</v>
      </c>
      <c r="S419">
        <v>22</v>
      </c>
      <c r="T419">
        <v>480</v>
      </c>
      <c r="U419" t="s">
        <v>2162</v>
      </c>
      <c r="W419" t="s">
        <v>2208</v>
      </c>
      <c r="X419" t="s">
        <v>2210</v>
      </c>
      <c r="Y419" t="s">
        <v>2212</v>
      </c>
      <c r="Z419" s="1">
        <v>45672</v>
      </c>
      <c r="AA419" s="1">
        <v>45696</v>
      </c>
      <c r="AB419" t="s">
        <v>2215</v>
      </c>
      <c r="AC419" t="s">
        <v>2208</v>
      </c>
      <c r="AD419" t="s">
        <v>2216</v>
      </c>
      <c r="AE419" t="s">
        <v>2162</v>
      </c>
      <c r="AG419" t="s">
        <v>2220</v>
      </c>
      <c r="AH419">
        <v>68</v>
      </c>
      <c r="AI419">
        <v>92</v>
      </c>
      <c r="AJ419">
        <v>24</v>
      </c>
      <c r="AK419">
        <v>11</v>
      </c>
      <c r="AL419" t="s">
        <v>2231</v>
      </c>
      <c r="AM419">
        <v>1</v>
      </c>
      <c r="AN419" t="s">
        <v>2177</v>
      </c>
      <c r="AO419" t="s">
        <v>2175</v>
      </c>
      <c r="AP419" t="s">
        <v>2177</v>
      </c>
      <c r="AQ419">
        <v>64.989999999999995</v>
      </c>
      <c r="AR419">
        <v>3</v>
      </c>
      <c r="AS419">
        <v>2</v>
      </c>
      <c r="AT419">
        <v>3</v>
      </c>
      <c r="AU419">
        <v>2</v>
      </c>
      <c r="AV419">
        <v>2.333333333333333</v>
      </c>
      <c r="AW419">
        <v>4.2</v>
      </c>
      <c r="AY419">
        <v>4.2</v>
      </c>
      <c r="AZ419">
        <v>1</v>
      </c>
      <c r="BA419">
        <v>3</v>
      </c>
      <c r="BB419">
        <v>32</v>
      </c>
      <c r="BC419">
        <v>25</v>
      </c>
      <c r="BD419">
        <v>28.2</v>
      </c>
      <c r="BE419">
        <v>131</v>
      </c>
      <c r="BF419">
        <v>88.1</v>
      </c>
      <c r="BG419">
        <v>32</v>
      </c>
      <c r="BH419">
        <v>25</v>
      </c>
      <c r="BI419">
        <v>28.2</v>
      </c>
      <c r="BJ419">
        <v>131</v>
      </c>
      <c r="BK419">
        <v>88.1</v>
      </c>
      <c r="BL419">
        <v>131</v>
      </c>
      <c r="BM419">
        <v>9.9747000000000003</v>
      </c>
    </row>
    <row r="420" spans="1:65" x14ac:dyDescent="0.25">
      <c r="A420" t="s">
        <v>483</v>
      </c>
      <c r="B420" t="s">
        <v>1465</v>
      </c>
      <c r="C420" t="s">
        <v>2158</v>
      </c>
      <c r="D420" s="1">
        <v>45596</v>
      </c>
      <c r="E420" s="1">
        <v>45634</v>
      </c>
      <c r="F420" s="1">
        <v>45655</v>
      </c>
      <c r="G420" t="s">
        <v>2163</v>
      </c>
      <c r="I420" t="s">
        <v>2173</v>
      </c>
      <c r="J420">
        <v>10876</v>
      </c>
      <c r="K420">
        <v>326</v>
      </c>
      <c r="L420">
        <v>14.4</v>
      </c>
      <c r="M420">
        <v>17.7</v>
      </c>
      <c r="N420">
        <v>6</v>
      </c>
      <c r="O420">
        <v>11693</v>
      </c>
      <c r="P420" t="s">
        <v>2178</v>
      </c>
      <c r="Q420">
        <v>5</v>
      </c>
      <c r="R420">
        <v>7</v>
      </c>
      <c r="S420">
        <v>7</v>
      </c>
      <c r="T420">
        <v>572</v>
      </c>
      <c r="U420" t="s">
        <v>2163</v>
      </c>
      <c r="W420" t="s">
        <v>2208</v>
      </c>
      <c r="X420" t="s">
        <v>2210</v>
      </c>
      <c r="Y420" t="s">
        <v>2212</v>
      </c>
      <c r="Z420" s="1">
        <v>45653</v>
      </c>
      <c r="AA420" s="1">
        <v>45668</v>
      </c>
      <c r="AB420" t="s">
        <v>2215</v>
      </c>
      <c r="AC420" t="s">
        <v>2208</v>
      </c>
      <c r="AD420" t="s">
        <v>2216</v>
      </c>
      <c r="AE420" t="s">
        <v>2163</v>
      </c>
      <c r="AG420" t="s">
        <v>2220</v>
      </c>
      <c r="AH420">
        <v>19</v>
      </c>
      <c r="AI420">
        <v>34</v>
      </c>
      <c r="AJ420">
        <v>15</v>
      </c>
      <c r="AK420">
        <v>12</v>
      </c>
      <c r="AL420" t="s">
        <v>2229</v>
      </c>
      <c r="AM420">
        <v>1</v>
      </c>
      <c r="AN420" t="s">
        <v>2175</v>
      </c>
      <c r="AO420" t="s">
        <v>2177</v>
      </c>
      <c r="AP420" t="s">
        <v>2177</v>
      </c>
      <c r="AQ420">
        <v>254.88</v>
      </c>
      <c r="AR420">
        <v>3</v>
      </c>
      <c r="AS420">
        <v>3</v>
      </c>
      <c r="AT420">
        <v>2</v>
      </c>
      <c r="AU420">
        <v>2</v>
      </c>
      <c r="AV420">
        <v>2.333333333333333</v>
      </c>
      <c r="AW420">
        <v>4.4000000000000004</v>
      </c>
      <c r="AY420">
        <v>4.4000000000000004</v>
      </c>
      <c r="AZ420">
        <v>2</v>
      </c>
      <c r="BA420">
        <v>2</v>
      </c>
      <c r="BB420">
        <v>35</v>
      </c>
      <c r="BC420">
        <v>27</v>
      </c>
      <c r="BD420">
        <v>31.37</v>
      </c>
      <c r="BE420">
        <v>157</v>
      </c>
      <c r="BF420">
        <v>89.6</v>
      </c>
      <c r="BG420">
        <v>35</v>
      </c>
      <c r="BH420">
        <v>27</v>
      </c>
      <c r="BI420">
        <v>31.37</v>
      </c>
      <c r="BJ420">
        <v>157</v>
      </c>
      <c r="BK420">
        <v>89.6</v>
      </c>
      <c r="BL420">
        <v>157</v>
      </c>
      <c r="BM420">
        <v>2.5651000000000002</v>
      </c>
    </row>
    <row r="421" spans="1:65" x14ac:dyDescent="0.25">
      <c r="A421" t="s">
        <v>484</v>
      </c>
      <c r="B421" t="s">
        <v>1466</v>
      </c>
      <c r="C421" t="s">
        <v>2157</v>
      </c>
      <c r="D421" s="1">
        <v>45587</v>
      </c>
      <c r="E421" s="1">
        <v>45631</v>
      </c>
      <c r="F421" s="1">
        <v>45743</v>
      </c>
      <c r="G421" t="s">
        <v>2165</v>
      </c>
      <c r="I421" t="s">
        <v>2173</v>
      </c>
      <c r="J421">
        <v>35945</v>
      </c>
      <c r="K421">
        <v>1078</v>
      </c>
      <c r="L421">
        <v>14</v>
      </c>
      <c r="M421">
        <v>5.8</v>
      </c>
      <c r="N421">
        <v>5</v>
      </c>
      <c r="O421">
        <v>17805</v>
      </c>
      <c r="P421" t="s">
        <v>2178</v>
      </c>
      <c r="Q421">
        <v>27</v>
      </c>
      <c r="R421">
        <v>33</v>
      </c>
      <c r="S421">
        <v>49</v>
      </c>
      <c r="T421">
        <v>329</v>
      </c>
      <c r="U421" t="s">
        <v>2165</v>
      </c>
      <c r="W421" t="s">
        <v>2208</v>
      </c>
      <c r="X421" t="s">
        <v>2210</v>
      </c>
      <c r="Y421" t="s">
        <v>2212</v>
      </c>
      <c r="Z421" s="1">
        <v>45740</v>
      </c>
      <c r="AA421" s="1">
        <v>45758</v>
      </c>
      <c r="AB421" t="s">
        <v>2215</v>
      </c>
      <c r="AC421" t="s">
        <v>2208</v>
      </c>
      <c r="AD421" t="s">
        <v>2216</v>
      </c>
      <c r="AE421" t="s">
        <v>2165</v>
      </c>
      <c r="AG421" t="s">
        <v>2220</v>
      </c>
      <c r="AH421">
        <v>109</v>
      </c>
      <c r="AI421">
        <v>127</v>
      </c>
      <c r="AJ421">
        <v>18</v>
      </c>
      <c r="AK421">
        <v>12</v>
      </c>
      <c r="AL421" t="s">
        <v>2229</v>
      </c>
      <c r="AM421">
        <v>1</v>
      </c>
      <c r="AN421" t="s">
        <v>2177</v>
      </c>
      <c r="AO421" t="s">
        <v>2177</v>
      </c>
      <c r="AP421" t="s">
        <v>2175</v>
      </c>
      <c r="AQ421">
        <v>81.2</v>
      </c>
      <c r="AR421">
        <v>3</v>
      </c>
      <c r="AS421">
        <v>2</v>
      </c>
      <c r="AT421">
        <v>2</v>
      </c>
      <c r="AU421">
        <v>3</v>
      </c>
      <c r="AV421">
        <v>2.333333333333333</v>
      </c>
      <c r="AW421">
        <v>4.5999999999999996</v>
      </c>
      <c r="AY421">
        <v>4.5999999999999996</v>
      </c>
      <c r="AZ421">
        <v>3</v>
      </c>
      <c r="BA421">
        <v>2</v>
      </c>
      <c r="BB421">
        <v>36</v>
      </c>
      <c r="BC421">
        <v>27</v>
      </c>
      <c r="BD421">
        <v>31.41</v>
      </c>
      <c r="BE421">
        <v>155</v>
      </c>
      <c r="BF421">
        <v>87.2</v>
      </c>
      <c r="BG421">
        <v>36</v>
      </c>
      <c r="BH421">
        <v>27</v>
      </c>
      <c r="BI421">
        <v>31.41</v>
      </c>
      <c r="BJ421">
        <v>155</v>
      </c>
      <c r="BK421">
        <v>87.2</v>
      </c>
      <c r="BL421">
        <v>155</v>
      </c>
      <c r="BM421">
        <v>8.5869999999999997</v>
      </c>
    </row>
    <row r="422" spans="1:65" x14ac:dyDescent="0.25">
      <c r="A422" t="s">
        <v>485</v>
      </c>
      <c r="B422" t="s">
        <v>1467</v>
      </c>
      <c r="C422" t="s">
        <v>2157</v>
      </c>
      <c r="D422" s="1">
        <v>45557</v>
      </c>
      <c r="E422" s="1">
        <v>45581</v>
      </c>
      <c r="F422" s="1">
        <v>45625</v>
      </c>
      <c r="G422" t="s">
        <v>2161</v>
      </c>
      <c r="I422" t="s">
        <v>2175</v>
      </c>
      <c r="J422">
        <v>13343</v>
      </c>
      <c r="K422">
        <v>400</v>
      </c>
      <c r="L422">
        <v>7.1</v>
      </c>
      <c r="M422">
        <v>6.6</v>
      </c>
      <c r="N422">
        <v>6</v>
      </c>
      <c r="O422">
        <v>19435</v>
      </c>
      <c r="P422" t="s">
        <v>2178</v>
      </c>
      <c r="Q422">
        <v>6</v>
      </c>
      <c r="R422">
        <v>9</v>
      </c>
      <c r="S422">
        <v>19</v>
      </c>
      <c r="T422">
        <v>392</v>
      </c>
      <c r="U422" t="s">
        <v>2161</v>
      </c>
      <c r="W422" t="s">
        <v>2208</v>
      </c>
      <c r="X422" t="s">
        <v>2210</v>
      </c>
      <c r="Y422" t="s">
        <v>2212</v>
      </c>
      <c r="Z422" s="1">
        <v>45615</v>
      </c>
      <c r="AA422" s="1">
        <v>45632</v>
      </c>
      <c r="AB422" t="s">
        <v>2215</v>
      </c>
      <c r="AC422" t="s">
        <v>2208</v>
      </c>
      <c r="AD422" t="s">
        <v>2216</v>
      </c>
      <c r="AE422" t="s">
        <v>2161</v>
      </c>
      <c r="AG422" t="s">
        <v>2220</v>
      </c>
      <c r="AH422">
        <v>34</v>
      </c>
      <c r="AI422">
        <v>51</v>
      </c>
      <c r="AJ422">
        <v>17</v>
      </c>
      <c r="AK422">
        <v>10</v>
      </c>
      <c r="AL422" t="s">
        <v>2230</v>
      </c>
      <c r="AM422">
        <v>1</v>
      </c>
      <c r="AN422" t="s">
        <v>2177</v>
      </c>
      <c r="AO422" t="s">
        <v>2177</v>
      </c>
      <c r="AP422" t="s">
        <v>2175</v>
      </c>
      <c r="AQ422">
        <v>46.859999999999992</v>
      </c>
      <c r="AR422">
        <v>3</v>
      </c>
      <c r="AS422">
        <v>2</v>
      </c>
      <c r="AT422">
        <v>2</v>
      </c>
      <c r="AU422">
        <v>3</v>
      </c>
      <c r="AV422">
        <v>2.333333333333333</v>
      </c>
      <c r="AW422">
        <v>4.3</v>
      </c>
      <c r="AY422">
        <v>4.3</v>
      </c>
      <c r="AZ422">
        <v>3</v>
      </c>
      <c r="BA422">
        <v>3</v>
      </c>
      <c r="BB422">
        <v>34</v>
      </c>
      <c r="BC422">
        <v>27</v>
      </c>
      <c r="BD422">
        <v>29.93</v>
      </c>
      <c r="BE422">
        <v>149</v>
      </c>
      <c r="BF422">
        <v>88</v>
      </c>
      <c r="BG422">
        <v>34</v>
      </c>
      <c r="BH422">
        <v>27</v>
      </c>
      <c r="BI422">
        <v>29.93</v>
      </c>
      <c r="BJ422">
        <v>149</v>
      </c>
      <c r="BK422">
        <v>88</v>
      </c>
      <c r="BL422">
        <v>149</v>
      </c>
      <c r="BM422">
        <v>3.3159000000000001</v>
      </c>
    </row>
    <row r="423" spans="1:65" x14ac:dyDescent="0.25">
      <c r="A423" t="s">
        <v>486</v>
      </c>
      <c r="B423" t="s">
        <v>1468</v>
      </c>
      <c r="C423" t="s">
        <v>2157</v>
      </c>
      <c r="D423" s="1">
        <v>45584</v>
      </c>
      <c r="E423" s="1">
        <v>45613</v>
      </c>
      <c r="F423" s="1">
        <v>45725</v>
      </c>
      <c r="G423" t="s">
        <v>2165</v>
      </c>
      <c r="I423" t="s">
        <v>2175</v>
      </c>
      <c r="J423">
        <v>45247</v>
      </c>
      <c r="K423">
        <v>1357</v>
      </c>
      <c r="L423">
        <v>10.199999999999999</v>
      </c>
      <c r="M423">
        <v>13</v>
      </c>
      <c r="N423">
        <v>8</v>
      </c>
      <c r="O423">
        <v>12849</v>
      </c>
      <c r="P423" t="s">
        <v>2178</v>
      </c>
      <c r="Q423">
        <v>25</v>
      </c>
      <c r="R423">
        <v>35</v>
      </c>
      <c r="S423">
        <v>53</v>
      </c>
      <c r="T423">
        <v>400</v>
      </c>
      <c r="U423" t="s">
        <v>2165</v>
      </c>
      <c r="W423" t="s">
        <v>2208</v>
      </c>
      <c r="X423" t="s">
        <v>2210</v>
      </c>
      <c r="Y423" t="s">
        <v>2212</v>
      </c>
      <c r="Z423" s="1">
        <v>45726</v>
      </c>
      <c r="AA423" s="1">
        <v>45742</v>
      </c>
      <c r="AB423" t="s">
        <v>2215</v>
      </c>
      <c r="AC423" t="s">
        <v>2208</v>
      </c>
      <c r="AD423" t="s">
        <v>2216</v>
      </c>
      <c r="AE423" t="s">
        <v>2165</v>
      </c>
      <c r="AG423" t="s">
        <v>2220</v>
      </c>
      <c r="AH423">
        <v>113</v>
      </c>
      <c r="AI423">
        <v>129</v>
      </c>
      <c r="AJ423">
        <v>16</v>
      </c>
      <c r="AK423">
        <v>11</v>
      </c>
      <c r="AL423" t="s">
        <v>2231</v>
      </c>
      <c r="AM423">
        <v>1</v>
      </c>
      <c r="AN423" t="s">
        <v>2175</v>
      </c>
      <c r="AO423" t="s">
        <v>2175</v>
      </c>
      <c r="AP423" t="s">
        <v>2177</v>
      </c>
      <c r="AQ423">
        <v>132.6</v>
      </c>
      <c r="AR423">
        <v>3</v>
      </c>
      <c r="AS423">
        <v>3</v>
      </c>
      <c r="AT423">
        <v>3</v>
      </c>
      <c r="AU423">
        <v>2</v>
      </c>
      <c r="AV423">
        <v>2.666666666666667</v>
      </c>
      <c r="AW423">
        <v>4.5999999999999996</v>
      </c>
      <c r="AY423">
        <v>4.5999999999999996</v>
      </c>
      <c r="AZ423">
        <v>3</v>
      </c>
      <c r="BA423">
        <v>3</v>
      </c>
      <c r="BB423">
        <v>41</v>
      </c>
      <c r="BC423">
        <v>25</v>
      </c>
      <c r="BD423">
        <v>36.520000000000003</v>
      </c>
      <c r="BE423">
        <v>172</v>
      </c>
      <c r="BF423">
        <v>89.1</v>
      </c>
      <c r="BG423">
        <v>41</v>
      </c>
      <c r="BH423">
        <v>25</v>
      </c>
      <c r="BI423">
        <v>36.520000000000003</v>
      </c>
      <c r="BJ423">
        <v>172</v>
      </c>
      <c r="BK423">
        <v>89.1</v>
      </c>
      <c r="BL423">
        <v>172</v>
      </c>
      <c r="BM423">
        <v>10.520099999999999</v>
      </c>
    </row>
    <row r="424" spans="1:65" x14ac:dyDescent="0.25">
      <c r="A424" t="s">
        <v>487</v>
      </c>
      <c r="B424" t="s">
        <v>1469</v>
      </c>
      <c r="C424" t="s">
        <v>2160</v>
      </c>
      <c r="D424" s="1">
        <v>45591</v>
      </c>
      <c r="E424" s="1">
        <v>45634</v>
      </c>
      <c r="F424" s="1">
        <v>45739</v>
      </c>
      <c r="G424" t="s">
        <v>2164</v>
      </c>
      <c r="I424" t="s">
        <v>2175</v>
      </c>
      <c r="J424">
        <v>45257</v>
      </c>
      <c r="K424">
        <v>1357</v>
      </c>
      <c r="L424">
        <v>5.9</v>
      </c>
      <c r="M424">
        <v>13.4</v>
      </c>
      <c r="N424">
        <v>8</v>
      </c>
      <c r="O424">
        <v>19087</v>
      </c>
      <c r="P424" t="s">
        <v>2178</v>
      </c>
      <c r="Q424">
        <v>22</v>
      </c>
      <c r="R424">
        <v>33</v>
      </c>
      <c r="S424">
        <v>40</v>
      </c>
      <c r="T424">
        <v>476</v>
      </c>
      <c r="U424" t="s">
        <v>2164</v>
      </c>
      <c r="W424" t="s">
        <v>2208</v>
      </c>
      <c r="X424" t="s">
        <v>2210</v>
      </c>
      <c r="Y424" t="s">
        <v>2212</v>
      </c>
      <c r="Z424" s="1">
        <v>45729</v>
      </c>
      <c r="AA424" s="1">
        <v>45752</v>
      </c>
      <c r="AB424" t="s">
        <v>2215</v>
      </c>
      <c r="AC424" t="s">
        <v>2208</v>
      </c>
      <c r="AD424" t="s">
        <v>2216</v>
      </c>
      <c r="AE424" t="s">
        <v>2164</v>
      </c>
      <c r="AG424" t="s">
        <v>2220</v>
      </c>
      <c r="AH424">
        <v>95</v>
      </c>
      <c r="AI424">
        <v>118</v>
      </c>
      <c r="AJ424">
        <v>23</v>
      </c>
      <c r="AK424">
        <v>12</v>
      </c>
      <c r="AL424" t="s">
        <v>2229</v>
      </c>
      <c r="AM424">
        <v>1</v>
      </c>
      <c r="AN424" t="s">
        <v>2177</v>
      </c>
      <c r="AO424" t="s">
        <v>2175</v>
      </c>
      <c r="AP424" t="s">
        <v>2175</v>
      </c>
      <c r="AQ424">
        <v>79.06</v>
      </c>
      <c r="AR424">
        <v>3</v>
      </c>
      <c r="AS424">
        <v>2</v>
      </c>
      <c r="AT424">
        <v>3</v>
      </c>
      <c r="AU424">
        <v>3</v>
      </c>
      <c r="AV424">
        <v>2.666666666666667</v>
      </c>
      <c r="AW424">
        <v>4.5</v>
      </c>
      <c r="AY424">
        <v>4.5</v>
      </c>
      <c r="AZ424">
        <v>1</v>
      </c>
      <c r="BA424">
        <v>3</v>
      </c>
      <c r="BB424">
        <v>35</v>
      </c>
      <c r="BC424">
        <v>27</v>
      </c>
      <c r="BD424">
        <v>30.78</v>
      </c>
      <c r="BE424">
        <v>153</v>
      </c>
      <c r="BF424">
        <v>87.9</v>
      </c>
      <c r="BG424">
        <v>35</v>
      </c>
      <c r="BH424">
        <v>27</v>
      </c>
      <c r="BI424">
        <v>30.78</v>
      </c>
      <c r="BJ424">
        <v>153</v>
      </c>
      <c r="BK424">
        <v>87.9</v>
      </c>
      <c r="BL424">
        <v>153</v>
      </c>
      <c r="BM424">
        <v>10.9528</v>
      </c>
    </row>
    <row r="425" spans="1:65" x14ac:dyDescent="0.25">
      <c r="A425" t="s">
        <v>488</v>
      </c>
      <c r="B425" t="s">
        <v>1470</v>
      </c>
      <c r="C425" t="s">
        <v>2157</v>
      </c>
      <c r="D425" s="1">
        <v>45606</v>
      </c>
      <c r="E425" s="1">
        <v>45638</v>
      </c>
      <c r="F425" s="1">
        <v>45684</v>
      </c>
      <c r="G425" t="s">
        <v>2165</v>
      </c>
      <c r="I425" t="s">
        <v>2173</v>
      </c>
      <c r="J425">
        <v>21938</v>
      </c>
      <c r="K425">
        <v>658</v>
      </c>
      <c r="L425">
        <v>13.1</v>
      </c>
      <c r="M425">
        <v>15.7</v>
      </c>
      <c r="N425">
        <v>6</v>
      </c>
      <c r="O425">
        <v>11066</v>
      </c>
      <c r="P425" t="s">
        <v>2178</v>
      </c>
      <c r="Q425">
        <v>10</v>
      </c>
      <c r="R425">
        <v>16</v>
      </c>
      <c r="S425">
        <v>21</v>
      </c>
      <c r="T425">
        <v>466</v>
      </c>
      <c r="U425" t="s">
        <v>2165</v>
      </c>
      <c r="W425" t="s">
        <v>2208</v>
      </c>
      <c r="X425" t="s">
        <v>2210</v>
      </c>
      <c r="Y425" t="s">
        <v>2212</v>
      </c>
      <c r="Z425" s="1">
        <v>45685</v>
      </c>
      <c r="AA425" s="1">
        <v>45709</v>
      </c>
      <c r="AB425" t="s">
        <v>2215</v>
      </c>
      <c r="AC425" t="s">
        <v>2208</v>
      </c>
      <c r="AD425" t="s">
        <v>2216</v>
      </c>
      <c r="AE425" t="s">
        <v>2165</v>
      </c>
      <c r="AG425" t="s">
        <v>2220</v>
      </c>
      <c r="AH425">
        <v>47</v>
      </c>
      <c r="AI425">
        <v>71</v>
      </c>
      <c r="AJ425">
        <v>24</v>
      </c>
      <c r="AK425">
        <v>12</v>
      </c>
      <c r="AL425" t="s">
        <v>2229</v>
      </c>
      <c r="AM425">
        <v>1</v>
      </c>
      <c r="AN425" t="s">
        <v>2175</v>
      </c>
      <c r="AO425" t="s">
        <v>2177</v>
      </c>
      <c r="AP425" t="s">
        <v>2177</v>
      </c>
      <c r="AQ425">
        <v>205.67</v>
      </c>
      <c r="AR425">
        <v>3</v>
      </c>
      <c r="AS425">
        <v>3</v>
      </c>
      <c r="AT425">
        <v>2</v>
      </c>
      <c r="AU425">
        <v>2</v>
      </c>
      <c r="AV425">
        <v>2.333333333333333</v>
      </c>
      <c r="AW425">
        <v>4.5999999999999996</v>
      </c>
      <c r="AY425">
        <v>4.5999999999999996</v>
      </c>
      <c r="AZ425">
        <v>3</v>
      </c>
      <c r="BA425">
        <v>2</v>
      </c>
      <c r="BB425">
        <v>36</v>
      </c>
      <c r="BC425">
        <v>27</v>
      </c>
      <c r="BD425">
        <v>31.41</v>
      </c>
      <c r="BE425">
        <v>155</v>
      </c>
      <c r="BF425">
        <v>87.2</v>
      </c>
      <c r="BG425">
        <v>36</v>
      </c>
      <c r="BH425">
        <v>27</v>
      </c>
      <c r="BI425">
        <v>31.41</v>
      </c>
      <c r="BJ425">
        <v>155</v>
      </c>
      <c r="BK425">
        <v>87.2</v>
      </c>
      <c r="BL425">
        <v>155</v>
      </c>
      <c r="BM425">
        <v>5.2408000000000001</v>
      </c>
    </row>
    <row r="426" spans="1:65" x14ac:dyDescent="0.25">
      <c r="A426" t="s">
        <v>489</v>
      </c>
      <c r="B426" t="s">
        <v>1471</v>
      </c>
      <c r="C426" t="s">
        <v>2157</v>
      </c>
      <c r="D426" s="1">
        <v>45597</v>
      </c>
      <c r="E426" s="1">
        <v>45627</v>
      </c>
      <c r="F426" s="1">
        <v>45671</v>
      </c>
      <c r="G426" t="s">
        <v>2162</v>
      </c>
      <c r="I426" t="s">
        <v>2175</v>
      </c>
      <c r="J426">
        <v>22161</v>
      </c>
      <c r="K426">
        <v>664</v>
      </c>
      <c r="L426">
        <v>5.3</v>
      </c>
      <c r="M426">
        <v>15.6</v>
      </c>
      <c r="N426">
        <v>7</v>
      </c>
      <c r="O426">
        <v>13267</v>
      </c>
      <c r="P426" t="s">
        <v>2178</v>
      </c>
      <c r="Q426">
        <v>11</v>
      </c>
      <c r="R426">
        <v>13</v>
      </c>
      <c r="S426">
        <v>16</v>
      </c>
      <c r="T426">
        <v>554</v>
      </c>
      <c r="U426" t="s">
        <v>2162</v>
      </c>
      <c r="W426" t="s">
        <v>2208</v>
      </c>
      <c r="X426" t="s">
        <v>2210</v>
      </c>
      <c r="Y426" t="s">
        <v>2212</v>
      </c>
      <c r="Z426" s="1">
        <v>45667</v>
      </c>
      <c r="AA426" s="1">
        <v>45689</v>
      </c>
      <c r="AB426" t="s">
        <v>2215</v>
      </c>
      <c r="AC426" t="s">
        <v>2208</v>
      </c>
      <c r="AD426" t="s">
        <v>2216</v>
      </c>
      <c r="AE426" t="s">
        <v>2162</v>
      </c>
      <c r="AG426" t="s">
        <v>2220</v>
      </c>
      <c r="AH426">
        <v>40</v>
      </c>
      <c r="AI426">
        <v>62</v>
      </c>
      <c r="AJ426">
        <v>22</v>
      </c>
      <c r="AK426">
        <v>12</v>
      </c>
      <c r="AL426" t="s">
        <v>2229</v>
      </c>
      <c r="AM426">
        <v>1</v>
      </c>
      <c r="AN426" t="s">
        <v>2175</v>
      </c>
      <c r="AO426" t="s">
        <v>2175</v>
      </c>
      <c r="AP426" t="s">
        <v>2177</v>
      </c>
      <c r="AQ426">
        <v>82.679999999999993</v>
      </c>
      <c r="AR426">
        <v>3</v>
      </c>
      <c r="AS426">
        <v>3</v>
      </c>
      <c r="AT426">
        <v>3</v>
      </c>
      <c r="AU426">
        <v>2</v>
      </c>
      <c r="AV426">
        <v>2.666666666666667</v>
      </c>
      <c r="AW426">
        <v>4.2</v>
      </c>
      <c r="AY426">
        <v>4.2</v>
      </c>
      <c r="AZ426">
        <v>3</v>
      </c>
      <c r="BA426">
        <v>3</v>
      </c>
      <c r="BB426">
        <v>26</v>
      </c>
      <c r="BC426">
        <v>27</v>
      </c>
      <c r="BD426">
        <v>23.04</v>
      </c>
      <c r="BE426">
        <v>110</v>
      </c>
      <c r="BF426">
        <v>88.6</v>
      </c>
      <c r="BG426">
        <v>26</v>
      </c>
      <c r="BH426">
        <v>27</v>
      </c>
      <c r="BI426">
        <v>23.04</v>
      </c>
      <c r="BJ426">
        <v>110</v>
      </c>
      <c r="BK426">
        <v>88.6</v>
      </c>
      <c r="BL426">
        <v>110</v>
      </c>
      <c r="BM426">
        <v>7.4591000000000003</v>
      </c>
    </row>
    <row r="427" spans="1:65" x14ac:dyDescent="0.25">
      <c r="A427" t="s">
        <v>490</v>
      </c>
      <c r="B427" t="s">
        <v>1472</v>
      </c>
      <c r="C427" t="s">
        <v>2159</v>
      </c>
      <c r="D427" s="1">
        <v>45555</v>
      </c>
      <c r="E427" s="1">
        <v>45613</v>
      </c>
      <c r="F427" s="1">
        <v>45700</v>
      </c>
      <c r="G427" t="s">
        <v>2163</v>
      </c>
      <c r="I427" t="s">
        <v>2175</v>
      </c>
      <c r="J427">
        <v>43496</v>
      </c>
      <c r="K427">
        <v>1304</v>
      </c>
      <c r="L427">
        <v>12.4</v>
      </c>
      <c r="M427">
        <v>12.5</v>
      </c>
      <c r="N427">
        <v>8</v>
      </c>
      <c r="O427">
        <v>11571</v>
      </c>
      <c r="P427" t="s">
        <v>2178</v>
      </c>
      <c r="Q427">
        <v>22</v>
      </c>
      <c r="R427">
        <v>33</v>
      </c>
      <c r="S427">
        <v>29</v>
      </c>
      <c r="T427">
        <v>517</v>
      </c>
      <c r="U427" t="s">
        <v>2163</v>
      </c>
      <c r="W427" t="s">
        <v>2208</v>
      </c>
      <c r="X427" t="s">
        <v>2210</v>
      </c>
      <c r="Y427" t="s">
        <v>2212</v>
      </c>
      <c r="Z427" s="1">
        <v>45697</v>
      </c>
      <c r="AA427" s="1">
        <v>45711</v>
      </c>
      <c r="AB427" t="s">
        <v>2215</v>
      </c>
      <c r="AC427" t="s">
        <v>2208</v>
      </c>
      <c r="AD427" t="s">
        <v>2216</v>
      </c>
      <c r="AE427" t="s">
        <v>2163</v>
      </c>
      <c r="AG427" t="s">
        <v>2220</v>
      </c>
      <c r="AH427">
        <v>84</v>
      </c>
      <c r="AI427">
        <v>98</v>
      </c>
      <c r="AJ427">
        <v>14</v>
      </c>
      <c r="AK427">
        <v>11</v>
      </c>
      <c r="AL427" t="s">
        <v>2231</v>
      </c>
      <c r="AM427">
        <v>1</v>
      </c>
      <c r="AN427" t="s">
        <v>2175</v>
      </c>
      <c r="AO427" t="s">
        <v>2175</v>
      </c>
      <c r="AP427" t="s">
        <v>2177</v>
      </c>
      <c r="AQ427">
        <v>155</v>
      </c>
      <c r="AR427">
        <v>3</v>
      </c>
      <c r="AS427">
        <v>3</v>
      </c>
      <c r="AT427">
        <v>3</v>
      </c>
      <c r="AU427">
        <v>2</v>
      </c>
      <c r="AV427">
        <v>2.666666666666667</v>
      </c>
      <c r="AW427">
        <v>4.4000000000000004</v>
      </c>
      <c r="AY427">
        <v>4.4000000000000004</v>
      </c>
      <c r="AZ427">
        <v>0</v>
      </c>
      <c r="BA427">
        <v>3</v>
      </c>
      <c r="BB427">
        <v>39</v>
      </c>
      <c r="BC427">
        <v>25</v>
      </c>
      <c r="BD427">
        <v>34.08</v>
      </c>
      <c r="BE427">
        <v>161</v>
      </c>
      <c r="BF427">
        <v>87.4</v>
      </c>
      <c r="BG427">
        <v>39</v>
      </c>
      <c r="BH427">
        <v>25</v>
      </c>
      <c r="BI427">
        <v>34.08</v>
      </c>
      <c r="BJ427">
        <v>161</v>
      </c>
      <c r="BK427">
        <v>87.4</v>
      </c>
      <c r="BL427">
        <v>161</v>
      </c>
      <c r="BM427">
        <v>10.803800000000001</v>
      </c>
    </row>
    <row r="428" spans="1:65" x14ac:dyDescent="0.25">
      <c r="A428" t="s">
        <v>491</v>
      </c>
      <c r="B428" t="s">
        <v>1473</v>
      </c>
      <c r="C428" t="s">
        <v>2157</v>
      </c>
      <c r="D428" s="1">
        <v>45540</v>
      </c>
      <c r="E428" s="1">
        <v>45578</v>
      </c>
      <c r="F428" s="1">
        <v>45693</v>
      </c>
      <c r="G428" t="s">
        <v>2162</v>
      </c>
      <c r="I428" t="s">
        <v>2173</v>
      </c>
      <c r="J428">
        <v>42479</v>
      </c>
      <c r="K428">
        <v>1274</v>
      </c>
      <c r="L428">
        <v>6.3</v>
      </c>
      <c r="M428">
        <v>16.7</v>
      </c>
      <c r="N428">
        <v>8</v>
      </c>
      <c r="O428">
        <v>10728</v>
      </c>
      <c r="P428" t="s">
        <v>2178</v>
      </c>
      <c r="Q428">
        <v>27</v>
      </c>
      <c r="R428">
        <v>43</v>
      </c>
      <c r="S428">
        <v>48</v>
      </c>
      <c r="T428">
        <v>359</v>
      </c>
      <c r="U428" t="s">
        <v>2162</v>
      </c>
      <c r="W428" t="s">
        <v>2208</v>
      </c>
      <c r="X428" t="s">
        <v>2210</v>
      </c>
      <c r="Y428" t="s">
        <v>2212</v>
      </c>
      <c r="Z428" s="1">
        <v>45696</v>
      </c>
      <c r="AA428" s="1">
        <v>45714</v>
      </c>
      <c r="AB428" t="s">
        <v>2215</v>
      </c>
      <c r="AC428" t="s">
        <v>2208</v>
      </c>
      <c r="AD428" t="s">
        <v>2216</v>
      </c>
      <c r="AE428" t="s">
        <v>2162</v>
      </c>
      <c r="AG428" t="s">
        <v>2220</v>
      </c>
      <c r="AH428">
        <v>118</v>
      </c>
      <c r="AI428">
        <v>136</v>
      </c>
      <c r="AJ428">
        <v>18</v>
      </c>
      <c r="AK428">
        <v>10</v>
      </c>
      <c r="AL428" t="s">
        <v>2230</v>
      </c>
      <c r="AM428">
        <v>1</v>
      </c>
      <c r="AN428" t="s">
        <v>2175</v>
      </c>
      <c r="AO428" t="s">
        <v>2175</v>
      </c>
      <c r="AP428" t="s">
        <v>2177</v>
      </c>
      <c r="AQ428">
        <v>105.21</v>
      </c>
      <c r="AR428">
        <v>3</v>
      </c>
      <c r="AS428">
        <v>3</v>
      </c>
      <c r="AT428">
        <v>3</v>
      </c>
      <c r="AU428">
        <v>2</v>
      </c>
      <c r="AV428">
        <v>2.666666666666667</v>
      </c>
      <c r="AW428">
        <v>4.2</v>
      </c>
      <c r="AY428">
        <v>4.2</v>
      </c>
      <c r="AZ428">
        <v>3</v>
      </c>
      <c r="BA428">
        <v>2</v>
      </c>
      <c r="BB428">
        <v>25</v>
      </c>
      <c r="BC428">
        <v>27</v>
      </c>
      <c r="BD428">
        <v>21.89</v>
      </c>
      <c r="BE428">
        <v>108</v>
      </c>
      <c r="BF428">
        <v>87.6</v>
      </c>
      <c r="BG428">
        <v>25</v>
      </c>
      <c r="BH428">
        <v>27</v>
      </c>
      <c r="BI428">
        <v>21.89</v>
      </c>
      <c r="BJ428">
        <v>108</v>
      </c>
      <c r="BK428">
        <v>87.6</v>
      </c>
      <c r="BL428">
        <v>108</v>
      </c>
      <c r="BM428">
        <v>14.5626</v>
      </c>
    </row>
    <row r="429" spans="1:65" x14ac:dyDescent="0.25">
      <c r="A429" t="s">
        <v>492</v>
      </c>
      <c r="B429" t="s">
        <v>1474</v>
      </c>
      <c r="C429" t="s">
        <v>2159</v>
      </c>
      <c r="D429" s="1">
        <v>45576</v>
      </c>
      <c r="E429" s="1">
        <v>45607</v>
      </c>
      <c r="F429" s="1">
        <v>45684</v>
      </c>
      <c r="G429" t="s">
        <v>2163</v>
      </c>
      <c r="I429" t="s">
        <v>2173</v>
      </c>
      <c r="J429">
        <v>26779</v>
      </c>
      <c r="K429">
        <v>803</v>
      </c>
      <c r="L429">
        <v>13.8</v>
      </c>
      <c r="M429">
        <v>11.3</v>
      </c>
      <c r="N429">
        <v>7</v>
      </c>
      <c r="O429">
        <v>18335</v>
      </c>
      <c r="P429" t="s">
        <v>2178</v>
      </c>
      <c r="Q429">
        <v>21</v>
      </c>
      <c r="R429">
        <v>29</v>
      </c>
      <c r="S429">
        <v>19</v>
      </c>
      <c r="T429">
        <v>388</v>
      </c>
      <c r="U429" t="s">
        <v>2163</v>
      </c>
      <c r="W429" t="s">
        <v>2208</v>
      </c>
      <c r="X429" t="s">
        <v>2210</v>
      </c>
      <c r="Y429" t="s">
        <v>2212</v>
      </c>
      <c r="Z429" s="1">
        <v>45676</v>
      </c>
      <c r="AA429" s="1">
        <v>45693</v>
      </c>
      <c r="AB429" t="s">
        <v>2215</v>
      </c>
      <c r="AC429" t="s">
        <v>2208</v>
      </c>
      <c r="AD429" t="s">
        <v>2216</v>
      </c>
      <c r="AE429" t="s">
        <v>2163</v>
      </c>
      <c r="AG429" t="s">
        <v>2220</v>
      </c>
      <c r="AH429">
        <v>69</v>
      </c>
      <c r="AI429">
        <v>86</v>
      </c>
      <c r="AJ429">
        <v>17</v>
      </c>
      <c r="AK429">
        <v>11</v>
      </c>
      <c r="AL429" t="s">
        <v>2231</v>
      </c>
      <c r="AM429">
        <v>1</v>
      </c>
      <c r="AN429" t="s">
        <v>2175</v>
      </c>
      <c r="AO429" t="s">
        <v>2175</v>
      </c>
      <c r="AP429" t="s">
        <v>2175</v>
      </c>
      <c r="AQ429">
        <v>155.94</v>
      </c>
      <c r="AR429">
        <v>3</v>
      </c>
      <c r="AS429">
        <v>3</v>
      </c>
      <c r="AT429">
        <v>3</v>
      </c>
      <c r="AU429">
        <v>3</v>
      </c>
      <c r="AV429">
        <v>3</v>
      </c>
      <c r="AW429">
        <v>4.4000000000000004</v>
      </c>
      <c r="AY429">
        <v>4.4000000000000004</v>
      </c>
      <c r="AZ429">
        <v>0</v>
      </c>
      <c r="BA429">
        <v>2</v>
      </c>
      <c r="BB429">
        <v>39</v>
      </c>
      <c r="BC429">
        <v>25</v>
      </c>
      <c r="BD429">
        <v>34.08</v>
      </c>
      <c r="BE429">
        <v>161</v>
      </c>
      <c r="BF429">
        <v>87.4</v>
      </c>
      <c r="BG429">
        <v>39</v>
      </c>
      <c r="BH429">
        <v>25</v>
      </c>
      <c r="BI429">
        <v>34.08</v>
      </c>
      <c r="BJ429">
        <v>161</v>
      </c>
      <c r="BK429">
        <v>87.4</v>
      </c>
      <c r="BL429">
        <v>161</v>
      </c>
      <c r="BM429">
        <v>6.6515000000000004</v>
      </c>
    </row>
    <row r="430" spans="1:65" x14ac:dyDescent="0.25">
      <c r="A430" t="s">
        <v>493</v>
      </c>
      <c r="B430" t="s">
        <v>1475</v>
      </c>
      <c r="C430" t="s">
        <v>2159</v>
      </c>
      <c r="D430" s="1">
        <v>45571</v>
      </c>
      <c r="E430" s="1">
        <v>45613</v>
      </c>
      <c r="F430" s="1">
        <v>45675</v>
      </c>
      <c r="G430" t="s">
        <v>2163</v>
      </c>
      <c r="I430" t="s">
        <v>2175</v>
      </c>
      <c r="J430">
        <v>21130</v>
      </c>
      <c r="K430">
        <v>633</v>
      </c>
      <c r="L430">
        <v>6.2</v>
      </c>
      <c r="M430">
        <v>11.4</v>
      </c>
      <c r="N430">
        <v>6</v>
      </c>
      <c r="O430">
        <v>14729</v>
      </c>
      <c r="P430" t="s">
        <v>2178</v>
      </c>
      <c r="Q430">
        <v>12</v>
      </c>
      <c r="R430">
        <v>21</v>
      </c>
      <c r="S430">
        <v>28</v>
      </c>
      <c r="T430">
        <v>346</v>
      </c>
      <c r="U430" t="s">
        <v>2163</v>
      </c>
      <c r="W430" t="s">
        <v>2208</v>
      </c>
      <c r="X430" t="s">
        <v>2210</v>
      </c>
      <c r="Y430" t="s">
        <v>2212</v>
      </c>
      <c r="Z430" s="1">
        <v>45674</v>
      </c>
      <c r="AA430" s="1">
        <v>45691</v>
      </c>
      <c r="AB430" t="s">
        <v>2215</v>
      </c>
      <c r="AC430" t="s">
        <v>2208</v>
      </c>
      <c r="AD430" t="s">
        <v>2216</v>
      </c>
      <c r="AE430" t="s">
        <v>2163</v>
      </c>
      <c r="AG430" t="s">
        <v>2220</v>
      </c>
      <c r="AH430">
        <v>61</v>
      </c>
      <c r="AI430">
        <v>78</v>
      </c>
      <c r="AJ430">
        <v>17</v>
      </c>
      <c r="AK430">
        <v>11</v>
      </c>
      <c r="AL430" t="s">
        <v>2231</v>
      </c>
      <c r="AM430">
        <v>1</v>
      </c>
      <c r="AN430" t="s">
        <v>2177</v>
      </c>
      <c r="AO430" t="s">
        <v>2177</v>
      </c>
      <c r="AP430" t="s">
        <v>2177</v>
      </c>
      <c r="AQ430">
        <v>70.680000000000007</v>
      </c>
      <c r="AR430">
        <v>3</v>
      </c>
      <c r="AS430">
        <v>2</v>
      </c>
      <c r="AT430">
        <v>2</v>
      </c>
      <c r="AU430">
        <v>2</v>
      </c>
      <c r="AV430">
        <v>2</v>
      </c>
      <c r="AW430">
        <v>4.4000000000000004</v>
      </c>
      <c r="AY430">
        <v>4.4000000000000004</v>
      </c>
      <c r="AZ430">
        <v>0</v>
      </c>
      <c r="BA430">
        <v>3</v>
      </c>
      <c r="BB430">
        <v>39</v>
      </c>
      <c r="BC430">
        <v>25</v>
      </c>
      <c r="BD430">
        <v>34.08</v>
      </c>
      <c r="BE430">
        <v>161</v>
      </c>
      <c r="BF430">
        <v>87.4</v>
      </c>
      <c r="BG430">
        <v>39</v>
      </c>
      <c r="BH430">
        <v>25</v>
      </c>
      <c r="BI430">
        <v>34.08</v>
      </c>
      <c r="BJ430">
        <v>161</v>
      </c>
      <c r="BK430">
        <v>87.4</v>
      </c>
      <c r="BL430">
        <v>161</v>
      </c>
      <c r="BM430">
        <v>5.2484000000000002</v>
      </c>
    </row>
    <row r="431" spans="1:65" x14ac:dyDescent="0.25">
      <c r="A431" t="s">
        <v>494</v>
      </c>
      <c r="B431" t="s">
        <v>1476</v>
      </c>
      <c r="C431" t="s">
        <v>2159</v>
      </c>
      <c r="D431" s="1">
        <v>45583</v>
      </c>
      <c r="E431" s="1">
        <v>45604</v>
      </c>
      <c r="F431" s="1">
        <v>45699</v>
      </c>
      <c r="G431" t="s">
        <v>2164</v>
      </c>
      <c r="I431" t="s">
        <v>2173</v>
      </c>
      <c r="J431">
        <v>34394</v>
      </c>
      <c r="K431">
        <v>1031</v>
      </c>
      <c r="L431">
        <v>16.3</v>
      </c>
      <c r="M431">
        <v>15.9</v>
      </c>
      <c r="N431">
        <v>5</v>
      </c>
      <c r="O431">
        <v>11191</v>
      </c>
      <c r="P431" t="s">
        <v>2178</v>
      </c>
      <c r="Q431">
        <v>17</v>
      </c>
      <c r="R431">
        <v>21</v>
      </c>
      <c r="S431">
        <v>51</v>
      </c>
      <c r="T431">
        <v>386</v>
      </c>
      <c r="U431" t="s">
        <v>2164</v>
      </c>
      <c r="W431" t="s">
        <v>2208</v>
      </c>
      <c r="X431" t="s">
        <v>2210</v>
      </c>
      <c r="Y431" t="s">
        <v>2212</v>
      </c>
      <c r="Z431" s="1">
        <v>45693</v>
      </c>
      <c r="AA431" s="1">
        <v>45715</v>
      </c>
      <c r="AB431" t="s">
        <v>2215</v>
      </c>
      <c r="AC431" t="s">
        <v>2208</v>
      </c>
      <c r="AD431" t="s">
        <v>2216</v>
      </c>
      <c r="AE431" t="s">
        <v>2164</v>
      </c>
      <c r="AG431" t="s">
        <v>2220</v>
      </c>
      <c r="AH431">
        <v>89</v>
      </c>
      <c r="AI431">
        <v>111</v>
      </c>
      <c r="AJ431">
        <v>22</v>
      </c>
      <c r="AK431">
        <v>11</v>
      </c>
      <c r="AL431" t="s">
        <v>2231</v>
      </c>
      <c r="AM431">
        <v>1</v>
      </c>
      <c r="AN431" t="s">
        <v>2175</v>
      </c>
      <c r="AO431" t="s">
        <v>2177</v>
      </c>
      <c r="AP431" t="s">
        <v>2177</v>
      </c>
      <c r="AQ431">
        <v>259.17</v>
      </c>
      <c r="AR431">
        <v>3</v>
      </c>
      <c r="AS431">
        <v>3</v>
      </c>
      <c r="AT431">
        <v>2</v>
      </c>
      <c r="AU431">
        <v>2</v>
      </c>
      <c r="AV431">
        <v>2.333333333333333</v>
      </c>
      <c r="AW431">
        <v>4.5</v>
      </c>
      <c r="AY431">
        <v>4.5</v>
      </c>
      <c r="AZ431">
        <v>0</v>
      </c>
      <c r="BA431">
        <v>2</v>
      </c>
      <c r="BB431">
        <v>35</v>
      </c>
      <c r="BC431">
        <v>25</v>
      </c>
      <c r="BD431">
        <v>30.64</v>
      </c>
      <c r="BE431">
        <v>142</v>
      </c>
      <c r="BF431">
        <v>87.5</v>
      </c>
      <c r="BG431">
        <v>35</v>
      </c>
      <c r="BH431">
        <v>25</v>
      </c>
      <c r="BI431">
        <v>30.64</v>
      </c>
      <c r="BJ431">
        <v>142</v>
      </c>
      <c r="BK431">
        <v>87.5</v>
      </c>
      <c r="BL431">
        <v>142</v>
      </c>
      <c r="BM431">
        <v>9.6857000000000006</v>
      </c>
    </row>
    <row r="432" spans="1:65" x14ac:dyDescent="0.25">
      <c r="A432" t="s">
        <v>495</v>
      </c>
      <c r="B432" t="s">
        <v>1477</v>
      </c>
      <c r="C432" t="s">
        <v>2159</v>
      </c>
      <c r="D432" s="1">
        <v>45542</v>
      </c>
      <c r="E432" s="1">
        <v>45580</v>
      </c>
      <c r="F432" s="1">
        <v>45690</v>
      </c>
      <c r="G432" t="s">
        <v>2161</v>
      </c>
      <c r="I432" t="s">
        <v>2175</v>
      </c>
      <c r="J432">
        <v>36962</v>
      </c>
      <c r="K432">
        <v>1108</v>
      </c>
      <c r="L432">
        <v>8.1</v>
      </c>
      <c r="M432">
        <v>16.8</v>
      </c>
      <c r="N432">
        <v>8</v>
      </c>
      <c r="O432">
        <v>13141</v>
      </c>
      <c r="P432" t="s">
        <v>2178</v>
      </c>
      <c r="Q432">
        <v>21</v>
      </c>
      <c r="R432">
        <v>36</v>
      </c>
      <c r="S432">
        <v>39</v>
      </c>
      <c r="T432">
        <v>385</v>
      </c>
      <c r="U432" t="s">
        <v>2161</v>
      </c>
      <c r="W432" t="s">
        <v>2208</v>
      </c>
      <c r="X432" t="s">
        <v>2210</v>
      </c>
      <c r="Y432" t="s">
        <v>2212</v>
      </c>
      <c r="Z432" s="1">
        <v>45676</v>
      </c>
      <c r="AA432" s="1">
        <v>45700</v>
      </c>
      <c r="AB432" t="s">
        <v>2214</v>
      </c>
      <c r="AC432" t="s">
        <v>2209</v>
      </c>
      <c r="AD432" t="s">
        <v>2216</v>
      </c>
      <c r="AE432" t="s">
        <v>2161</v>
      </c>
      <c r="AG432" t="s">
        <v>2220</v>
      </c>
      <c r="AH432">
        <v>96</v>
      </c>
      <c r="AI432">
        <v>120</v>
      </c>
      <c r="AJ432">
        <v>24</v>
      </c>
      <c r="AK432">
        <v>10</v>
      </c>
      <c r="AL432" t="s">
        <v>2230</v>
      </c>
      <c r="AM432">
        <v>1</v>
      </c>
      <c r="AN432" t="s">
        <v>2175</v>
      </c>
      <c r="AO432" t="s">
        <v>2175</v>
      </c>
      <c r="AP432" t="s">
        <v>2177</v>
      </c>
      <c r="AQ432">
        <v>136.08000000000001</v>
      </c>
      <c r="AR432">
        <v>3</v>
      </c>
      <c r="AS432">
        <v>3</v>
      </c>
      <c r="AT432">
        <v>3</v>
      </c>
      <c r="AU432">
        <v>2</v>
      </c>
      <c r="AV432">
        <v>2.666666666666667</v>
      </c>
      <c r="AW432">
        <v>4.3</v>
      </c>
      <c r="AY432">
        <v>4.3</v>
      </c>
      <c r="AZ432">
        <v>0</v>
      </c>
      <c r="BA432">
        <v>3</v>
      </c>
      <c r="BB432">
        <v>34</v>
      </c>
      <c r="BC432">
        <v>27</v>
      </c>
      <c r="BD432">
        <v>29.93</v>
      </c>
      <c r="BE432">
        <v>149</v>
      </c>
      <c r="BF432">
        <v>88</v>
      </c>
      <c r="BG432">
        <v>34</v>
      </c>
      <c r="BH432">
        <v>27</v>
      </c>
      <c r="BI432">
        <v>29.93</v>
      </c>
      <c r="BJ432">
        <v>149</v>
      </c>
      <c r="BK432">
        <v>88</v>
      </c>
      <c r="BL432">
        <v>149</v>
      </c>
      <c r="BM432">
        <v>9.1853999999999996</v>
      </c>
    </row>
    <row r="433" spans="1:65" x14ac:dyDescent="0.25">
      <c r="A433" t="s">
        <v>496</v>
      </c>
      <c r="B433" t="s">
        <v>1478</v>
      </c>
      <c r="C433" t="s">
        <v>2159</v>
      </c>
      <c r="D433" s="1">
        <v>45614</v>
      </c>
      <c r="E433" s="1">
        <v>45636</v>
      </c>
      <c r="F433" s="1">
        <v>45776</v>
      </c>
      <c r="G433" t="s">
        <v>2163</v>
      </c>
      <c r="I433" t="s">
        <v>2173</v>
      </c>
      <c r="J433">
        <v>48069</v>
      </c>
      <c r="K433">
        <v>1442</v>
      </c>
      <c r="L433">
        <v>8.3000000000000007</v>
      </c>
      <c r="M433">
        <v>10.3</v>
      </c>
      <c r="N433">
        <v>6</v>
      </c>
      <c r="O433">
        <v>16619</v>
      </c>
      <c r="P433" t="s">
        <v>2178</v>
      </c>
      <c r="Q433">
        <v>25</v>
      </c>
      <c r="R433">
        <v>43</v>
      </c>
      <c r="S433">
        <v>75</v>
      </c>
      <c r="T433">
        <v>336</v>
      </c>
      <c r="U433" t="s">
        <v>2163</v>
      </c>
      <c r="W433" t="s">
        <v>2208</v>
      </c>
      <c r="X433" t="s">
        <v>2210</v>
      </c>
      <c r="Y433" t="s">
        <v>2212</v>
      </c>
      <c r="Z433" s="1">
        <v>45779</v>
      </c>
      <c r="AA433" s="1">
        <v>45799</v>
      </c>
      <c r="AB433" t="s">
        <v>2215</v>
      </c>
      <c r="AC433" t="s">
        <v>2208</v>
      </c>
      <c r="AD433" t="s">
        <v>2216</v>
      </c>
      <c r="AE433" t="s">
        <v>2163</v>
      </c>
      <c r="AG433" t="s">
        <v>2220</v>
      </c>
      <c r="AH433">
        <v>143</v>
      </c>
      <c r="AI433">
        <v>163</v>
      </c>
      <c r="AJ433">
        <v>20</v>
      </c>
      <c r="AK433">
        <v>12</v>
      </c>
      <c r="AL433" t="s">
        <v>2229</v>
      </c>
      <c r="AM433">
        <v>1</v>
      </c>
      <c r="AN433" t="s">
        <v>2177</v>
      </c>
      <c r="AO433" t="s">
        <v>2177</v>
      </c>
      <c r="AP433" t="s">
        <v>2175</v>
      </c>
      <c r="AQ433">
        <v>85.490000000000009</v>
      </c>
      <c r="AR433">
        <v>3</v>
      </c>
      <c r="AS433">
        <v>2</v>
      </c>
      <c r="AT433">
        <v>2</v>
      </c>
      <c r="AU433">
        <v>3</v>
      </c>
      <c r="AV433">
        <v>2.333333333333333</v>
      </c>
      <c r="AW433">
        <v>4.4000000000000004</v>
      </c>
      <c r="AY433">
        <v>4.4000000000000004</v>
      </c>
      <c r="AZ433">
        <v>0</v>
      </c>
      <c r="BA433">
        <v>2</v>
      </c>
      <c r="BB433">
        <v>35</v>
      </c>
      <c r="BC433">
        <v>27</v>
      </c>
      <c r="BD433">
        <v>31.37</v>
      </c>
      <c r="BE433">
        <v>157</v>
      </c>
      <c r="BF433">
        <v>89.6</v>
      </c>
      <c r="BG433">
        <v>35</v>
      </c>
      <c r="BH433">
        <v>27</v>
      </c>
      <c r="BI433">
        <v>31.37</v>
      </c>
      <c r="BJ433">
        <v>157</v>
      </c>
      <c r="BK433">
        <v>89.6</v>
      </c>
      <c r="BL433">
        <v>157</v>
      </c>
      <c r="BM433">
        <v>11.337</v>
      </c>
    </row>
    <row r="434" spans="1:65" x14ac:dyDescent="0.25">
      <c r="A434" t="s">
        <v>497</v>
      </c>
      <c r="B434" t="s">
        <v>1479</v>
      </c>
      <c r="C434" t="s">
        <v>2159</v>
      </c>
      <c r="D434" s="1">
        <v>45587</v>
      </c>
      <c r="E434" s="1">
        <v>45627</v>
      </c>
      <c r="F434" s="1">
        <v>45653</v>
      </c>
      <c r="G434" t="s">
        <v>2163</v>
      </c>
      <c r="I434" t="s">
        <v>2175</v>
      </c>
      <c r="J434">
        <v>10504</v>
      </c>
      <c r="K434">
        <v>315</v>
      </c>
      <c r="L434">
        <v>15.4</v>
      </c>
      <c r="M434">
        <v>17.7</v>
      </c>
      <c r="N434">
        <v>5</v>
      </c>
      <c r="O434">
        <v>14910</v>
      </c>
      <c r="P434" t="s">
        <v>2178</v>
      </c>
      <c r="Q434">
        <v>5</v>
      </c>
      <c r="R434">
        <v>7</v>
      </c>
      <c r="S434">
        <v>14</v>
      </c>
      <c r="T434">
        <v>404</v>
      </c>
      <c r="U434" t="s">
        <v>2163</v>
      </c>
      <c r="W434" t="s">
        <v>2208</v>
      </c>
      <c r="X434" t="s">
        <v>2210</v>
      </c>
      <c r="Y434" t="s">
        <v>2212</v>
      </c>
      <c r="Z434" s="1">
        <v>45653</v>
      </c>
      <c r="AA434" s="1">
        <v>45670</v>
      </c>
      <c r="AB434" t="s">
        <v>2215</v>
      </c>
      <c r="AC434" t="s">
        <v>2208</v>
      </c>
      <c r="AD434" t="s">
        <v>2216</v>
      </c>
      <c r="AE434" t="s">
        <v>2163</v>
      </c>
      <c r="AG434" t="s">
        <v>2220</v>
      </c>
      <c r="AH434">
        <v>26</v>
      </c>
      <c r="AI434">
        <v>43</v>
      </c>
      <c r="AJ434">
        <v>17</v>
      </c>
      <c r="AK434">
        <v>12</v>
      </c>
      <c r="AL434" t="s">
        <v>2229</v>
      </c>
      <c r="AM434">
        <v>1</v>
      </c>
      <c r="AN434" t="s">
        <v>2175</v>
      </c>
      <c r="AO434" t="s">
        <v>2177</v>
      </c>
      <c r="AP434" t="s">
        <v>2177</v>
      </c>
      <c r="AQ434">
        <v>272.58</v>
      </c>
      <c r="AR434">
        <v>3</v>
      </c>
      <c r="AS434">
        <v>3</v>
      </c>
      <c r="AT434">
        <v>2</v>
      </c>
      <c r="AU434">
        <v>2</v>
      </c>
      <c r="AV434">
        <v>2.333333333333333</v>
      </c>
      <c r="AW434">
        <v>4.4000000000000004</v>
      </c>
      <c r="AY434">
        <v>4.4000000000000004</v>
      </c>
      <c r="AZ434">
        <v>0</v>
      </c>
      <c r="BA434">
        <v>3</v>
      </c>
      <c r="BB434">
        <v>35</v>
      </c>
      <c r="BC434">
        <v>27</v>
      </c>
      <c r="BD434">
        <v>31.37</v>
      </c>
      <c r="BE434">
        <v>157</v>
      </c>
      <c r="BF434">
        <v>89.6</v>
      </c>
      <c r="BG434">
        <v>35</v>
      </c>
      <c r="BH434">
        <v>27</v>
      </c>
      <c r="BI434">
        <v>31.37</v>
      </c>
      <c r="BJ434">
        <v>157</v>
      </c>
      <c r="BK434">
        <v>89.6</v>
      </c>
      <c r="BL434">
        <v>157</v>
      </c>
      <c r="BM434">
        <v>2.4773999999999998</v>
      </c>
    </row>
    <row r="435" spans="1:65" x14ac:dyDescent="0.25">
      <c r="A435" t="s">
        <v>498</v>
      </c>
      <c r="B435" t="s">
        <v>1480</v>
      </c>
      <c r="C435" t="s">
        <v>2158</v>
      </c>
      <c r="D435" s="1">
        <v>45620</v>
      </c>
      <c r="E435" s="1">
        <v>45642</v>
      </c>
      <c r="F435" s="1">
        <v>45741</v>
      </c>
      <c r="G435" t="s">
        <v>2163</v>
      </c>
      <c r="I435" t="s">
        <v>2175</v>
      </c>
      <c r="J435">
        <v>31732</v>
      </c>
      <c r="K435">
        <v>951</v>
      </c>
      <c r="L435">
        <v>7.2</v>
      </c>
      <c r="M435">
        <v>7.8</v>
      </c>
      <c r="N435">
        <v>7</v>
      </c>
      <c r="O435">
        <v>13584</v>
      </c>
      <c r="P435" t="s">
        <v>2178</v>
      </c>
      <c r="Q435">
        <v>22</v>
      </c>
      <c r="R435">
        <v>35</v>
      </c>
      <c r="S435">
        <v>30</v>
      </c>
      <c r="T435">
        <v>364</v>
      </c>
      <c r="U435" t="s">
        <v>2163</v>
      </c>
      <c r="W435" t="s">
        <v>2208</v>
      </c>
      <c r="X435" t="s">
        <v>2210</v>
      </c>
      <c r="Y435" t="s">
        <v>2212</v>
      </c>
      <c r="Z435" s="1">
        <v>45729</v>
      </c>
      <c r="AA435" s="1">
        <v>45746</v>
      </c>
      <c r="AB435" t="s">
        <v>2215</v>
      </c>
      <c r="AC435" t="s">
        <v>2208</v>
      </c>
      <c r="AD435" t="s">
        <v>2216</v>
      </c>
      <c r="AE435" t="s">
        <v>2163</v>
      </c>
      <c r="AG435" t="s">
        <v>2220</v>
      </c>
      <c r="AH435">
        <v>87</v>
      </c>
      <c r="AI435">
        <v>104</v>
      </c>
      <c r="AJ435">
        <v>17</v>
      </c>
      <c r="AK435">
        <v>12</v>
      </c>
      <c r="AL435" t="s">
        <v>2229</v>
      </c>
      <c r="AM435">
        <v>1</v>
      </c>
      <c r="AN435" t="s">
        <v>2177</v>
      </c>
      <c r="AO435" t="s">
        <v>2175</v>
      </c>
      <c r="AP435" t="s">
        <v>2177</v>
      </c>
      <c r="AQ435">
        <v>56.16</v>
      </c>
      <c r="AR435">
        <v>3</v>
      </c>
      <c r="AS435">
        <v>2</v>
      </c>
      <c r="AT435">
        <v>3</v>
      </c>
      <c r="AU435">
        <v>2</v>
      </c>
      <c r="AV435">
        <v>2.333333333333333</v>
      </c>
      <c r="AW435">
        <v>4.4000000000000004</v>
      </c>
      <c r="AY435">
        <v>4.4000000000000004</v>
      </c>
      <c r="AZ435">
        <v>2</v>
      </c>
      <c r="BA435">
        <v>3</v>
      </c>
      <c r="BB435">
        <v>35</v>
      </c>
      <c r="BC435">
        <v>27</v>
      </c>
      <c r="BD435">
        <v>31.37</v>
      </c>
      <c r="BE435">
        <v>157</v>
      </c>
      <c r="BF435">
        <v>89.6</v>
      </c>
      <c r="BG435">
        <v>35</v>
      </c>
      <c r="BH435">
        <v>27</v>
      </c>
      <c r="BI435">
        <v>31.37</v>
      </c>
      <c r="BJ435">
        <v>157</v>
      </c>
      <c r="BK435">
        <v>89.6</v>
      </c>
      <c r="BL435">
        <v>157</v>
      </c>
      <c r="BM435">
        <v>7.484</v>
      </c>
    </row>
    <row r="436" spans="1:65" x14ac:dyDescent="0.25">
      <c r="A436" t="s">
        <v>499</v>
      </c>
      <c r="B436" t="s">
        <v>1481</v>
      </c>
      <c r="C436" t="s">
        <v>2157</v>
      </c>
      <c r="D436" s="1">
        <v>45531</v>
      </c>
      <c r="E436" s="1">
        <v>45578</v>
      </c>
      <c r="F436" s="1">
        <v>45631</v>
      </c>
      <c r="G436" t="s">
        <v>2166</v>
      </c>
      <c r="I436" t="s">
        <v>2173</v>
      </c>
      <c r="J436">
        <v>17114</v>
      </c>
      <c r="K436">
        <v>513</v>
      </c>
      <c r="L436">
        <v>6.4</v>
      </c>
      <c r="M436">
        <v>9.4</v>
      </c>
      <c r="N436">
        <v>8</v>
      </c>
      <c r="O436">
        <v>16819</v>
      </c>
      <c r="P436" t="s">
        <v>2178</v>
      </c>
      <c r="Q436">
        <v>11</v>
      </c>
      <c r="R436">
        <v>19</v>
      </c>
      <c r="S436">
        <v>17</v>
      </c>
      <c r="T436">
        <v>364</v>
      </c>
      <c r="U436" t="s">
        <v>2166</v>
      </c>
      <c r="W436" t="s">
        <v>2208</v>
      </c>
      <c r="X436" t="s">
        <v>2210</v>
      </c>
      <c r="Y436" t="s">
        <v>2212</v>
      </c>
      <c r="Z436" s="1">
        <v>45625</v>
      </c>
      <c r="AA436" s="1">
        <v>45647</v>
      </c>
      <c r="AB436" t="s">
        <v>2215</v>
      </c>
      <c r="AC436" t="s">
        <v>2208</v>
      </c>
      <c r="AD436" t="s">
        <v>2216</v>
      </c>
      <c r="AE436" t="s">
        <v>2166</v>
      </c>
      <c r="AG436" t="s">
        <v>2220</v>
      </c>
      <c r="AH436">
        <v>47</v>
      </c>
      <c r="AI436">
        <v>69</v>
      </c>
      <c r="AJ436">
        <v>22</v>
      </c>
      <c r="AK436">
        <v>10</v>
      </c>
      <c r="AL436" t="s">
        <v>2230</v>
      </c>
      <c r="AM436">
        <v>1</v>
      </c>
      <c r="AN436" t="s">
        <v>2177</v>
      </c>
      <c r="AO436" t="s">
        <v>2175</v>
      </c>
      <c r="AP436" t="s">
        <v>2175</v>
      </c>
      <c r="AQ436">
        <v>60.16</v>
      </c>
      <c r="AR436">
        <v>3</v>
      </c>
      <c r="AS436">
        <v>2</v>
      </c>
      <c r="AT436">
        <v>3</v>
      </c>
      <c r="AU436">
        <v>3</v>
      </c>
      <c r="AV436">
        <v>2.666666666666667</v>
      </c>
      <c r="AW436">
        <v>4.8</v>
      </c>
      <c r="AY436">
        <v>4.8</v>
      </c>
      <c r="AZ436">
        <v>3</v>
      </c>
      <c r="BA436">
        <v>2</v>
      </c>
      <c r="BB436">
        <v>50</v>
      </c>
      <c r="BC436">
        <v>27</v>
      </c>
      <c r="BD436">
        <v>42.44</v>
      </c>
      <c r="BE436">
        <v>220</v>
      </c>
      <c r="BF436">
        <v>84.9</v>
      </c>
      <c r="BG436">
        <v>50</v>
      </c>
      <c r="BH436">
        <v>27</v>
      </c>
      <c r="BI436">
        <v>42.44</v>
      </c>
      <c r="BJ436">
        <v>220</v>
      </c>
      <c r="BK436">
        <v>84.9</v>
      </c>
      <c r="BL436">
        <v>220</v>
      </c>
      <c r="BM436">
        <v>2.8807</v>
      </c>
    </row>
    <row r="437" spans="1:65" x14ac:dyDescent="0.25">
      <c r="A437" t="s">
        <v>500</v>
      </c>
      <c r="B437" t="s">
        <v>1482</v>
      </c>
      <c r="C437" t="s">
        <v>2157</v>
      </c>
      <c r="D437" s="1">
        <v>45611</v>
      </c>
      <c r="E437" s="1">
        <v>45636</v>
      </c>
      <c r="F437" s="1">
        <v>45666</v>
      </c>
      <c r="G437" t="s">
        <v>2161</v>
      </c>
      <c r="I437" t="s">
        <v>2173</v>
      </c>
      <c r="J437">
        <v>14835</v>
      </c>
      <c r="K437">
        <v>445</v>
      </c>
      <c r="L437">
        <v>10.3</v>
      </c>
      <c r="M437">
        <v>12.8</v>
      </c>
      <c r="N437">
        <v>5</v>
      </c>
      <c r="O437">
        <v>11581</v>
      </c>
      <c r="P437" t="s">
        <v>2178</v>
      </c>
      <c r="Q437">
        <v>8</v>
      </c>
      <c r="R437">
        <v>9</v>
      </c>
      <c r="S437">
        <v>18</v>
      </c>
      <c r="T437">
        <v>423</v>
      </c>
      <c r="U437" t="s">
        <v>2161</v>
      </c>
      <c r="W437" t="s">
        <v>2208</v>
      </c>
      <c r="X437" t="s">
        <v>2210</v>
      </c>
      <c r="Y437" t="s">
        <v>2212</v>
      </c>
      <c r="Z437" s="1">
        <v>45671</v>
      </c>
      <c r="AA437" s="1">
        <v>45686</v>
      </c>
      <c r="AB437" t="s">
        <v>2215</v>
      </c>
      <c r="AC437" t="s">
        <v>2208</v>
      </c>
      <c r="AD437" t="s">
        <v>2216</v>
      </c>
      <c r="AE437" t="s">
        <v>2161</v>
      </c>
      <c r="AG437" t="s">
        <v>2220</v>
      </c>
      <c r="AH437">
        <v>35</v>
      </c>
      <c r="AI437">
        <v>50</v>
      </c>
      <c r="AJ437">
        <v>15</v>
      </c>
      <c r="AK437">
        <v>12</v>
      </c>
      <c r="AL437" t="s">
        <v>2229</v>
      </c>
      <c r="AM437">
        <v>1</v>
      </c>
      <c r="AN437" t="s">
        <v>2175</v>
      </c>
      <c r="AO437" t="s">
        <v>2177</v>
      </c>
      <c r="AP437" t="s">
        <v>2177</v>
      </c>
      <c r="AQ437">
        <v>131.84</v>
      </c>
      <c r="AR437">
        <v>3</v>
      </c>
      <c r="AS437">
        <v>3</v>
      </c>
      <c r="AT437">
        <v>2</v>
      </c>
      <c r="AU437">
        <v>2</v>
      </c>
      <c r="AV437">
        <v>2.333333333333333</v>
      </c>
      <c r="AW437">
        <v>4.3</v>
      </c>
      <c r="AY437">
        <v>4.3</v>
      </c>
      <c r="AZ437">
        <v>3</v>
      </c>
      <c r="BA437">
        <v>2</v>
      </c>
      <c r="BB437">
        <v>36</v>
      </c>
      <c r="BC437">
        <v>27</v>
      </c>
      <c r="BD437">
        <v>31.85</v>
      </c>
      <c r="BE437">
        <v>158</v>
      </c>
      <c r="BF437">
        <v>88.5</v>
      </c>
      <c r="BG437">
        <v>36</v>
      </c>
      <c r="BH437">
        <v>27</v>
      </c>
      <c r="BI437">
        <v>31.85</v>
      </c>
      <c r="BJ437">
        <v>158</v>
      </c>
      <c r="BK437">
        <v>88.5</v>
      </c>
      <c r="BL437">
        <v>158</v>
      </c>
      <c r="BM437">
        <v>3.4767000000000001</v>
      </c>
    </row>
    <row r="438" spans="1:65" x14ac:dyDescent="0.25">
      <c r="A438" t="s">
        <v>501</v>
      </c>
      <c r="B438" t="s">
        <v>1483</v>
      </c>
      <c r="C438" t="s">
        <v>2160</v>
      </c>
      <c r="D438" s="1">
        <v>45583</v>
      </c>
      <c r="E438" s="1">
        <v>45627</v>
      </c>
      <c r="F438" s="1">
        <v>45666</v>
      </c>
      <c r="G438" t="s">
        <v>2164</v>
      </c>
      <c r="I438" t="s">
        <v>2173</v>
      </c>
      <c r="J438">
        <v>14804</v>
      </c>
      <c r="K438">
        <v>444</v>
      </c>
      <c r="L438">
        <v>12.2</v>
      </c>
      <c r="M438">
        <v>7.1</v>
      </c>
      <c r="N438">
        <v>5</v>
      </c>
      <c r="O438">
        <v>12193</v>
      </c>
      <c r="P438" t="s">
        <v>2178</v>
      </c>
      <c r="Q438">
        <v>8</v>
      </c>
      <c r="R438">
        <v>9</v>
      </c>
      <c r="S438">
        <v>10</v>
      </c>
      <c r="T438">
        <v>548</v>
      </c>
      <c r="U438" t="s">
        <v>2164</v>
      </c>
      <c r="W438" t="s">
        <v>2208</v>
      </c>
      <c r="X438" t="s">
        <v>2210</v>
      </c>
      <c r="Y438" t="s">
        <v>2212</v>
      </c>
      <c r="Z438" s="1">
        <v>45654</v>
      </c>
      <c r="AA438" s="1">
        <v>45667</v>
      </c>
      <c r="AB438" t="s">
        <v>2215</v>
      </c>
      <c r="AC438" t="s">
        <v>2208</v>
      </c>
      <c r="AD438" t="s">
        <v>2216</v>
      </c>
      <c r="AE438" t="s">
        <v>2164</v>
      </c>
      <c r="AG438" t="s">
        <v>2220</v>
      </c>
      <c r="AH438">
        <v>27</v>
      </c>
      <c r="AI438">
        <v>40</v>
      </c>
      <c r="AJ438">
        <v>13</v>
      </c>
      <c r="AK438">
        <v>12</v>
      </c>
      <c r="AL438" t="s">
        <v>2229</v>
      </c>
      <c r="AM438">
        <v>1</v>
      </c>
      <c r="AN438" t="s">
        <v>2177</v>
      </c>
      <c r="AO438" t="s">
        <v>2177</v>
      </c>
      <c r="AP438" t="s">
        <v>2177</v>
      </c>
      <c r="AQ438">
        <v>86.61999999999999</v>
      </c>
      <c r="AR438">
        <v>3</v>
      </c>
      <c r="AS438">
        <v>2</v>
      </c>
      <c r="AT438">
        <v>2</v>
      </c>
      <c r="AU438">
        <v>2</v>
      </c>
      <c r="AV438">
        <v>2</v>
      </c>
      <c r="AW438">
        <v>4.5</v>
      </c>
      <c r="AY438">
        <v>4.5</v>
      </c>
      <c r="AZ438">
        <v>1</v>
      </c>
      <c r="BA438">
        <v>2</v>
      </c>
      <c r="BB438">
        <v>35</v>
      </c>
      <c r="BC438">
        <v>27</v>
      </c>
      <c r="BD438">
        <v>30.78</v>
      </c>
      <c r="BE438">
        <v>153</v>
      </c>
      <c r="BF438">
        <v>87.9</v>
      </c>
      <c r="BG438">
        <v>35</v>
      </c>
      <c r="BH438">
        <v>27</v>
      </c>
      <c r="BI438">
        <v>30.78</v>
      </c>
      <c r="BJ438">
        <v>153</v>
      </c>
      <c r="BK438">
        <v>87.9</v>
      </c>
      <c r="BL438">
        <v>153</v>
      </c>
      <c r="BM438">
        <v>3.5828000000000002</v>
      </c>
    </row>
    <row r="439" spans="1:65" x14ac:dyDescent="0.25">
      <c r="A439" t="s">
        <v>502</v>
      </c>
      <c r="B439" t="s">
        <v>1484</v>
      </c>
      <c r="C439" t="s">
        <v>2160</v>
      </c>
      <c r="D439" s="1">
        <v>45555</v>
      </c>
      <c r="E439" s="1">
        <v>45597</v>
      </c>
      <c r="F439" s="1">
        <v>45633</v>
      </c>
      <c r="G439" t="s">
        <v>2164</v>
      </c>
      <c r="I439" t="s">
        <v>2173</v>
      </c>
      <c r="J439">
        <v>16938</v>
      </c>
      <c r="K439">
        <v>508</v>
      </c>
      <c r="L439">
        <v>5.2</v>
      </c>
      <c r="M439">
        <v>6</v>
      </c>
      <c r="N439">
        <v>5</v>
      </c>
      <c r="O439">
        <v>19860</v>
      </c>
      <c r="P439" t="s">
        <v>2178</v>
      </c>
      <c r="Q439">
        <v>7</v>
      </c>
      <c r="R439">
        <v>10</v>
      </c>
      <c r="S439">
        <v>24</v>
      </c>
      <c r="T439">
        <v>413</v>
      </c>
      <c r="U439" t="s">
        <v>2164</v>
      </c>
      <c r="W439" t="s">
        <v>2208</v>
      </c>
      <c r="X439" t="s">
        <v>2210</v>
      </c>
      <c r="Y439" t="s">
        <v>2212</v>
      </c>
      <c r="Z439" s="1">
        <v>45638</v>
      </c>
      <c r="AA439" s="1">
        <v>45656</v>
      </c>
      <c r="AB439" t="s">
        <v>2215</v>
      </c>
      <c r="AC439" t="s">
        <v>2208</v>
      </c>
      <c r="AD439" t="s">
        <v>2216</v>
      </c>
      <c r="AE439" t="s">
        <v>2164</v>
      </c>
      <c r="AG439" t="s">
        <v>2220</v>
      </c>
      <c r="AH439">
        <v>41</v>
      </c>
      <c r="AI439">
        <v>59</v>
      </c>
      <c r="AJ439">
        <v>18</v>
      </c>
      <c r="AK439">
        <v>11</v>
      </c>
      <c r="AL439" t="s">
        <v>2231</v>
      </c>
      <c r="AM439">
        <v>1</v>
      </c>
      <c r="AN439" t="s">
        <v>2177</v>
      </c>
      <c r="AO439" t="s">
        <v>2177</v>
      </c>
      <c r="AP439" t="s">
        <v>2175</v>
      </c>
      <c r="AQ439">
        <v>31.2</v>
      </c>
      <c r="AR439">
        <v>3</v>
      </c>
      <c r="AS439">
        <v>2</v>
      </c>
      <c r="AT439">
        <v>2</v>
      </c>
      <c r="AU439">
        <v>3</v>
      </c>
      <c r="AV439">
        <v>2.333333333333333</v>
      </c>
      <c r="AW439">
        <v>4.5</v>
      </c>
      <c r="AY439">
        <v>4.5</v>
      </c>
      <c r="AZ439">
        <v>1</v>
      </c>
      <c r="BA439">
        <v>2</v>
      </c>
      <c r="BB439">
        <v>35</v>
      </c>
      <c r="BC439">
        <v>25</v>
      </c>
      <c r="BD439">
        <v>30.64</v>
      </c>
      <c r="BE439">
        <v>142</v>
      </c>
      <c r="BF439">
        <v>87.5</v>
      </c>
      <c r="BG439">
        <v>35</v>
      </c>
      <c r="BH439">
        <v>25</v>
      </c>
      <c r="BI439">
        <v>30.64</v>
      </c>
      <c r="BJ439">
        <v>142</v>
      </c>
      <c r="BK439">
        <v>87.5</v>
      </c>
      <c r="BL439">
        <v>142</v>
      </c>
      <c r="BM439">
        <v>4.7698999999999998</v>
      </c>
    </row>
    <row r="440" spans="1:65" x14ac:dyDescent="0.25">
      <c r="A440" t="s">
        <v>503</v>
      </c>
      <c r="B440" t="s">
        <v>1485</v>
      </c>
      <c r="C440" t="s">
        <v>2159</v>
      </c>
      <c r="D440" s="1">
        <v>45515</v>
      </c>
      <c r="E440" s="1">
        <v>45574</v>
      </c>
      <c r="F440" s="1">
        <v>45641</v>
      </c>
      <c r="G440" t="s">
        <v>2161</v>
      </c>
      <c r="I440" t="s">
        <v>2175</v>
      </c>
      <c r="J440">
        <v>20916</v>
      </c>
      <c r="K440">
        <v>627</v>
      </c>
      <c r="L440">
        <v>7.7</v>
      </c>
      <c r="M440">
        <v>8.3000000000000007</v>
      </c>
      <c r="N440">
        <v>5</v>
      </c>
      <c r="O440">
        <v>17939</v>
      </c>
      <c r="P440" t="s">
        <v>2178</v>
      </c>
      <c r="Q440">
        <v>12</v>
      </c>
      <c r="R440">
        <v>17</v>
      </c>
      <c r="S440">
        <v>30</v>
      </c>
      <c r="T440">
        <v>354</v>
      </c>
      <c r="U440" t="s">
        <v>2161</v>
      </c>
      <c r="W440" t="s">
        <v>2208</v>
      </c>
      <c r="X440" t="s">
        <v>2210</v>
      </c>
      <c r="Y440" t="s">
        <v>2212</v>
      </c>
      <c r="Z440" s="1">
        <v>45633</v>
      </c>
      <c r="AA440" s="1">
        <v>45646</v>
      </c>
      <c r="AB440" t="s">
        <v>2215</v>
      </c>
      <c r="AC440" t="s">
        <v>2208</v>
      </c>
      <c r="AD440" t="s">
        <v>2216</v>
      </c>
      <c r="AE440" t="s">
        <v>2161</v>
      </c>
      <c r="AG440" t="s">
        <v>2220</v>
      </c>
      <c r="AH440">
        <v>59</v>
      </c>
      <c r="AI440">
        <v>72</v>
      </c>
      <c r="AJ440">
        <v>13</v>
      </c>
      <c r="AK440">
        <v>10</v>
      </c>
      <c r="AL440" t="s">
        <v>2230</v>
      </c>
      <c r="AM440">
        <v>1</v>
      </c>
      <c r="AN440" t="s">
        <v>2177</v>
      </c>
      <c r="AO440" t="s">
        <v>2177</v>
      </c>
      <c r="AP440" t="s">
        <v>2175</v>
      </c>
      <c r="AQ440">
        <v>63.91</v>
      </c>
      <c r="AR440">
        <v>3</v>
      </c>
      <c r="AS440">
        <v>2</v>
      </c>
      <c r="AT440">
        <v>2</v>
      </c>
      <c r="AU440">
        <v>3</v>
      </c>
      <c r="AV440">
        <v>2.333333333333333</v>
      </c>
      <c r="AW440">
        <v>4.3</v>
      </c>
      <c r="AY440">
        <v>4.3</v>
      </c>
      <c r="AZ440">
        <v>0</v>
      </c>
      <c r="BA440">
        <v>3</v>
      </c>
      <c r="BB440">
        <v>34</v>
      </c>
      <c r="BC440">
        <v>27</v>
      </c>
      <c r="BD440">
        <v>29.93</v>
      </c>
      <c r="BE440">
        <v>149</v>
      </c>
      <c r="BF440">
        <v>88</v>
      </c>
      <c r="BG440">
        <v>34</v>
      </c>
      <c r="BH440">
        <v>27</v>
      </c>
      <c r="BI440">
        <v>29.93</v>
      </c>
      <c r="BJ440">
        <v>149</v>
      </c>
      <c r="BK440">
        <v>88</v>
      </c>
      <c r="BL440">
        <v>149</v>
      </c>
      <c r="BM440">
        <v>5.1978</v>
      </c>
    </row>
    <row r="441" spans="1:65" x14ac:dyDescent="0.25">
      <c r="A441" t="s">
        <v>504</v>
      </c>
      <c r="B441" t="s">
        <v>1486</v>
      </c>
      <c r="C441" t="s">
        <v>2157</v>
      </c>
      <c r="D441" s="1">
        <v>45586</v>
      </c>
      <c r="E441" s="1">
        <v>45635</v>
      </c>
      <c r="F441" s="1">
        <v>45764</v>
      </c>
      <c r="G441" t="s">
        <v>2165</v>
      </c>
      <c r="I441" t="s">
        <v>2173</v>
      </c>
      <c r="J441">
        <v>46187</v>
      </c>
      <c r="K441">
        <v>1385</v>
      </c>
      <c r="L441">
        <v>11.2</v>
      </c>
      <c r="M441">
        <v>15.8</v>
      </c>
      <c r="N441">
        <v>8</v>
      </c>
      <c r="O441">
        <v>11077</v>
      </c>
      <c r="P441" t="s">
        <v>2178</v>
      </c>
      <c r="Q441">
        <v>36</v>
      </c>
      <c r="R441">
        <v>43</v>
      </c>
      <c r="S441">
        <v>54</v>
      </c>
      <c r="T441">
        <v>347</v>
      </c>
      <c r="U441" t="s">
        <v>2165</v>
      </c>
      <c r="W441" t="s">
        <v>2208</v>
      </c>
      <c r="X441" t="s">
        <v>2210</v>
      </c>
      <c r="Y441" t="s">
        <v>2212</v>
      </c>
      <c r="Z441" s="1">
        <v>45768</v>
      </c>
      <c r="AA441" s="1">
        <v>45792</v>
      </c>
      <c r="AB441" t="s">
        <v>2215</v>
      </c>
      <c r="AC441" t="s">
        <v>2208</v>
      </c>
      <c r="AD441" t="s">
        <v>2216</v>
      </c>
      <c r="AE441" t="s">
        <v>2165</v>
      </c>
      <c r="AG441" t="s">
        <v>2220</v>
      </c>
      <c r="AH441">
        <v>133</v>
      </c>
      <c r="AI441">
        <v>157</v>
      </c>
      <c r="AJ441">
        <v>24</v>
      </c>
      <c r="AK441">
        <v>12</v>
      </c>
      <c r="AL441" t="s">
        <v>2229</v>
      </c>
      <c r="AM441">
        <v>1</v>
      </c>
      <c r="AN441" t="s">
        <v>2175</v>
      </c>
      <c r="AO441" t="s">
        <v>2175</v>
      </c>
      <c r="AP441" t="s">
        <v>2177</v>
      </c>
      <c r="AQ441">
        <v>176.96</v>
      </c>
      <c r="AR441">
        <v>3</v>
      </c>
      <c r="AS441">
        <v>3</v>
      </c>
      <c r="AT441">
        <v>3</v>
      </c>
      <c r="AU441">
        <v>2</v>
      </c>
      <c r="AV441">
        <v>2.666666666666667</v>
      </c>
      <c r="AW441">
        <v>4.5999999999999996</v>
      </c>
      <c r="AY441">
        <v>4.5999999999999996</v>
      </c>
      <c r="AZ441">
        <v>3</v>
      </c>
      <c r="BA441">
        <v>2</v>
      </c>
      <c r="BB441">
        <v>36</v>
      </c>
      <c r="BC441">
        <v>27</v>
      </c>
      <c r="BD441">
        <v>31.41</v>
      </c>
      <c r="BE441">
        <v>155</v>
      </c>
      <c r="BF441">
        <v>87.2</v>
      </c>
      <c r="BG441">
        <v>36</v>
      </c>
      <c r="BH441">
        <v>27</v>
      </c>
      <c r="BI441">
        <v>31.41</v>
      </c>
      <c r="BJ441">
        <v>155</v>
      </c>
      <c r="BK441">
        <v>87.2</v>
      </c>
      <c r="BL441">
        <v>155</v>
      </c>
      <c r="BM441">
        <v>11.0337</v>
      </c>
    </row>
    <row r="442" spans="1:65" x14ac:dyDescent="0.25">
      <c r="A442" t="s">
        <v>505</v>
      </c>
      <c r="B442" t="s">
        <v>1487</v>
      </c>
      <c r="C442" t="s">
        <v>2160</v>
      </c>
      <c r="D442" s="1">
        <v>45571</v>
      </c>
      <c r="E442" s="1">
        <v>45608</v>
      </c>
      <c r="F442" s="1">
        <v>45741</v>
      </c>
      <c r="G442" t="s">
        <v>2164</v>
      </c>
      <c r="I442" t="s">
        <v>2175</v>
      </c>
      <c r="J442">
        <v>52808</v>
      </c>
      <c r="K442">
        <v>1584</v>
      </c>
      <c r="L442">
        <v>13.1</v>
      </c>
      <c r="M442">
        <v>14.2</v>
      </c>
      <c r="N442">
        <v>7</v>
      </c>
      <c r="O442">
        <v>16881</v>
      </c>
      <c r="P442" t="s">
        <v>2178</v>
      </c>
      <c r="Q442">
        <v>28</v>
      </c>
      <c r="R442">
        <v>41</v>
      </c>
      <c r="S442">
        <v>65</v>
      </c>
      <c r="T442">
        <v>394</v>
      </c>
      <c r="U442" t="s">
        <v>2164</v>
      </c>
      <c r="W442" t="s">
        <v>2208</v>
      </c>
      <c r="X442" t="s">
        <v>2210</v>
      </c>
      <c r="Y442" t="s">
        <v>2212</v>
      </c>
      <c r="Z442" s="1">
        <v>45742</v>
      </c>
      <c r="AA442" s="1">
        <v>45760</v>
      </c>
      <c r="AB442" t="s">
        <v>2215</v>
      </c>
      <c r="AC442" t="s">
        <v>2208</v>
      </c>
      <c r="AD442" t="s">
        <v>2216</v>
      </c>
      <c r="AE442" t="s">
        <v>2164</v>
      </c>
      <c r="AG442" t="s">
        <v>2220</v>
      </c>
      <c r="AH442">
        <v>134</v>
      </c>
      <c r="AI442">
        <v>152</v>
      </c>
      <c r="AJ442">
        <v>18</v>
      </c>
      <c r="AK442">
        <v>11</v>
      </c>
      <c r="AL442" t="s">
        <v>2231</v>
      </c>
      <c r="AM442">
        <v>1</v>
      </c>
      <c r="AN442" t="s">
        <v>2175</v>
      </c>
      <c r="AO442" t="s">
        <v>2175</v>
      </c>
      <c r="AP442" t="s">
        <v>2175</v>
      </c>
      <c r="AQ442">
        <v>186.02</v>
      </c>
      <c r="AR442">
        <v>3</v>
      </c>
      <c r="AS442">
        <v>3</v>
      </c>
      <c r="AT442">
        <v>3</v>
      </c>
      <c r="AU442">
        <v>3</v>
      </c>
      <c r="AV442">
        <v>3</v>
      </c>
      <c r="AW442">
        <v>4.5</v>
      </c>
      <c r="AY442">
        <v>4.5</v>
      </c>
      <c r="AZ442">
        <v>1</v>
      </c>
      <c r="BA442">
        <v>3</v>
      </c>
      <c r="BB442">
        <v>35</v>
      </c>
      <c r="BC442">
        <v>25</v>
      </c>
      <c r="BD442">
        <v>30.64</v>
      </c>
      <c r="BE442">
        <v>142</v>
      </c>
      <c r="BF442">
        <v>87.5</v>
      </c>
      <c r="BG442">
        <v>35</v>
      </c>
      <c r="BH442">
        <v>25</v>
      </c>
      <c r="BI442">
        <v>30.64</v>
      </c>
      <c r="BJ442">
        <v>142</v>
      </c>
      <c r="BK442">
        <v>87.5</v>
      </c>
      <c r="BL442">
        <v>142</v>
      </c>
      <c r="BM442">
        <v>14.8713</v>
      </c>
    </row>
    <row r="443" spans="1:65" x14ac:dyDescent="0.25">
      <c r="A443" t="s">
        <v>506</v>
      </c>
      <c r="B443" t="s">
        <v>1488</v>
      </c>
      <c r="C443" t="s">
        <v>2160</v>
      </c>
      <c r="D443" s="1">
        <v>45602</v>
      </c>
      <c r="E443" s="1">
        <v>45638</v>
      </c>
      <c r="F443" s="1">
        <v>45683</v>
      </c>
      <c r="G443" t="s">
        <v>2164</v>
      </c>
      <c r="I443" t="s">
        <v>2173</v>
      </c>
      <c r="J443">
        <v>20209</v>
      </c>
      <c r="K443">
        <v>606</v>
      </c>
      <c r="L443">
        <v>16.2</v>
      </c>
      <c r="M443">
        <v>17.3</v>
      </c>
      <c r="N443">
        <v>6</v>
      </c>
      <c r="O443">
        <v>16327</v>
      </c>
      <c r="P443" t="s">
        <v>2178</v>
      </c>
      <c r="Q443">
        <v>9</v>
      </c>
      <c r="R443">
        <v>15</v>
      </c>
      <c r="S443">
        <v>17</v>
      </c>
      <c r="T443">
        <v>492</v>
      </c>
      <c r="U443" t="s">
        <v>2164</v>
      </c>
      <c r="W443" t="s">
        <v>2208</v>
      </c>
      <c r="X443" t="s">
        <v>2210</v>
      </c>
      <c r="Y443" t="s">
        <v>2212</v>
      </c>
      <c r="Z443" s="1">
        <v>45679</v>
      </c>
      <c r="AA443" s="1">
        <v>45692</v>
      </c>
      <c r="AB443" t="s">
        <v>2215</v>
      </c>
      <c r="AC443" t="s">
        <v>2208</v>
      </c>
      <c r="AD443" t="s">
        <v>2216</v>
      </c>
      <c r="AE443" t="s">
        <v>2164</v>
      </c>
      <c r="AG443" t="s">
        <v>2220</v>
      </c>
      <c r="AH443">
        <v>41</v>
      </c>
      <c r="AI443">
        <v>54</v>
      </c>
      <c r="AJ443">
        <v>13</v>
      </c>
      <c r="AK443">
        <v>12</v>
      </c>
      <c r="AL443" t="s">
        <v>2229</v>
      </c>
      <c r="AM443">
        <v>1</v>
      </c>
      <c r="AN443" t="s">
        <v>2175</v>
      </c>
      <c r="AO443" t="s">
        <v>2177</v>
      </c>
      <c r="AP443" t="s">
        <v>2175</v>
      </c>
      <c r="AQ443">
        <v>280.26</v>
      </c>
      <c r="AR443">
        <v>3</v>
      </c>
      <c r="AS443">
        <v>3</v>
      </c>
      <c r="AT443">
        <v>2</v>
      </c>
      <c r="AU443">
        <v>3</v>
      </c>
      <c r="AV443">
        <v>2.666666666666667</v>
      </c>
      <c r="AW443">
        <v>4.5</v>
      </c>
      <c r="AY443">
        <v>4.5</v>
      </c>
      <c r="AZ443">
        <v>1</v>
      </c>
      <c r="BA443">
        <v>2</v>
      </c>
      <c r="BB443">
        <v>35</v>
      </c>
      <c r="BC443">
        <v>27</v>
      </c>
      <c r="BD443">
        <v>30.78</v>
      </c>
      <c r="BE443">
        <v>153</v>
      </c>
      <c r="BF443">
        <v>87.9</v>
      </c>
      <c r="BG443">
        <v>35</v>
      </c>
      <c r="BH443">
        <v>27</v>
      </c>
      <c r="BI443">
        <v>30.78</v>
      </c>
      <c r="BJ443">
        <v>153</v>
      </c>
      <c r="BK443">
        <v>87.9</v>
      </c>
      <c r="BL443">
        <v>153</v>
      </c>
      <c r="BM443">
        <v>4.8909000000000002</v>
      </c>
    </row>
    <row r="444" spans="1:65" x14ac:dyDescent="0.25">
      <c r="A444" t="s">
        <v>507</v>
      </c>
      <c r="B444" t="s">
        <v>1489</v>
      </c>
      <c r="C444" t="s">
        <v>2157</v>
      </c>
      <c r="D444" s="1">
        <v>45598</v>
      </c>
      <c r="E444" s="1">
        <v>45628</v>
      </c>
      <c r="F444" s="1">
        <v>45748</v>
      </c>
      <c r="G444" t="s">
        <v>2163</v>
      </c>
      <c r="I444" t="s">
        <v>2175</v>
      </c>
      <c r="J444">
        <v>46932</v>
      </c>
      <c r="K444">
        <v>1407</v>
      </c>
      <c r="L444">
        <v>12.5</v>
      </c>
      <c r="M444">
        <v>9.4</v>
      </c>
      <c r="N444">
        <v>5</v>
      </c>
      <c r="O444">
        <v>17830</v>
      </c>
      <c r="P444" t="s">
        <v>2178</v>
      </c>
      <c r="Q444">
        <v>23</v>
      </c>
      <c r="R444">
        <v>34</v>
      </c>
      <c r="S444">
        <v>58</v>
      </c>
      <c r="T444">
        <v>408</v>
      </c>
      <c r="U444" t="s">
        <v>2163</v>
      </c>
      <c r="W444" t="s">
        <v>2208</v>
      </c>
      <c r="X444" t="s">
        <v>2210</v>
      </c>
      <c r="Y444" t="s">
        <v>2212</v>
      </c>
      <c r="Z444" s="1">
        <v>45743</v>
      </c>
      <c r="AA444" s="1">
        <v>45762</v>
      </c>
      <c r="AB444" t="s">
        <v>2215</v>
      </c>
      <c r="AC444" t="s">
        <v>2208</v>
      </c>
      <c r="AD444" t="s">
        <v>2216</v>
      </c>
      <c r="AE444" t="s">
        <v>2163</v>
      </c>
      <c r="AG444" t="s">
        <v>2220</v>
      </c>
      <c r="AH444">
        <v>115</v>
      </c>
      <c r="AI444">
        <v>134</v>
      </c>
      <c r="AJ444">
        <v>19</v>
      </c>
      <c r="AK444">
        <v>12</v>
      </c>
      <c r="AL444" t="s">
        <v>2229</v>
      </c>
      <c r="AM444">
        <v>1</v>
      </c>
      <c r="AN444" t="s">
        <v>2177</v>
      </c>
      <c r="AO444" t="s">
        <v>2177</v>
      </c>
      <c r="AP444" t="s">
        <v>2175</v>
      </c>
      <c r="AQ444">
        <v>117.5</v>
      </c>
      <c r="AR444">
        <v>3</v>
      </c>
      <c r="AS444">
        <v>2</v>
      </c>
      <c r="AT444">
        <v>2</v>
      </c>
      <c r="AU444">
        <v>3</v>
      </c>
      <c r="AV444">
        <v>2.333333333333333</v>
      </c>
      <c r="AW444">
        <v>4.4000000000000004</v>
      </c>
      <c r="AY444">
        <v>4.4000000000000004</v>
      </c>
      <c r="AZ444">
        <v>3</v>
      </c>
      <c r="BA444">
        <v>3</v>
      </c>
      <c r="BB444">
        <v>35</v>
      </c>
      <c r="BC444">
        <v>27</v>
      </c>
      <c r="BD444">
        <v>31.37</v>
      </c>
      <c r="BE444">
        <v>157</v>
      </c>
      <c r="BF444">
        <v>89.6</v>
      </c>
      <c r="BG444">
        <v>35</v>
      </c>
      <c r="BH444">
        <v>27</v>
      </c>
      <c r="BI444">
        <v>31.37</v>
      </c>
      <c r="BJ444">
        <v>157</v>
      </c>
      <c r="BK444">
        <v>89.6</v>
      </c>
      <c r="BL444">
        <v>157</v>
      </c>
      <c r="BM444">
        <v>11.068899999999999</v>
      </c>
    </row>
    <row r="445" spans="1:65" x14ac:dyDescent="0.25">
      <c r="A445" t="s">
        <v>508</v>
      </c>
      <c r="B445" t="s">
        <v>1490</v>
      </c>
      <c r="C445" t="s">
        <v>2160</v>
      </c>
      <c r="D445" s="1">
        <v>45586</v>
      </c>
      <c r="E445" s="1">
        <v>45627</v>
      </c>
      <c r="F445" s="1">
        <v>45780</v>
      </c>
      <c r="G445" t="s">
        <v>2163</v>
      </c>
      <c r="I445" t="s">
        <v>2175</v>
      </c>
      <c r="J445">
        <v>52679</v>
      </c>
      <c r="K445">
        <v>1580</v>
      </c>
      <c r="L445">
        <v>12.8</v>
      </c>
      <c r="M445">
        <v>7.9</v>
      </c>
      <c r="N445">
        <v>5</v>
      </c>
      <c r="O445">
        <v>15585</v>
      </c>
      <c r="P445" t="s">
        <v>2178</v>
      </c>
      <c r="Q445">
        <v>37</v>
      </c>
      <c r="R445">
        <v>63</v>
      </c>
      <c r="S445">
        <v>41</v>
      </c>
      <c r="T445">
        <v>373</v>
      </c>
      <c r="U445" t="s">
        <v>2163</v>
      </c>
      <c r="W445" t="s">
        <v>2208</v>
      </c>
      <c r="X445" t="s">
        <v>2210</v>
      </c>
      <c r="Y445" t="s">
        <v>2212</v>
      </c>
      <c r="Z445" s="1">
        <v>45768</v>
      </c>
      <c r="AA445" s="1">
        <v>45792</v>
      </c>
      <c r="AB445" t="s">
        <v>2215</v>
      </c>
      <c r="AC445" t="s">
        <v>2208</v>
      </c>
      <c r="AD445" t="s">
        <v>2216</v>
      </c>
      <c r="AE445" t="s">
        <v>2163</v>
      </c>
      <c r="AG445" t="s">
        <v>2220</v>
      </c>
      <c r="AH445">
        <v>141</v>
      </c>
      <c r="AI445">
        <v>165</v>
      </c>
      <c r="AJ445">
        <v>24</v>
      </c>
      <c r="AK445">
        <v>12</v>
      </c>
      <c r="AL445" t="s">
        <v>2229</v>
      </c>
      <c r="AM445">
        <v>1</v>
      </c>
      <c r="AN445" t="s">
        <v>2177</v>
      </c>
      <c r="AO445" t="s">
        <v>2177</v>
      </c>
      <c r="AP445" t="s">
        <v>2175</v>
      </c>
      <c r="AQ445">
        <v>101.12</v>
      </c>
      <c r="AR445">
        <v>3</v>
      </c>
      <c r="AS445">
        <v>2</v>
      </c>
      <c r="AT445">
        <v>2</v>
      </c>
      <c r="AU445">
        <v>3</v>
      </c>
      <c r="AV445">
        <v>2.333333333333333</v>
      </c>
      <c r="AW445">
        <v>4.4000000000000004</v>
      </c>
      <c r="AY445">
        <v>4.4000000000000004</v>
      </c>
      <c r="AZ445">
        <v>1</v>
      </c>
      <c r="BA445">
        <v>3</v>
      </c>
      <c r="BB445">
        <v>35</v>
      </c>
      <c r="BC445">
        <v>27</v>
      </c>
      <c r="BD445">
        <v>31.37</v>
      </c>
      <c r="BE445">
        <v>157</v>
      </c>
      <c r="BF445">
        <v>89.6</v>
      </c>
      <c r="BG445">
        <v>35</v>
      </c>
      <c r="BH445">
        <v>27</v>
      </c>
      <c r="BI445">
        <v>31.37</v>
      </c>
      <c r="BJ445">
        <v>157</v>
      </c>
      <c r="BK445">
        <v>89.6</v>
      </c>
      <c r="BL445">
        <v>157</v>
      </c>
      <c r="BM445">
        <v>12.424300000000001</v>
      </c>
    </row>
    <row r="446" spans="1:65" x14ac:dyDescent="0.25">
      <c r="A446" t="s">
        <v>509</v>
      </c>
      <c r="B446" t="s">
        <v>1491</v>
      </c>
      <c r="C446" t="s">
        <v>2159</v>
      </c>
      <c r="D446" s="1">
        <v>45542</v>
      </c>
      <c r="E446" s="1">
        <v>45578</v>
      </c>
      <c r="F446" s="1">
        <v>45741</v>
      </c>
      <c r="G446" t="s">
        <v>2162</v>
      </c>
      <c r="I446" t="s">
        <v>2175</v>
      </c>
      <c r="J446">
        <v>49144</v>
      </c>
      <c r="K446">
        <v>1474</v>
      </c>
      <c r="L446">
        <v>9.1999999999999993</v>
      </c>
      <c r="M446">
        <v>6.2</v>
      </c>
      <c r="N446">
        <v>5</v>
      </c>
      <c r="O446">
        <v>16493</v>
      </c>
      <c r="P446" t="s">
        <v>2178</v>
      </c>
      <c r="Q446">
        <v>31</v>
      </c>
      <c r="R446">
        <v>53</v>
      </c>
      <c r="S446">
        <v>72</v>
      </c>
      <c r="T446">
        <v>315</v>
      </c>
      <c r="U446" t="s">
        <v>2162</v>
      </c>
      <c r="W446" t="s">
        <v>2208</v>
      </c>
      <c r="X446" t="s">
        <v>2210</v>
      </c>
      <c r="Y446" t="s">
        <v>2212</v>
      </c>
      <c r="Z446" s="1">
        <v>45734</v>
      </c>
      <c r="AA446" s="1">
        <v>45757</v>
      </c>
      <c r="AB446" t="s">
        <v>2215</v>
      </c>
      <c r="AC446" t="s">
        <v>2208</v>
      </c>
      <c r="AD446" t="s">
        <v>2216</v>
      </c>
      <c r="AE446" t="s">
        <v>2162</v>
      </c>
      <c r="AG446" t="s">
        <v>2220</v>
      </c>
      <c r="AH446">
        <v>156</v>
      </c>
      <c r="AI446">
        <v>179</v>
      </c>
      <c r="AJ446">
        <v>23</v>
      </c>
      <c r="AK446">
        <v>10</v>
      </c>
      <c r="AL446" t="s">
        <v>2230</v>
      </c>
      <c r="AM446">
        <v>1</v>
      </c>
      <c r="AN446" t="s">
        <v>2177</v>
      </c>
      <c r="AO446" t="s">
        <v>2177</v>
      </c>
      <c r="AP446" t="s">
        <v>2175</v>
      </c>
      <c r="AQ446">
        <v>57.04</v>
      </c>
      <c r="AR446">
        <v>3</v>
      </c>
      <c r="AS446">
        <v>2</v>
      </c>
      <c r="AT446">
        <v>2</v>
      </c>
      <c r="AU446">
        <v>3</v>
      </c>
      <c r="AV446">
        <v>2.333333333333333</v>
      </c>
      <c r="AW446">
        <v>4.2</v>
      </c>
      <c r="AY446">
        <v>4.2</v>
      </c>
      <c r="AZ446">
        <v>0</v>
      </c>
      <c r="BA446">
        <v>3</v>
      </c>
      <c r="BB446">
        <v>25</v>
      </c>
      <c r="BC446">
        <v>27</v>
      </c>
      <c r="BD446">
        <v>21.89</v>
      </c>
      <c r="BE446">
        <v>108</v>
      </c>
      <c r="BF446">
        <v>87.6</v>
      </c>
      <c r="BG446">
        <v>25</v>
      </c>
      <c r="BH446">
        <v>27</v>
      </c>
      <c r="BI446">
        <v>21.89</v>
      </c>
      <c r="BJ446">
        <v>108</v>
      </c>
      <c r="BK446">
        <v>87.6</v>
      </c>
      <c r="BL446">
        <v>108</v>
      </c>
      <c r="BM446">
        <v>16.8474</v>
      </c>
    </row>
    <row r="447" spans="1:65" x14ac:dyDescent="0.25">
      <c r="A447" t="s">
        <v>510</v>
      </c>
      <c r="B447" t="s">
        <v>1492</v>
      </c>
      <c r="C447" t="s">
        <v>2160</v>
      </c>
      <c r="D447" s="1">
        <v>45535</v>
      </c>
      <c r="E447" s="1">
        <v>45580</v>
      </c>
      <c r="F447" s="1">
        <v>45637</v>
      </c>
      <c r="G447" t="s">
        <v>2163</v>
      </c>
      <c r="I447" t="s">
        <v>2173</v>
      </c>
      <c r="J447">
        <v>23568</v>
      </c>
      <c r="K447">
        <v>707</v>
      </c>
      <c r="L447">
        <v>12</v>
      </c>
      <c r="M447">
        <v>17</v>
      </c>
      <c r="N447">
        <v>6</v>
      </c>
      <c r="O447">
        <v>18150</v>
      </c>
      <c r="P447" t="s">
        <v>2178</v>
      </c>
      <c r="Q447">
        <v>12</v>
      </c>
      <c r="R447">
        <v>18</v>
      </c>
      <c r="S447">
        <v>18</v>
      </c>
      <c r="T447">
        <v>491</v>
      </c>
      <c r="U447" t="s">
        <v>2163</v>
      </c>
      <c r="W447" t="s">
        <v>2208</v>
      </c>
      <c r="X447" t="s">
        <v>2210</v>
      </c>
      <c r="Y447" t="s">
        <v>2212</v>
      </c>
      <c r="Z447" s="1">
        <v>45628</v>
      </c>
      <c r="AA447" s="1">
        <v>45648</v>
      </c>
      <c r="AB447" t="s">
        <v>2215</v>
      </c>
      <c r="AC447" t="s">
        <v>2208</v>
      </c>
      <c r="AD447" t="s">
        <v>2216</v>
      </c>
      <c r="AE447" t="s">
        <v>2163</v>
      </c>
      <c r="AG447" t="s">
        <v>2220</v>
      </c>
      <c r="AH447">
        <v>48</v>
      </c>
      <c r="AI447">
        <v>68</v>
      </c>
      <c r="AJ447">
        <v>20</v>
      </c>
      <c r="AK447">
        <v>10</v>
      </c>
      <c r="AL447" t="s">
        <v>2230</v>
      </c>
      <c r="AM447">
        <v>1</v>
      </c>
      <c r="AN447" t="s">
        <v>2175</v>
      </c>
      <c r="AO447" t="s">
        <v>2177</v>
      </c>
      <c r="AP447" t="s">
        <v>2175</v>
      </c>
      <c r="AQ447">
        <v>204</v>
      </c>
      <c r="AR447">
        <v>3</v>
      </c>
      <c r="AS447">
        <v>3</v>
      </c>
      <c r="AT447">
        <v>2</v>
      </c>
      <c r="AU447">
        <v>3</v>
      </c>
      <c r="AV447">
        <v>2.666666666666667</v>
      </c>
      <c r="AW447">
        <v>4.4000000000000004</v>
      </c>
      <c r="AY447">
        <v>4.4000000000000004</v>
      </c>
      <c r="AZ447">
        <v>1</v>
      </c>
      <c r="BA447">
        <v>2</v>
      </c>
      <c r="BB447">
        <v>37</v>
      </c>
      <c r="BC447">
        <v>27</v>
      </c>
      <c r="BD447">
        <v>32.81</v>
      </c>
      <c r="BE447">
        <v>165</v>
      </c>
      <c r="BF447">
        <v>88.7</v>
      </c>
      <c r="BG447">
        <v>37</v>
      </c>
      <c r="BH447">
        <v>27</v>
      </c>
      <c r="BI447">
        <v>32.81</v>
      </c>
      <c r="BJ447">
        <v>165</v>
      </c>
      <c r="BK447">
        <v>88.7</v>
      </c>
      <c r="BL447">
        <v>165</v>
      </c>
      <c r="BM447">
        <v>5.2889999999999997</v>
      </c>
    </row>
    <row r="448" spans="1:65" x14ac:dyDescent="0.25">
      <c r="A448" t="s">
        <v>511</v>
      </c>
      <c r="B448" t="s">
        <v>1493</v>
      </c>
      <c r="C448" t="s">
        <v>2160</v>
      </c>
      <c r="D448" s="1">
        <v>45523</v>
      </c>
      <c r="E448" s="1">
        <v>45579</v>
      </c>
      <c r="F448" s="1">
        <v>45624</v>
      </c>
      <c r="G448" t="s">
        <v>2164</v>
      </c>
      <c r="I448" t="s">
        <v>2173</v>
      </c>
      <c r="J448">
        <v>15126</v>
      </c>
      <c r="K448">
        <v>453</v>
      </c>
      <c r="L448">
        <v>5.4</v>
      </c>
      <c r="M448">
        <v>16.3</v>
      </c>
      <c r="N448">
        <v>7</v>
      </c>
      <c r="O448">
        <v>11906</v>
      </c>
      <c r="P448" t="s">
        <v>2178</v>
      </c>
      <c r="Q448">
        <v>8</v>
      </c>
      <c r="R448">
        <v>13</v>
      </c>
      <c r="S448">
        <v>15</v>
      </c>
      <c r="T448">
        <v>420</v>
      </c>
      <c r="U448" t="s">
        <v>2164</v>
      </c>
      <c r="W448" t="s">
        <v>2208</v>
      </c>
      <c r="X448" t="s">
        <v>2210</v>
      </c>
      <c r="Y448" t="s">
        <v>2212</v>
      </c>
      <c r="Z448" s="1">
        <v>45615</v>
      </c>
      <c r="AA448" s="1">
        <v>45636</v>
      </c>
      <c r="AB448" t="s">
        <v>2215</v>
      </c>
      <c r="AC448" t="s">
        <v>2208</v>
      </c>
      <c r="AD448" t="s">
        <v>2216</v>
      </c>
      <c r="AE448" t="s">
        <v>2164</v>
      </c>
      <c r="AG448" t="s">
        <v>2220</v>
      </c>
      <c r="AH448">
        <v>36</v>
      </c>
      <c r="AI448">
        <v>57</v>
      </c>
      <c r="AJ448">
        <v>21</v>
      </c>
      <c r="AK448">
        <v>10</v>
      </c>
      <c r="AL448" t="s">
        <v>2230</v>
      </c>
      <c r="AM448">
        <v>1</v>
      </c>
      <c r="AN448" t="s">
        <v>2175</v>
      </c>
      <c r="AO448" t="s">
        <v>2175</v>
      </c>
      <c r="AP448" t="s">
        <v>2177</v>
      </c>
      <c r="AQ448">
        <v>88.02000000000001</v>
      </c>
      <c r="AR448">
        <v>3</v>
      </c>
      <c r="AS448">
        <v>3</v>
      </c>
      <c r="AT448">
        <v>3</v>
      </c>
      <c r="AU448">
        <v>2</v>
      </c>
      <c r="AV448">
        <v>2.666666666666667</v>
      </c>
      <c r="AW448">
        <v>4.5</v>
      </c>
      <c r="AY448">
        <v>4.5</v>
      </c>
      <c r="AZ448">
        <v>1</v>
      </c>
      <c r="BA448">
        <v>2</v>
      </c>
      <c r="BB448">
        <v>27</v>
      </c>
      <c r="BC448">
        <v>27</v>
      </c>
      <c r="BD448">
        <v>23.56</v>
      </c>
      <c r="BE448">
        <v>116</v>
      </c>
      <c r="BF448">
        <v>87.3</v>
      </c>
      <c r="BG448">
        <v>27</v>
      </c>
      <c r="BH448">
        <v>27</v>
      </c>
      <c r="BI448">
        <v>23.56</v>
      </c>
      <c r="BJ448">
        <v>116</v>
      </c>
      <c r="BK448">
        <v>87.3</v>
      </c>
      <c r="BL448">
        <v>116</v>
      </c>
      <c r="BM448">
        <v>4.8280000000000003</v>
      </c>
    </row>
    <row r="449" spans="1:65" x14ac:dyDescent="0.25">
      <c r="A449" t="s">
        <v>512</v>
      </c>
      <c r="B449" t="s">
        <v>1494</v>
      </c>
      <c r="C449" t="s">
        <v>2157</v>
      </c>
      <c r="D449" s="1">
        <v>45571</v>
      </c>
      <c r="E449" s="1">
        <v>45608</v>
      </c>
      <c r="F449" s="1">
        <v>45644</v>
      </c>
      <c r="G449" t="s">
        <v>2165</v>
      </c>
      <c r="I449" t="s">
        <v>2175</v>
      </c>
      <c r="J449">
        <v>11062</v>
      </c>
      <c r="K449">
        <v>331</v>
      </c>
      <c r="L449">
        <v>8</v>
      </c>
      <c r="M449">
        <v>9.5</v>
      </c>
      <c r="N449">
        <v>8</v>
      </c>
      <c r="O449">
        <v>17561</v>
      </c>
      <c r="P449" t="s">
        <v>2178</v>
      </c>
      <c r="Q449">
        <v>7</v>
      </c>
      <c r="R449">
        <v>8</v>
      </c>
      <c r="S449">
        <v>15</v>
      </c>
      <c r="T449">
        <v>368</v>
      </c>
      <c r="U449" t="s">
        <v>2165</v>
      </c>
      <c r="W449" t="s">
        <v>2208</v>
      </c>
      <c r="X449" t="s">
        <v>2210</v>
      </c>
      <c r="Y449" t="s">
        <v>2212</v>
      </c>
      <c r="Z449" s="1">
        <v>45638</v>
      </c>
      <c r="AA449" s="1">
        <v>45653</v>
      </c>
      <c r="AB449" t="s">
        <v>2215</v>
      </c>
      <c r="AC449" t="s">
        <v>2208</v>
      </c>
      <c r="AD449" t="s">
        <v>2216</v>
      </c>
      <c r="AE449" t="s">
        <v>2165</v>
      </c>
      <c r="AG449" t="s">
        <v>2220</v>
      </c>
      <c r="AH449">
        <v>30</v>
      </c>
      <c r="AI449">
        <v>45</v>
      </c>
      <c r="AJ449">
        <v>15</v>
      </c>
      <c r="AK449">
        <v>11</v>
      </c>
      <c r="AL449" t="s">
        <v>2231</v>
      </c>
      <c r="AM449">
        <v>1</v>
      </c>
      <c r="AN449" t="s">
        <v>2177</v>
      </c>
      <c r="AO449" t="s">
        <v>2175</v>
      </c>
      <c r="AP449" t="s">
        <v>2175</v>
      </c>
      <c r="AQ449">
        <v>76</v>
      </c>
      <c r="AR449">
        <v>3</v>
      </c>
      <c r="AS449">
        <v>2</v>
      </c>
      <c r="AT449">
        <v>3</v>
      </c>
      <c r="AU449">
        <v>3</v>
      </c>
      <c r="AV449">
        <v>2.666666666666667</v>
      </c>
      <c r="AW449">
        <v>4.5999999999999996</v>
      </c>
      <c r="AY449">
        <v>4.5999999999999996</v>
      </c>
      <c r="AZ449">
        <v>3</v>
      </c>
      <c r="BA449">
        <v>3</v>
      </c>
      <c r="BB449">
        <v>41</v>
      </c>
      <c r="BC449">
        <v>25</v>
      </c>
      <c r="BD449">
        <v>36.520000000000003</v>
      </c>
      <c r="BE449">
        <v>172</v>
      </c>
      <c r="BF449">
        <v>89.1</v>
      </c>
      <c r="BG449">
        <v>41</v>
      </c>
      <c r="BH449">
        <v>25</v>
      </c>
      <c r="BI449">
        <v>36.520000000000003</v>
      </c>
      <c r="BJ449">
        <v>172</v>
      </c>
      <c r="BK449">
        <v>89.1</v>
      </c>
      <c r="BL449">
        <v>172</v>
      </c>
      <c r="BM449">
        <v>2.5720000000000001</v>
      </c>
    </row>
    <row r="450" spans="1:65" x14ac:dyDescent="0.25">
      <c r="A450" t="s">
        <v>513</v>
      </c>
      <c r="B450" t="s">
        <v>1495</v>
      </c>
      <c r="C450" t="s">
        <v>2158</v>
      </c>
      <c r="D450" s="1">
        <v>45603</v>
      </c>
      <c r="E450" s="1">
        <v>45628</v>
      </c>
      <c r="F450" s="1">
        <v>45721</v>
      </c>
      <c r="G450" t="s">
        <v>2163</v>
      </c>
      <c r="I450" t="s">
        <v>2173</v>
      </c>
      <c r="J450">
        <v>36069</v>
      </c>
      <c r="K450">
        <v>1082</v>
      </c>
      <c r="L450">
        <v>6.7</v>
      </c>
      <c r="M450">
        <v>8.6999999999999993</v>
      </c>
      <c r="N450">
        <v>8</v>
      </c>
      <c r="O450">
        <v>15401</v>
      </c>
      <c r="P450" t="s">
        <v>2178</v>
      </c>
      <c r="Q450">
        <v>19</v>
      </c>
      <c r="R450">
        <v>31</v>
      </c>
      <c r="S450">
        <v>37</v>
      </c>
      <c r="T450">
        <v>414</v>
      </c>
      <c r="U450" t="s">
        <v>2163</v>
      </c>
      <c r="W450" t="s">
        <v>2208</v>
      </c>
      <c r="X450" t="s">
        <v>2210</v>
      </c>
      <c r="Y450" t="s">
        <v>2212</v>
      </c>
      <c r="Z450" s="1">
        <v>45715</v>
      </c>
      <c r="AA450" s="1">
        <v>45729</v>
      </c>
      <c r="AB450" t="s">
        <v>2215</v>
      </c>
      <c r="AC450" t="s">
        <v>2208</v>
      </c>
      <c r="AD450" t="s">
        <v>2216</v>
      </c>
      <c r="AE450" t="s">
        <v>2163</v>
      </c>
      <c r="AG450" t="s">
        <v>2220</v>
      </c>
      <c r="AH450">
        <v>87</v>
      </c>
      <c r="AI450">
        <v>101</v>
      </c>
      <c r="AJ450">
        <v>14</v>
      </c>
      <c r="AK450">
        <v>12</v>
      </c>
      <c r="AL450" t="s">
        <v>2229</v>
      </c>
      <c r="AM450">
        <v>1</v>
      </c>
      <c r="AN450" t="s">
        <v>2177</v>
      </c>
      <c r="AO450" t="s">
        <v>2175</v>
      </c>
      <c r="AP450" t="s">
        <v>2175</v>
      </c>
      <c r="AQ450">
        <v>58.29</v>
      </c>
      <c r="AR450">
        <v>3</v>
      </c>
      <c r="AS450">
        <v>2</v>
      </c>
      <c r="AT450">
        <v>3</v>
      </c>
      <c r="AU450">
        <v>3</v>
      </c>
      <c r="AV450">
        <v>2.666666666666667</v>
      </c>
      <c r="AW450">
        <v>4.4000000000000004</v>
      </c>
      <c r="AY450">
        <v>4.4000000000000004</v>
      </c>
      <c r="AZ450">
        <v>2</v>
      </c>
      <c r="BA450">
        <v>2</v>
      </c>
      <c r="BB450">
        <v>35</v>
      </c>
      <c r="BC450">
        <v>27</v>
      </c>
      <c r="BD450">
        <v>31.37</v>
      </c>
      <c r="BE450">
        <v>157</v>
      </c>
      <c r="BF450">
        <v>89.6</v>
      </c>
      <c r="BG450">
        <v>35</v>
      </c>
      <c r="BH450">
        <v>27</v>
      </c>
      <c r="BI450">
        <v>31.37</v>
      </c>
      <c r="BJ450">
        <v>157</v>
      </c>
      <c r="BK450">
        <v>89.6</v>
      </c>
      <c r="BL450">
        <v>157</v>
      </c>
      <c r="BM450">
        <v>8.5068000000000001</v>
      </c>
    </row>
    <row r="451" spans="1:65" x14ac:dyDescent="0.25">
      <c r="A451" t="s">
        <v>514</v>
      </c>
      <c r="B451" t="s">
        <v>1496</v>
      </c>
      <c r="C451" t="s">
        <v>2159</v>
      </c>
      <c r="D451" s="1">
        <v>45563</v>
      </c>
      <c r="E451" s="1">
        <v>45613</v>
      </c>
      <c r="F451" s="1">
        <v>45686</v>
      </c>
      <c r="G451" t="s">
        <v>2166</v>
      </c>
      <c r="I451" t="s">
        <v>2173</v>
      </c>
      <c r="J451">
        <v>37285</v>
      </c>
      <c r="K451">
        <v>1118</v>
      </c>
      <c r="L451">
        <v>16.100000000000001</v>
      </c>
      <c r="M451">
        <v>6.1</v>
      </c>
      <c r="N451">
        <v>7</v>
      </c>
      <c r="O451">
        <v>13735</v>
      </c>
      <c r="P451" t="s">
        <v>2178</v>
      </c>
      <c r="Q451">
        <v>19</v>
      </c>
      <c r="R451">
        <v>26</v>
      </c>
      <c r="S451">
        <v>30</v>
      </c>
      <c r="T451">
        <v>497</v>
      </c>
      <c r="U451" t="s">
        <v>2166</v>
      </c>
      <c r="W451" t="s">
        <v>2208</v>
      </c>
      <c r="X451" t="s">
        <v>2210</v>
      </c>
      <c r="Y451" t="s">
        <v>2212</v>
      </c>
      <c r="Z451" s="1">
        <v>45688</v>
      </c>
      <c r="AA451" s="1">
        <v>45707</v>
      </c>
      <c r="AB451" t="s">
        <v>2215</v>
      </c>
      <c r="AC451" t="s">
        <v>2208</v>
      </c>
      <c r="AD451" t="s">
        <v>2216</v>
      </c>
      <c r="AE451" t="s">
        <v>2166</v>
      </c>
      <c r="AG451" t="s">
        <v>2220</v>
      </c>
      <c r="AH451">
        <v>75</v>
      </c>
      <c r="AI451">
        <v>94</v>
      </c>
      <c r="AJ451">
        <v>19</v>
      </c>
      <c r="AK451">
        <v>11</v>
      </c>
      <c r="AL451" t="s">
        <v>2231</v>
      </c>
      <c r="AM451">
        <v>1</v>
      </c>
      <c r="AN451" t="s">
        <v>2175</v>
      </c>
      <c r="AO451" t="s">
        <v>2175</v>
      </c>
      <c r="AP451" t="s">
        <v>2177</v>
      </c>
      <c r="AQ451">
        <v>98.210000000000008</v>
      </c>
      <c r="AR451">
        <v>3</v>
      </c>
      <c r="AS451">
        <v>3</v>
      </c>
      <c r="AT451">
        <v>3</v>
      </c>
      <c r="AU451">
        <v>2</v>
      </c>
      <c r="AV451">
        <v>2.666666666666667</v>
      </c>
      <c r="AW451">
        <v>4.8</v>
      </c>
      <c r="AY451">
        <v>4.8</v>
      </c>
      <c r="AZ451">
        <v>0</v>
      </c>
      <c r="BA451">
        <v>2</v>
      </c>
      <c r="BB451">
        <v>50</v>
      </c>
      <c r="BC451">
        <v>25</v>
      </c>
      <c r="BD451">
        <v>43.92</v>
      </c>
      <c r="BE451">
        <v>212</v>
      </c>
      <c r="BF451">
        <v>87.8</v>
      </c>
      <c r="BG451">
        <v>50</v>
      </c>
      <c r="BH451">
        <v>25</v>
      </c>
      <c r="BI451">
        <v>43.92</v>
      </c>
      <c r="BJ451">
        <v>212</v>
      </c>
      <c r="BK451">
        <v>87.8</v>
      </c>
      <c r="BL451">
        <v>212</v>
      </c>
      <c r="BM451">
        <v>7.0335999999999999</v>
      </c>
    </row>
    <row r="452" spans="1:65" x14ac:dyDescent="0.25">
      <c r="A452" t="s">
        <v>515</v>
      </c>
      <c r="B452" t="s">
        <v>1497</v>
      </c>
      <c r="C452" t="s">
        <v>2157</v>
      </c>
      <c r="D452" s="1">
        <v>45578</v>
      </c>
      <c r="E452" s="1">
        <v>45599</v>
      </c>
      <c r="F452" s="1">
        <v>45661</v>
      </c>
      <c r="G452" t="s">
        <v>2161</v>
      </c>
      <c r="I452" t="s">
        <v>2175</v>
      </c>
      <c r="J452">
        <v>20787</v>
      </c>
      <c r="K452">
        <v>623</v>
      </c>
      <c r="L452">
        <v>16.3</v>
      </c>
      <c r="M452">
        <v>15.6</v>
      </c>
      <c r="N452">
        <v>6</v>
      </c>
      <c r="O452">
        <v>12551</v>
      </c>
      <c r="P452" t="s">
        <v>2178</v>
      </c>
      <c r="Q452">
        <v>14</v>
      </c>
      <c r="R452">
        <v>24</v>
      </c>
      <c r="S452">
        <v>19</v>
      </c>
      <c r="T452">
        <v>364</v>
      </c>
      <c r="U452" t="s">
        <v>2161</v>
      </c>
      <c r="W452" t="s">
        <v>2208</v>
      </c>
      <c r="X452" t="s">
        <v>2210</v>
      </c>
      <c r="Y452" t="s">
        <v>2212</v>
      </c>
      <c r="Z452" s="1">
        <v>45656</v>
      </c>
      <c r="AA452" s="1">
        <v>45674</v>
      </c>
      <c r="AB452" t="s">
        <v>2215</v>
      </c>
      <c r="AC452" t="s">
        <v>2208</v>
      </c>
      <c r="AD452" t="s">
        <v>2216</v>
      </c>
      <c r="AE452" t="s">
        <v>2161</v>
      </c>
      <c r="AG452" t="s">
        <v>2220</v>
      </c>
      <c r="AH452">
        <v>57</v>
      </c>
      <c r="AI452">
        <v>75</v>
      </c>
      <c r="AJ452">
        <v>18</v>
      </c>
      <c r="AK452">
        <v>11</v>
      </c>
      <c r="AL452" t="s">
        <v>2231</v>
      </c>
      <c r="AM452">
        <v>1</v>
      </c>
      <c r="AN452" t="s">
        <v>2175</v>
      </c>
      <c r="AO452" t="s">
        <v>2177</v>
      </c>
      <c r="AP452" t="s">
        <v>2177</v>
      </c>
      <c r="AQ452">
        <v>254.28</v>
      </c>
      <c r="AR452">
        <v>3</v>
      </c>
      <c r="AS452">
        <v>3</v>
      </c>
      <c r="AT452">
        <v>2</v>
      </c>
      <c r="AU452">
        <v>2</v>
      </c>
      <c r="AV452">
        <v>2.333333333333333</v>
      </c>
      <c r="AW452">
        <v>4.3</v>
      </c>
      <c r="AY452">
        <v>4.3</v>
      </c>
      <c r="AZ452">
        <v>3</v>
      </c>
      <c r="BA452">
        <v>3</v>
      </c>
      <c r="BB452">
        <v>32</v>
      </c>
      <c r="BC452">
        <v>25</v>
      </c>
      <c r="BD452">
        <v>28.56</v>
      </c>
      <c r="BE452">
        <v>134</v>
      </c>
      <c r="BF452">
        <v>89.2</v>
      </c>
      <c r="BG452">
        <v>32</v>
      </c>
      <c r="BH452">
        <v>25</v>
      </c>
      <c r="BI452">
        <v>28.56</v>
      </c>
      <c r="BJ452">
        <v>134</v>
      </c>
      <c r="BK452">
        <v>89.2</v>
      </c>
      <c r="BL452">
        <v>134</v>
      </c>
      <c r="BM452">
        <v>6.2031999999999998</v>
      </c>
    </row>
    <row r="453" spans="1:65" x14ac:dyDescent="0.25">
      <c r="A453" t="s">
        <v>516</v>
      </c>
      <c r="B453" t="s">
        <v>1498</v>
      </c>
      <c r="C453" t="s">
        <v>2158</v>
      </c>
      <c r="D453" s="1">
        <v>45586</v>
      </c>
      <c r="E453" s="1">
        <v>45631</v>
      </c>
      <c r="F453" s="1">
        <v>45687</v>
      </c>
      <c r="G453" t="s">
        <v>2164</v>
      </c>
      <c r="I453" t="s">
        <v>2173</v>
      </c>
      <c r="J453">
        <v>23703</v>
      </c>
      <c r="K453">
        <v>711</v>
      </c>
      <c r="L453">
        <v>17.600000000000001</v>
      </c>
      <c r="M453">
        <v>14.2</v>
      </c>
      <c r="N453">
        <v>5</v>
      </c>
      <c r="O453">
        <v>14208</v>
      </c>
      <c r="P453" t="s">
        <v>2178</v>
      </c>
      <c r="Q453">
        <v>14</v>
      </c>
      <c r="R453">
        <v>23</v>
      </c>
      <c r="S453">
        <v>19</v>
      </c>
      <c r="T453">
        <v>423</v>
      </c>
      <c r="U453" t="s">
        <v>2164</v>
      </c>
      <c r="W453" t="s">
        <v>2208</v>
      </c>
      <c r="X453" t="s">
        <v>2210</v>
      </c>
      <c r="Y453" t="s">
        <v>2212</v>
      </c>
      <c r="Z453" s="1">
        <v>45687</v>
      </c>
      <c r="AA453" s="1">
        <v>45711</v>
      </c>
      <c r="AB453" t="s">
        <v>2215</v>
      </c>
      <c r="AC453" t="s">
        <v>2208</v>
      </c>
      <c r="AD453" t="s">
        <v>2216</v>
      </c>
      <c r="AE453" t="s">
        <v>2164</v>
      </c>
      <c r="AG453" t="s">
        <v>2220</v>
      </c>
      <c r="AH453">
        <v>56</v>
      </c>
      <c r="AI453">
        <v>80</v>
      </c>
      <c r="AJ453">
        <v>24</v>
      </c>
      <c r="AK453">
        <v>12</v>
      </c>
      <c r="AL453" t="s">
        <v>2229</v>
      </c>
      <c r="AM453">
        <v>1</v>
      </c>
      <c r="AN453" t="s">
        <v>2175</v>
      </c>
      <c r="AO453" t="s">
        <v>2177</v>
      </c>
      <c r="AP453" t="s">
        <v>2177</v>
      </c>
      <c r="AQ453">
        <v>249.92</v>
      </c>
      <c r="AR453">
        <v>3</v>
      </c>
      <c r="AS453">
        <v>3</v>
      </c>
      <c r="AT453">
        <v>2</v>
      </c>
      <c r="AU453">
        <v>2</v>
      </c>
      <c r="AV453">
        <v>2.333333333333333</v>
      </c>
      <c r="AW453">
        <v>4.5</v>
      </c>
      <c r="AY453">
        <v>4.5</v>
      </c>
      <c r="AZ453">
        <v>2</v>
      </c>
      <c r="BA453">
        <v>2</v>
      </c>
      <c r="BB453">
        <v>35</v>
      </c>
      <c r="BC453">
        <v>27</v>
      </c>
      <c r="BD453">
        <v>30.78</v>
      </c>
      <c r="BE453">
        <v>153</v>
      </c>
      <c r="BF453">
        <v>87.9</v>
      </c>
      <c r="BG453">
        <v>35</v>
      </c>
      <c r="BH453">
        <v>27</v>
      </c>
      <c r="BI453">
        <v>30.78</v>
      </c>
      <c r="BJ453">
        <v>153</v>
      </c>
      <c r="BK453">
        <v>87.9</v>
      </c>
      <c r="BL453">
        <v>153</v>
      </c>
      <c r="BM453">
        <v>5.7363999999999997</v>
      </c>
    </row>
    <row r="454" spans="1:65" x14ac:dyDescent="0.25">
      <c r="A454" t="s">
        <v>517</v>
      </c>
      <c r="B454" t="s">
        <v>1499</v>
      </c>
      <c r="C454" t="s">
        <v>2160</v>
      </c>
      <c r="D454" s="1">
        <v>45548</v>
      </c>
      <c r="E454" s="1">
        <v>45580</v>
      </c>
      <c r="F454" s="1">
        <v>45602</v>
      </c>
      <c r="G454" t="s">
        <v>2162</v>
      </c>
      <c r="I454" t="s">
        <v>2175</v>
      </c>
      <c r="J454">
        <v>11828</v>
      </c>
      <c r="K454">
        <v>354</v>
      </c>
      <c r="L454">
        <v>9.8000000000000007</v>
      </c>
      <c r="M454">
        <v>10.9</v>
      </c>
      <c r="N454">
        <v>7</v>
      </c>
      <c r="O454">
        <v>19865</v>
      </c>
      <c r="P454" t="s">
        <v>2178</v>
      </c>
      <c r="Q454">
        <v>6</v>
      </c>
      <c r="R454">
        <v>8</v>
      </c>
      <c r="S454">
        <v>13</v>
      </c>
      <c r="T454">
        <v>438</v>
      </c>
      <c r="U454" t="s">
        <v>2162</v>
      </c>
      <c r="W454" t="s">
        <v>2208</v>
      </c>
      <c r="X454" t="s">
        <v>2210</v>
      </c>
      <c r="Y454" t="s">
        <v>2212</v>
      </c>
      <c r="Z454" s="1">
        <v>45607</v>
      </c>
      <c r="AA454" s="1">
        <v>45631</v>
      </c>
      <c r="AB454" t="s">
        <v>2215</v>
      </c>
      <c r="AC454" t="s">
        <v>2208</v>
      </c>
      <c r="AD454" t="s">
        <v>2216</v>
      </c>
      <c r="AE454" t="s">
        <v>2162</v>
      </c>
      <c r="AG454" t="s">
        <v>2220</v>
      </c>
      <c r="AH454">
        <v>27</v>
      </c>
      <c r="AI454">
        <v>51</v>
      </c>
      <c r="AJ454">
        <v>24</v>
      </c>
      <c r="AK454">
        <v>10</v>
      </c>
      <c r="AL454" t="s">
        <v>2230</v>
      </c>
      <c r="AM454">
        <v>1</v>
      </c>
      <c r="AN454" t="s">
        <v>2177</v>
      </c>
      <c r="AO454" t="s">
        <v>2175</v>
      </c>
      <c r="AP454" t="s">
        <v>2175</v>
      </c>
      <c r="AQ454">
        <v>106.82</v>
      </c>
      <c r="AR454">
        <v>3</v>
      </c>
      <c r="AS454">
        <v>2</v>
      </c>
      <c r="AT454">
        <v>3</v>
      </c>
      <c r="AU454">
        <v>3</v>
      </c>
      <c r="AV454">
        <v>2.666666666666667</v>
      </c>
      <c r="AW454">
        <v>4.2</v>
      </c>
      <c r="AY454">
        <v>4.2</v>
      </c>
      <c r="AZ454">
        <v>1</v>
      </c>
      <c r="BA454">
        <v>3</v>
      </c>
      <c r="BB454">
        <v>25</v>
      </c>
      <c r="BC454">
        <v>27</v>
      </c>
      <c r="BD454">
        <v>21.89</v>
      </c>
      <c r="BE454">
        <v>108</v>
      </c>
      <c r="BF454">
        <v>87.6</v>
      </c>
      <c r="BG454">
        <v>25</v>
      </c>
      <c r="BH454">
        <v>27</v>
      </c>
      <c r="BI454">
        <v>21.89</v>
      </c>
      <c r="BJ454">
        <v>108</v>
      </c>
      <c r="BK454">
        <v>87.6</v>
      </c>
      <c r="BL454">
        <v>108</v>
      </c>
      <c r="BM454">
        <v>4.0548999999999999</v>
      </c>
    </row>
    <row r="455" spans="1:65" x14ac:dyDescent="0.25">
      <c r="A455" t="s">
        <v>518</v>
      </c>
      <c r="B455" t="s">
        <v>1500</v>
      </c>
      <c r="C455" t="s">
        <v>2157</v>
      </c>
      <c r="D455" s="1">
        <v>45547</v>
      </c>
      <c r="E455" s="1">
        <v>45580</v>
      </c>
      <c r="F455" s="1">
        <v>45690</v>
      </c>
      <c r="G455" t="s">
        <v>2165</v>
      </c>
      <c r="I455" t="s">
        <v>2175</v>
      </c>
      <c r="J455">
        <v>44387</v>
      </c>
      <c r="K455">
        <v>1331</v>
      </c>
      <c r="L455">
        <v>12.7</v>
      </c>
      <c r="M455">
        <v>11.1</v>
      </c>
      <c r="N455">
        <v>7</v>
      </c>
      <c r="O455">
        <v>19310</v>
      </c>
      <c r="P455" t="s">
        <v>2178</v>
      </c>
      <c r="Q455">
        <v>29</v>
      </c>
      <c r="R455">
        <v>46</v>
      </c>
      <c r="S455">
        <v>32</v>
      </c>
      <c r="T455">
        <v>414</v>
      </c>
      <c r="U455" t="s">
        <v>2165</v>
      </c>
      <c r="W455" t="s">
        <v>2208</v>
      </c>
      <c r="X455" t="s">
        <v>2210</v>
      </c>
      <c r="Y455" t="s">
        <v>2212</v>
      </c>
      <c r="Z455" s="1">
        <v>45687</v>
      </c>
      <c r="AA455" s="1">
        <v>45700</v>
      </c>
      <c r="AB455" t="s">
        <v>2215</v>
      </c>
      <c r="AC455" t="s">
        <v>2208</v>
      </c>
      <c r="AD455" t="s">
        <v>2216</v>
      </c>
      <c r="AE455" t="s">
        <v>2165</v>
      </c>
      <c r="AG455" t="s">
        <v>2220</v>
      </c>
      <c r="AH455">
        <v>107</v>
      </c>
      <c r="AI455">
        <v>120</v>
      </c>
      <c r="AJ455">
        <v>13</v>
      </c>
      <c r="AK455">
        <v>10</v>
      </c>
      <c r="AL455" t="s">
        <v>2230</v>
      </c>
      <c r="AM455">
        <v>1</v>
      </c>
      <c r="AN455" t="s">
        <v>2175</v>
      </c>
      <c r="AO455" t="s">
        <v>2175</v>
      </c>
      <c r="AP455" t="s">
        <v>2175</v>
      </c>
      <c r="AQ455">
        <v>140.97</v>
      </c>
      <c r="AR455">
        <v>3</v>
      </c>
      <c r="AS455">
        <v>3</v>
      </c>
      <c r="AT455">
        <v>3</v>
      </c>
      <c r="AU455">
        <v>3</v>
      </c>
      <c r="AV455">
        <v>3</v>
      </c>
      <c r="AW455">
        <v>4.5999999999999996</v>
      </c>
      <c r="AY455">
        <v>4.5999999999999996</v>
      </c>
      <c r="AZ455">
        <v>3</v>
      </c>
      <c r="BA455">
        <v>3</v>
      </c>
      <c r="BB455">
        <v>43</v>
      </c>
      <c r="BC455">
        <v>27</v>
      </c>
      <c r="BD455">
        <v>37.33</v>
      </c>
      <c r="BE455">
        <v>194</v>
      </c>
      <c r="BF455">
        <v>86.8</v>
      </c>
      <c r="BG455">
        <v>43</v>
      </c>
      <c r="BH455">
        <v>27</v>
      </c>
      <c r="BI455">
        <v>37.33</v>
      </c>
      <c r="BJ455">
        <v>194</v>
      </c>
      <c r="BK455">
        <v>86.8</v>
      </c>
      <c r="BL455">
        <v>194</v>
      </c>
      <c r="BM455">
        <v>8.4724000000000004</v>
      </c>
    </row>
    <row r="456" spans="1:65" x14ac:dyDescent="0.25">
      <c r="A456" t="s">
        <v>519</v>
      </c>
      <c r="B456" t="s">
        <v>1501</v>
      </c>
      <c r="C456" t="s">
        <v>2159</v>
      </c>
      <c r="D456" s="1">
        <v>45579</v>
      </c>
      <c r="E456" s="1">
        <v>45628</v>
      </c>
      <c r="F456" s="1">
        <v>45662</v>
      </c>
      <c r="G456" t="s">
        <v>2164</v>
      </c>
      <c r="I456" t="s">
        <v>2175</v>
      </c>
      <c r="J456">
        <v>15256</v>
      </c>
      <c r="K456">
        <v>457</v>
      </c>
      <c r="L456">
        <v>14.4</v>
      </c>
      <c r="M456">
        <v>5.6</v>
      </c>
      <c r="N456">
        <v>8</v>
      </c>
      <c r="O456">
        <v>19064</v>
      </c>
      <c r="P456" t="s">
        <v>2178</v>
      </c>
      <c r="Q456">
        <v>8</v>
      </c>
      <c r="R456">
        <v>11</v>
      </c>
      <c r="S456">
        <v>13</v>
      </c>
      <c r="T456">
        <v>476</v>
      </c>
      <c r="U456" t="s">
        <v>2164</v>
      </c>
      <c r="W456" t="s">
        <v>2208</v>
      </c>
      <c r="X456" t="s">
        <v>2210</v>
      </c>
      <c r="Y456" t="s">
        <v>2212</v>
      </c>
      <c r="Z456" s="1">
        <v>45660</v>
      </c>
      <c r="AA456" s="1">
        <v>45677</v>
      </c>
      <c r="AB456" t="s">
        <v>2215</v>
      </c>
      <c r="AC456" t="s">
        <v>2208</v>
      </c>
      <c r="AD456" t="s">
        <v>2216</v>
      </c>
      <c r="AE456" t="s">
        <v>2164</v>
      </c>
      <c r="AG456" t="s">
        <v>2220</v>
      </c>
      <c r="AH456">
        <v>32</v>
      </c>
      <c r="AI456">
        <v>49</v>
      </c>
      <c r="AJ456">
        <v>17</v>
      </c>
      <c r="AK456">
        <v>12</v>
      </c>
      <c r="AL456" t="s">
        <v>2229</v>
      </c>
      <c r="AM456">
        <v>1</v>
      </c>
      <c r="AN456" t="s">
        <v>2177</v>
      </c>
      <c r="AO456" t="s">
        <v>2175</v>
      </c>
      <c r="AP456" t="s">
        <v>2175</v>
      </c>
      <c r="AQ456">
        <v>80.64</v>
      </c>
      <c r="AR456">
        <v>3</v>
      </c>
      <c r="AS456">
        <v>2</v>
      </c>
      <c r="AT456">
        <v>3</v>
      </c>
      <c r="AU456">
        <v>3</v>
      </c>
      <c r="AV456">
        <v>2.666666666666667</v>
      </c>
      <c r="AW456">
        <v>4.5</v>
      </c>
      <c r="AY456">
        <v>4.5</v>
      </c>
      <c r="AZ456">
        <v>0</v>
      </c>
      <c r="BA456">
        <v>3</v>
      </c>
      <c r="BB456">
        <v>35</v>
      </c>
      <c r="BC456">
        <v>27</v>
      </c>
      <c r="BD456">
        <v>30.78</v>
      </c>
      <c r="BE456">
        <v>153</v>
      </c>
      <c r="BF456">
        <v>87.9</v>
      </c>
      <c r="BG456">
        <v>35</v>
      </c>
      <c r="BH456">
        <v>27</v>
      </c>
      <c r="BI456">
        <v>30.78</v>
      </c>
      <c r="BJ456">
        <v>153</v>
      </c>
      <c r="BK456">
        <v>87.9</v>
      </c>
      <c r="BL456">
        <v>153</v>
      </c>
      <c r="BM456">
        <v>3.6922000000000001</v>
      </c>
    </row>
    <row r="457" spans="1:65" x14ac:dyDescent="0.25">
      <c r="A457" t="s">
        <v>520</v>
      </c>
      <c r="B457" t="s">
        <v>1502</v>
      </c>
      <c r="C457" t="s">
        <v>2158</v>
      </c>
      <c r="D457" s="1">
        <v>45524</v>
      </c>
      <c r="E457" s="1">
        <v>45581</v>
      </c>
      <c r="F457" s="1">
        <v>45635</v>
      </c>
      <c r="G457" t="s">
        <v>2161</v>
      </c>
      <c r="I457" t="s">
        <v>2173</v>
      </c>
      <c r="J457">
        <v>25524</v>
      </c>
      <c r="K457">
        <v>765</v>
      </c>
      <c r="L457">
        <v>9.1</v>
      </c>
      <c r="M457">
        <v>12.6</v>
      </c>
      <c r="N457">
        <v>8</v>
      </c>
      <c r="O457">
        <v>19510</v>
      </c>
      <c r="P457" t="s">
        <v>2178</v>
      </c>
      <c r="Q457">
        <v>12</v>
      </c>
      <c r="R457">
        <v>19</v>
      </c>
      <c r="S457">
        <v>25</v>
      </c>
      <c r="T457">
        <v>455</v>
      </c>
      <c r="U457" t="s">
        <v>2161</v>
      </c>
      <c r="W457" t="s">
        <v>2208</v>
      </c>
      <c r="X457" t="s">
        <v>2210</v>
      </c>
      <c r="Y457" t="s">
        <v>2212</v>
      </c>
      <c r="Z457" s="1">
        <v>45637</v>
      </c>
      <c r="AA457" s="1">
        <v>45657</v>
      </c>
      <c r="AB457" t="s">
        <v>2215</v>
      </c>
      <c r="AC457" t="s">
        <v>2208</v>
      </c>
      <c r="AD457" t="s">
        <v>2216</v>
      </c>
      <c r="AE457" t="s">
        <v>2161</v>
      </c>
      <c r="AG457" t="s">
        <v>2220</v>
      </c>
      <c r="AH457">
        <v>56</v>
      </c>
      <c r="AI457">
        <v>76</v>
      </c>
      <c r="AJ457">
        <v>20</v>
      </c>
      <c r="AK457">
        <v>10</v>
      </c>
      <c r="AL457" t="s">
        <v>2230</v>
      </c>
      <c r="AM457">
        <v>1</v>
      </c>
      <c r="AN457" t="s">
        <v>2177</v>
      </c>
      <c r="AO457" t="s">
        <v>2175</v>
      </c>
      <c r="AP457" t="s">
        <v>2175</v>
      </c>
      <c r="AQ457">
        <v>114.66</v>
      </c>
      <c r="AR457">
        <v>3</v>
      </c>
      <c r="AS457">
        <v>2</v>
      </c>
      <c r="AT457">
        <v>3</v>
      </c>
      <c r="AU457">
        <v>3</v>
      </c>
      <c r="AV457">
        <v>2.666666666666667</v>
      </c>
      <c r="AW457">
        <v>4.3</v>
      </c>
      <c r="AY457">
        <v>4.3</v>
      </c>
      <c r="AZ457">
        <v>2</v>
      </c>
      <c r="BA457">
        <v>2</v>
      </c>
      <c r="BB457">
        <v>34</v>
      </c>
      <c r="BC457">
        <v>27</v>
      </c>
      <c r="BD457">
        <v>29.93</v>
      </c>
      <c r="BE457">
        <v>149</v>
      </c>
      <c r="BF457">
        <v>88</v>
      </c>
      <c r="BG457">
        <v>34</v>
      </c>
      <c r="BH457">
        <v>27</v>
      </c>
      <c r="BI457">
        <v>29.93</v>
      </c>
      <c r="BJ457">
        <v>149</v>
      </c>
      <c r="BK457">
        <v>88</v>
      </c>
      <c r="BL457">
        <v>149</v>
      </c>
      <c r="BM457">
        <v>6.3429000000000002</v>
      </c>
    </row>
    <row r="458" spans="1:65" x14ac:dyDescent="0.25">
      <c r="A458" t="s">
        <v>521</v>
      </c>
      <c r="B458" t="s">
        <v>1503</v>
      </c>
      <c r="C458" t="s">
        <v>2159</v>
      </c>
      <c r="D458" s="1">
        <v>45574</v>
      </c>
      <c r="E458" s="1">
        <v>45608</v>
      </c>
      <c r="F458" s="1">
        <v>45678</v>
      </c>
      <c r="G458" t="s">
        <v>2166</v>
      </c>
      <c r="I458" t="s">
        <v>2173</v>
      </c>
      <c r="J458">
        <v>29096</v>
      </c>
      <c r="K458">
        <v>872</v>
      </c>
      <c r="L458">
        <v>8</v>
      </c>
      <c r="M458">
        <v>12.1</v>
      </c>
      <c r="N458">
        <v>6</v>
      </c>
      <c r="O458">
        <v>11202</v>
      </c>
      <c r="P458" t="s">
        <v>2178</v>
      </c>
      <c r="Q458">
        <v>20</v>
      </c>
      <c r="R458">
        <v>28</v>
      </c>
      <c r="S458">
        <v>20</v>
      </c>
      <c r="T458">
        <v>427</v>
      </c>
      <c r="U458" t="s">
        <v>2166</v>
      </c>
      <c r="W458" t="s">
        <v>2208</v>
      </c>
      <c r="X458" t="s">
        <v>2210</v>
      </c>
      <c r="Y458" t="s">
        <v>2212</v>
      </c>
      <c r="Z458" s="1">
        <v>45676</v>
      </c>
      <c r="AA458" s="1">
        <v>45696</v>
      </c>
      <c r="AB458" t="s">
        <v>2215</v>
      </c>
      <c r="AC458" t="s">
        <v>2208</v>
      </c>
      <c r="AD458" t="s">
        <v>2216</v>
      </c>
      <c r="AE458" t="s">
        <v>2166</v>
      </c>
      <c r="AG458" t="s">
        <v>2220</v>
      </c>
      <c r="AH458">
        <v>68</v>
      </c>
      <c r="AI458">
        <v>88</v>
      </c>
      <c r="AJ458">
        <v>20</v>
      </c>
      <c r="AK458">
        <v>11</v>
      </c>
      <c r="AL458" t="s">
        <v>2231</v>
      </c>
      <c r="AM458">
        <v>1</v>
      </c>
      <c r="AN458" t="s">
        <v>2177</v>
      </c>
      <c r="AO458" t="s">
        <v>2177</v>
      </c>
      <c r="AP458" t="s">
        <v>2177</v>
      </c>
      <c r="AQ458">
        <v>96.8</v>
      </c>
      <c r="AR458">
        <v>3</v>
      </c>
      <c r="AS458">
        <v>2</v>
      </c>
      <c r="AT458">
        <v>2</v>
      </c>
      <c r="AU458">
        <v>2</v>
      </c>
      <c r="AV458">
        <v>2</v>
      </c>
      <c r="AW458">
        <v>4.8</v>
      </c>
      <c r="AY458">
        <v>4.8</v>
      </c>
      <c r="AZ458">
        <v>0</v>
      </c>
      <c r="BA458">
        <v>2</v>
      </c>
      <c r="BB458">
        <v>50</v>
      </c>
      <c r="BC458">
        <v>25</v>
      </c>
      <c r="BD458">
        <v>43.92</v>
      </c>
      <c r="BE458">
        <v>212</v>
      </c>
      <c r="BF458">
        <v>87.8</v>
      </c>
      <c r="BG458">
        <v>50</v>
      </c>
      <c r="BH458">
        <v>25</v>
      </c>
      <c r="BI458">
        <v>43.92</v>
      </c>
      <c r="BJ458">
        <v>212</v>
      </c>
      <c r="BK458">
        <v>87.8</v>
      </c>
      <c r="BL458">
        <v>212</v>
      </c>
      <c r="BM458">
        <v>5.4888000000000003</v>
      </c>
    </row>
    <row r="459" spans="1:65" x14ac:dyDescent="0.25">
      <c r="A459" t="s">
        <v>522</v>
      </c>
      <c r="B459" t="s">
        <v>1504</v>
      </c>
      <c r="C459" t="s">
        <v>2158</v>
      </c>
      <c r="D459" s="1">
        <v>45612</v>
      </c>
      <c r="E459" s="1">
        <v>45633</v>
      </c>
      <c r="F459" s="1">
        <v>45678</v>
      </c>
      <c r="G459" t="s">
        <v>2161</v>
      </c>
      <c r="I459" t="s">
        <v>2175</v>
      </c>
      <c r="J459">
        <v>15408</v>
      </c>
      <c r="K459">
        <v>462</v>
      </c>
      <c r="L459">
        <v>14.8</v>
      </c>
      <c r="M459">
        <v>14.2</v>
      </c>
      <c r="N459">
        <v>7</v>
      </c>
      <c r="O459">
        <v>12336</v>
      </c>
      <c r="P459" t="s">
        <v>2178</v>
      </c>
      <c r="Q459">
        <v>10</v>
      </c>
      <c r="R459">
        <v>15</v>
      </c>
      <c r="S459">
        <v>20</v>
      </c>
      <c r="T459">
        <v>342</v>
      </c>
      <c r="U459" t="s">
        <v>2161</v>
      </c>
      <c r="W459" t="s">
        <v>2208</v>
      </c>
      <c r="X459" t="s">
        <v>2210</v>
      </c>
      <c r="Y459" t="s">
        <v>2212</v>
      </c>
      <c r="Z459" s="1">
        <v>45678</v>
      </c>
      <c r="AA459" s="1">
        <v>45694</v>
      </c>
      <c r="AB459" t="s">
        <v>2215</v>
      </c>
      <c r="AC459" t="s">
        <v>2208</v>
      </c>
      <c r="AD459" t="s">
        <v>2216</v>
      </c>
      <c r="AE459" t="s">
        <v>2161</v>
      </c>
      <c r="AG459" t="s">
        <v>2220</v>
      </c>
      <c r="AH459">
        <v>45</v>
      </c>
      <c r="AI459">
        <v>61</v>
      </c>
      <c r="AJ459">
        <v>16</v>
      </c>
      <c r="AK459">
        <v>12</v>
      </c>
      <c r="AL459" t="s">
        <v>2229</v>
      </c>
      <c r="AM459">
        <v>1</v>
      </c>
      <c r="AN459" t="s">
        <v>2175</v>
      </c>
      <c r="AO459" t="s">
        <v>2175</v>
      </c>
      <c r="AP459" t="s">
        <v>2177</v>
      </c>
      <c r="AQ459">
        <v>210.16</v>
      </c>
      <c r="AR459">
        <v>3</v>
      </c>
      <c r="AS459">
        <v>3</v>
      </c>
      <c r="AT459">
        <v>3</v>
      </c>
      <c r="AU459">
        <v>2</v>
      </c>
      <c r="AV459">
        <v>2.666666666666667</v>
      </c>
      <c r="AW459">
        <v>4.3</v>
      </c>
      <c r="AY459">
        <v>4.3</v>
      </c>
      <c r="AZ459">
        <v>2</v>
      </c>
      <c r="BA459">
        <v>3</v>
      </c>
      <c r="BB459">
        <v>36</v>
      </c>
      <c r="BC459">
        <v>27</v>
      </c>
      <c r="BD459">
        <v>31.85</v>
      </c>
      <c r="BE459">
        <v>158</v>
      </c>
      <c r="BF459">
        <v>88.5</v>
      </c>
      <c r="BG459">
        <v>36</v>
      </c>
      <c r="BH459">
        <v>27</v>
      </c>
      <c r="BI459">
        <v>31.85</v>
      </c>
      <c r="BJ459">
        <v>158</v>
      </c>
      <c r="BK459">
        <v>88.5</v>
      </c>
      <c r="BL459">
        <v>158</v>
      </c>
      <c r="BM459">
        <v>3.6110000000000002</v>
      </c>
    </row>
    <row r="460" spans="1:65" x14ac:dyDescent="0.25">
      <c r="A460" t="s">
        <v>523</v>
      </c>
      <c r="B460" t="s">
        <v>1505</v>
      </c>
      <c r="C460" t="s">
        <v>2160</v>
      </c>
      <c r="D460" s="1">
        <v>45576</v>
      </c>
      <c r="E460" s="1">
        <v>45597</v>
      </c>
      <c r="F460" s="1">
        <v>45741</v>
      </c>
      <c r="G460" t="s">
        <v>2161</v>
      </c>
      <c r="I460" t="s">
        <v>2175</v>
      </c>
      <c r="J460">
        <v>53872</v>
      </c>
      <c r="K460">
        <v>1616</v>
      </c>
      <c r="L460">
        <v>10.199999999999999</v>
      </c>
      <c r="M460">
        <v>15.4</v>
      </c>
      <c r="N460">
        <v>5</v>
      </c>
      <c r="O460">
        <v>12371</v>
      </c>
      <c r="P460" t="s">
        <v>2178</v>
      </c>
      <c r="Q460">
        <v>39</v>
      </c>
      <c r="R460">
        <v>55</v>
      </c>
      <c r="S460">
        <v>36</v>
      </c>
      <c r="T460">
        <v>414</v>
      </c>
      <c r="U460" t="s">
        <v>2161</v>
      </c>
      <c r="W460" t="s">
        <v>2208</v>
      </c>
      <c r="X460" t="s">
        <v>2210</v>
      </c>
      <c r="Y460" t="s">
        <v>2212</v>
      </c>
      <c r="Z460" s="1">
        <v>45727</v>
      </c>
      <c r="AA460" s="1">
        <v>45751</v>
      </c>
      <c r="AB460" t="s">
        <v>2214</v>
      </c>
      <c r="AC460" t="s">
        <v>2209</v>
      </c>
      <c r="AD460" t="s">
        <v>2216</v>
      </c>
      <c r="AE460" t="s">
        <v>2161</v>
      </c>
      <c r="AG460" t="s">
        <v>2220</v>
      </c>
      <c r="AH460">
        <v>130</v>
      </c>
      <c r="AI460">
        <v>154</v>
      </c>
      <c r="AJ460">
        <v>24</v>
      </c>
      <c r="AK460">
        <v>11</v>
      </c>
      <c r="AL460" t="s">
        <v>2231</v>
      </c>
      <c r="AM460">
        <v>1</v>
      </c>
      <c r="AN460" t="s">
        <v>2175</v>
      </c>
      <c r="AO460" t="s">
        <v>2177</v>
      </c>
      <c r="AP460" t="s">
        <v>2177</v>
      </c>
      <c r="AQ460">
        <v>157.08000000000001</v>
      </c>
      <c r="AR460">
        <v>3</v>
      </c>
      <c r="AS460">
        <v>3</v>
      </c>
      <c r="AT460">
        <v>2</v>
      </c>
      <c r="AU460">
        <v>2</v>
      </c>
      <c r="AV460">
        <v>2.333333333333333</v>
      </c>
      <c r="AW460">
        <v>4.3</v>
      </c>
      <c r="AY460">
        <v>4.3</v>
      </c>
      <c r="AZ460">
        <v>1</v>
      </c>
      <c r="BA460">
        <v>3</v>
      </c>
      <c r="BB460">
        <v>32</v>
      </c>
      <c r="BC460">
        <v>25</v>
      </c>
      <c r="BD460">
        <v>28.56</v>
      </c>
      <c r="BE460">
        <v>134</v>
      </c>
      <c r="BF460">
        <v>89.2</v>
      </c>
      <c r="BG460">
        <v>32</v>
      </c>
      <c r="BH460">
        <v>25</v>
      </c>
      <c r="BI460">
        <v>28.56</v>
      </c>
      <c r="BJ460">
        <v>134</v>
      </c>
      <c r="BK460">
        <v>89.2</v>
      </c>
      <c r="BL460">
        <v>134</v>
      </c>
      <c r="BM460">
        <v>16.0764</v>
      </c>
    </row>
    <row r="461" spans="1:65" x14ac:dyDescent="0.25">
      <c r="A461" t="s">
        <v>524</v>
      </c>
      <c r="B461" t="s">
        <v>1506</v>
      </c>
      <c r="C461" t="s">
        <v>2158</v>
      </c>
      <c r="D461" s="1">
        <v>45611</v>
      </c>
      <c r="E461" s="1">
        <v>45642</v>
      </c>
      <c r="F461" s="1">
        <v>45783</v>
      </c>
      <c r="G461" t="s">
        <v>2164</v>
      </c>
      <c r="I461" t="s">
        <v>2173</v>
      </c>
      <c r="J461">
        <v>49666</v>
      </c>
      <c r="K461">
        <v>1489</v>
      </c>
      <c r="L461">
        <v>15.7</v>
      </c>
      <c r="M461">
        <v>17.5</v>
      </c>
      <c r="N461">
        <v>6</v>
      </c>
      <c r="O461">
        <v>16166</v>
      </c>
      <c r="P461" t="s">
        <v>2178</v>
      </c>
      <c r="Q461">
        <v>33</v>
      </c>
      <c r="R461">
        <v>53</v>
      </c>
      <c r="S461">
        <v>56</v>
      </c>
      <c r="T461">
        <v>349</v>
      </c>
      <c r="U461" t="s">
        <v>2164</v>
      </c>
      <c r="W461" t="s">
        <v>2208</v>
      </c>
      <c r="X461" t="s">
        <v>2210</v>
      </c>
      <c r="Y461" t="s">
        <v>2212</v>
      </c>
      <c r="Z461" s="1">
        <v>45784</v>
      </c>
      <c r="AA461" s="1">
        <v>45806</v>
      </c>
      <c r="AB461" t="s">
        <v>2215</v>
      </c>
      <c r="AC461" t="s">
        <v>2208</v>
      </c>
      <c r="AD461" t="s">
        <v>2216</v>
      </c>
      <c r="AE461" t="s">
        <v>2164</v>
      </c>
      <c r="AG461" t="s">
        <v>2220</v>
      </c>
      <c r="AH461">
        <v>142</v>
      </c>
      <c r="AI461">
        <v>164</v>
      </c>
      <c r="AJ461">
        <v>22</v>
      </c>
      <c r="AK461">
        <v>12</v>
      </c>
      <c r="AL461" t="s">
        <v>2229</v>
      </c>
      <c r="AM461">
        <v>1</v>
      </c>
      <c r="AN461" t="s">
        <v>2175</v>
      </c>
      <c r="AO461" t="s">
        <v>2177</v>
      </c>
      <c r="AP461" t="s">
        <v>2175</v>
      </c>
      <c r="AQ461">
        <v>274.75</v>
      </c>
      <c r="AR461">
        <v>3</v>
      </c>
      <c r="AS461">
        <v>3</v>
      </c>
      <c r="AT461">
        <v>2</v>
      </c>
      <c r="AU461">
        <v>3</v>
      </c>
      <c r="AV461">
        <v>2.666666666666667</v>
      </c>
      <c r="AW461">
        <v>4.5</v>
      </c>
      <c r="AY461">
        <v>4.5</v>
      </c>
      <c r="AZ461">
        <v>2</v>
      </c>
      <c r="BA461">
        <v>2</v>
      </c>
      <c r="BB461">
        <v>35</v>
      </c>
      <c r="BC461">
        <v>27</v>
      </c>
      <c r="BD461">
        <v>30.78</v>
      </c>
      <c r="BE461">
        <v>153</v>
      </c>
      <c r="BF461">
        <v>87.9</v>
      </c>
      <c r="BG461">
        <v>35</v>
      </c>
      <c r="BH461">
        <v>27</v>
      </c>
      <c r="BI461">
        <v>30.78</v>
      </c>
      <c r="BJ461">
        <v>153</v>
      </c>
      <c r="BK461">
        <v>87.9</v>
      </c>
      <c r="BL461">
        <v>153</v>
      </c>
      <c r="BM461">
        <v>12.0198</v>
      </c>
    </row>
    <row r="462" spans="1:65" x14ac:dyDescent="0.25">
      <c r="A462" t="s">
        <v>525</v>
      </c>
      <c r="B462" t="s">
        <v>1507</v>
      </c>
      <c r="C462" t="s">
        <v>2160</v>
      </c>
      <c r="D462" s="1">
        <v>45557</v>
      </c>
      <c r="E462" s="1">
        <v>45604</v>
      </c>
      <c r="F462" s="1">
        <v>45641</v>
      </c>
      <c r="G462" t="s">
        <v>2161</v>
      </c>
      <c r="I462" t="s">
        <v>2173</v>
      </c>
      <c r="J462">
        <v>17783</v>
      </c>
      <c r="K462">
        <v>533</v>
      </c>
      <c r="L462">
        <v>17.100000000000001</v>
      </c>
      <c r="M462">
        <v>12.3</v>
      </c>
      <c r="N462">
        <v>5</v>
      </c>
      <c r="O462">
        <v>13876</v>
      </c>
      <c r="P462" t="s">
        <v>2178</v>
      </c>
      <c r="Q462">
        <v>8</v>
      </c>
      <c r="R462">
        <v>10</v>
      </c>
      <c r="S462">
        <v>14</v>
      </c>
      <c r="T462">
        <v>555</v>
      </c>
      <c r="U462" t="s">
        <v>2161</v>
      </c>
      <c r="W462" t="s">
        <v>2208</v>
      </c>
      <c r="X462" t="s">
        <v>2210</v>
      </c>
      <c r="Y462" t="s">
        <v>2212</v>
      </c>
      <c r="Z462" s="1">
        <v>45636</v>
      </c>
      <c r="AA462" s="1">
        <v>45656</v>
      </c>
      <c r="AB462" t="s">
        <v>2215</v>
      </c>
      <c r="AC462" t="s">
        <v>2208</v>
      </c>
      <c r="AD462" t="s">
        <v>2216</v>
      </c>
      <c r="AE462" t="s">
        <v>2161</v>
      </c>
      <c r="AG462" t="s">
        <v>2220</v>
      </c>
      <c r="AH462">
        <v>32</v>
      </c>
      <c r="AI462">
        <v>52</v>
      </c>
      <c r="AJ462">
        <v>20</v>
      </c>
      <c r="AK462">
        <v>11</v>
      </c>
      <c r="AL462" t="s">
        <v>2231</v>
      </c>
      <c r="AM462">
        <v>1</v>
      </c>
      <c r="AN462" t="s">
        <v>2175</v>
      </c>
      <c r="AO462" t="s">
        <v>2177</v>
      </c>
      <c r="AP462" t="s">
        <v>2177</v>
      </c>
      <c r="AQ462">
        <v>210.33</v>
      </c>
      <c r="AR462">
        <v>3</v>
      </c>
      <c r="AS462">
        <v>3</v>
      </c>
      <c r="AT462">
        <v>2</v>
      </c>
      <c r="AU462">
        <v>2</v>
      </c>
      <c r="AV462">
        <v>2.333333333333333</v>
      </c>
      <c r="AW462">
        <v>4.3</v>
      </c>
      <c r="AY462">
        <v>4.3</v>
      </c>
      <c r="AZ462">
        <v>1</v>
      </c>
      <c r="BA462">
        <v>2</v>
      </c>
      <c r="BB462">
        <v>32</v>
      </c>
      <c r="BC462">
        <v>25</v>
      </c>
      <c r="BD462">
        <v>28.56</v>
      </c>
      <c r="BE462">
        <v>134</v>
      </c>
      <c r="BF462">
        <v>89.2</v>
      </c>
      <c r="BG462">
        <v>32</v>
      </c>
      <c r="BH462">
        <v>25</v>
      </c>
      <c r="BI462">
        <v>28.56</v>
      </c>
      <c r="BJ462">
        <v>134</v>
      </c>
      <c r="BK462">
        <v>89.2</v>
      </c>
      <c r="BL462">
        <v>134</v>
      </c>
      <c r="BM462">
        <v>5.3068</v>
      </c>
    </row>
    <row r="463" spans="1:65" x14ac:dyDescent="0.25">
      <c r="A463" t="s">
        <v>526</v>
      </c>
      <c r="B463" t="s">
        <v>1508</v>
      </c>
      <c r="C463" t="s">
        <v>2158</v>
      </c>
      <c r="D463" s="1">
        <v>45615</v>
      </c>
      <c r="E463" s="1">
        <v>45635</v>
      </c>
      <c r="F463" s="1">
        <v>45712</v>
      </c>
      <c r="G463" t="s">
        <v>2165</v>
      </c>
      <c r="I463" t="s">
        <v>2175</v>
      </c>
      <c r="J463">
        <v>30530</v>
      </c>
      <c r="K463">
        <v>915</v>
      </c>
      <c r="L463">
        <v>10.9</v>
      </c>
      <c r="M463">
        <v>6.5</v>
      </c>
      <c r="N463">
        <v>6</v>
      </c>
      <c r="O463">
        <v>11645</v>
      </c>
      <c r="P463" t="s">
        <v>2178</v>
      </c>
      <c r="Q463">
        <v>18</v>
      </c>
      <c r="R463">
        <v>31</v>
      </c>
      <c r="S463">
        <v>23</v>
      </c>
      <c r="T463">
        <v>424</v>
      </c>
      <c r="U463" t="s">
        <v>2165</v>
      </c>
      <c r="W463" t="s">
        <v>2208</v>
      </c>
      <c r="X463" t="s">
        <v>2210</v>
      </c>
      <c r="Y463" t="s">
        <v>2212</v>
      </c>
      <c r="Z463" s="1">
        <v>45707</v>
      </c>
      <c r="AA463" s="1">
        <v>45723</v>
      </c>
      <c r="AB463" t="s">
        <v>2215</v>
      </c>
      <c r="AC463" t="s">
        <v>2208</v>
      </c>
      <c r="AD463" t="s">
        <v>2216</v>
      </c>
      <c r="AE463" t="s">
        <v>2165</v>
      </c>
      <c r="AG463" t="s">
        <v>2220</v>
      </c>
      <c r="AH463">
        <v>72</v>
      </c>
      <c r="AI463">
        <v>88</v>
      </c>
      <c r="AJ463">
        <v>16</v>
      </c>
      <c r="AK463">
        <v>12</v>
      </c>
      <c r="AL463" t="s">
        <v>2229</v>
      </c>
      <c r="AM463">
        <v>1</v>
      </c>
      <c r="AN463" t="s">
        <v>2177</v>
      </c>
      <c r="AO463" t="s">
        <v>2177</v>
      </c>
      <c r="AP463" t="s">
        <v>2177</v>
      </c>
      <c r="AQ463">
        <v>70.850000000000009</v>
      </c>
      <c r="AR463">
        <v>3</v>
      </c>
      <c r="AS463">
        <v>2</v>
      </c>
      <c r="AT463">
        <v>2</v>
      </c>
      <c r="AU463">
        <v>2</v>
      </c>
      <c r="AV463">
        <v>2</v>
      </c>
      <c r="AW463">
        <v>4.5999999999999996</v>
      </c>
      <c r="AY463">
        <v>4.5999999999999996</v>
      </c>
      <c r="AZ463">
        <v>2</v>
      </c>
      <c r="BA463">
        <v>3</v>
      </c>
      <c r="BB463">
        <v>36</v>
      </c>
      <c r="BC463">
        <v>27</v>
      </c>
      <c r="BD463">
        <v>31.41</v>
      </c>
      <c r="BE463">
        <v>155</v>
      </c>
      <c r="BF463">
        <v>87.2</v>
      </c>
      <c r="BG463">
        <v>36</v>
      </c>
      <c r="BH463">
        <v>27</v>
      </c>
      <c r="BI463">
        <v>31.41</v>
      </c>
      <c r="BJ463">
        <v>155</v>
      </c>
      <c r="BK463">
        <v>87.2</v>
      </c>
      <c r="BL463">
        <v>155</v>
      </c>
      <c r="BM463">
        <v>7.2934000000000001</v>
      </c>
    </row>
    <row r="464" spans="1:65" x14ac:dyDescent="0.25">
      <c r="A464" t="s">
        <v>527</v>
      </c>
      <c r="B464" t="s">
        <v>1509</v>
      </c>
      <c r="C464" t="s">
        <v>2158</v>
      </c>
      <c r="D464" s="1">
        <v>45560</v>
      </c>
      <c r="E464" s="1">
        <v>45605</v>
      </c>
      <c r="F464" s="1">
        <v>45720</v>
      </c>
      <c r="G464" t="s">
        <v>2162</v>
      </c>
      <c r="I464" t="s">
        <v>2173</v>
      </c>
      <c r="J464">
        <v>47430</v>
      </c>
      <c r="K464">
        <v>1422</v>
      </c>
      <c r="L464">
        <v>7.7</v>
      </c>
      <c r="M464">
        <v>15.2</v>
      </c>
      <c r="N464">
        <v>5</v>
      </c>
      <c r="O464">
        <v>17970</v>
      </c>
      <c r="P464" t="s">
        <v>2178</v>
      </c>
      <c r="Q464">
        <v>25</v>
      </c>
      <c r="R464">
        <v>35</v>
      </c>
      <c r="S464">
        <v>52</v>
      </c>
      <c r="T464">
        <v>423</v>
      </c>
      <c r="U464" t="s">
        <v>2162</v>
      </c>
      <c r="W464" t="s">
        <v>2208</v>
      </c>
      <c r="X464" t="s">
        <v>2210</v>
      </c>
      <c r="Y464" t="s">
        <v>2212</v>
      </c>
      <c r="Z464" s="1">
        <v>45717</v>
      </c>
      <c r="AA464" s="1">
        <v>45733</v>
      </c>
      <c r="AB464" t="s">
        <v>2215</v>
      </c>
      <c r="AC464" t="s">
        <v>2208</v>
      </c>
      <c r="AD464" t="s">
        <v>2216</v>
      </c>
      <c r="AE464" t="s">
        <v>2162</v>
      </c>
      <c r="AG464" t="s">
        <v>2220</v>
      </c>
      <c r="AH464">
        <v>112</v>
      </c>
      <c r="AI464">
        <v>128</v>
      </c>
      <c r="AJ464">
        <v>16</v>
      </c>
      <c r="AK464">
        <v>11</v>
      </c>
      <c r="AL464" t="s">
        <v>2231</v>
      </c>
      <c r="AM464">
        <v>1</v>
      </c>
      <c r="AN464" t="s">
        <v>2175</v>
      </c>
      <c r="AO464" t="s">
        <v>2177</v>
      </c>
      <c r="AP464" t="s">
        <v>2175</v>
      </c>
      <c r="AQ464">
        <v>117.04</v>
      </c>
      <c r="AR464">
        <v>3</v>
      </c>
      <c r="AS464">
        <v>3</v>
      </c>
      <c r="AT464">
        <v>2</v>
      </c>
      <c r="AU464">
        <v>3</v>
      </c>
      <c r="AV464">
        <v>2.666666666666667</v>
      </c>
      <c r="AW464">
        <v>4.2</v>
      </c>
      <c r="AY464">
        <v>4.2</v>
      </c>
      <c r="AZ464">
        <v>2</v>
      </c>
      <c r="BA464">
        <v>2</v>
      </c>
      <c r="BB464">
        <v>32</v>
      </c>
      <c r="BC464">
        <v>25</v>
      </c>
      <c r="BD464">
        <v>28.2</v>
      </c>
      <c r="BE464">
        <v>131</v>
      </c>
      <c r="BF464">
        <v>88.1</v>
      </c>
      <c r="BG464">
        <v>32</v>
      </c>
      <c r="BH464">
        <v>25</v>
      </c>
      <c r="BI464">
        <v>28.2</v>
      </c>
      <c r="BJ464">
        <v>131</v>
      </c>
      <c r="BK464">
        <v>88.1</v>
      </c>
      <c r="BL464">
        <v>131</v>
      </c>
      <c r="BM464">
        <v>14.478</v>
      </c>
    </row>
    <row r="465" spans="1:65" x14ac:dyDescent="0.25">
      <c r="A465" t="s">
        <v>528</v>
      </c>
      <c r="B465" t="s">
        <v>1510</v>
      </c>
      <c r="C465" t="s">
        <v>2158</v>
      </c>
      <c r="D465" s="1">
        <v>45558</v>
      </c>
      <c r="E465" s="1">
        <v>45583</v>
      </c>
      <c r="F465" s="1">
        <v>45645</v>
      </c>
      <c r="G465" t="s">
        <v>2162</v>
      </c>
      <c r="I465" t="s">
        <v>2175</v>
      </c>
      <c r="J465">
        <v>18577</v>
      </c>
      <c r="K465">
        <v>557</v>
      </c>
      <c r="L465">
        <v>12.6</v>
      </c>
      <c r="M465">
        <v>5.4</v>
      </c>
      <c r="N465">
        <v>7</v>
      </c>
      <c r="O465">
        <v>11205</v>
      </c>
      <c r="P465" t="s">
        <v>2178</v>
      </c>
      <c r="Q465">
        <v>13</v>
      </c>
      <c r="R465">
        <v>19</v>
      </c>
      <c r="S465">
        <v>19</v>
      </c>
      <c r="T465">
        <v>364</v>
      </c>
      <c r="U465" t="s">
        <v>2162</v>
      </c>
      <c r="W465" t="s">
        <v>2208</v>
      </c>
      <c r="X465" t="s">
        <v>2210</v>
      </c>
      <c r="Y465" t="s">
        <v>2212</v>
      </c>
      <c r="Z465" s="1">
        <v>45634</v>
      </c>
      <c r="AA465" s="1">
        <v>45654</v>
      </c>
      <c r="AB465" t="s">
        <v>2215</v>
      </c>
      <c r="AC465" t="s">
        <v>2208</v>
      </c>
      <c r="AD465" t="s">
        <v>2216</v>
      </c>
      <c r="AE465" t="s">
        <v>2162</v>
      </c>
      <c r="AG465" t="s">
        <v>2220</v>
      </c>
      <c r="AH465">
        <v>51</v>
      </c>
      <c r="AI465">
        <v>71</v>
      </c>
      <c r="AJ465">
        <v>20</v>
      </c>
      <c r="AK465">
        <v>10</v>
      </c>
      <c r="AL465" t="s">
        <v>2230</v>
      </c>
      <c r="AM465">
        <v>1</v>
      </c>
      <c r="AN465" t="s">
        <v>2177</v>
      </c>
      <c r="AO465" t="s">
        <v>2175</v>
      </c>
      <c r="AP465" t="s">
        <v>2177</v>
      </c>
      <c r="AQ465">
        <v>68.040000000000006</v>
      </c>
      <c r="AR465">
        <v>3</v>
      </c>
      <c r="AS465">
        <v>2</v>
      </c>
      <c r="AT465">
        <v>3</v>
      </c>
      <c r="AU465">
        <v>2</v>
      </c>
      <c r="AV465">
        <v>2.333333333333333</v>
      </c>
      <c r="AW465">
        <v>4.2</v>
      </c>
      <c r="AY465">
        <v>4.2</v>
      </c>
      <c r="AZ465">
        <v>2</v>
      </c>
      <c r="BA465">
        <v>3</v>
      </c>
      <c r="BB465">
        <v>25</v>
      </c>
      <c r="BC465">
        <v>27</v>
      </c>
      <c r="BD465">
        <v>21.89</v>
      </c>
      <c r="BE465">
        <v>108</v>
      </c>
      <c r="BF465">
        <v>87.6</v>
      </c>
      <c r="BG465">
        <v>25</v>
      </c>
      <c r="BH465">
        <v>27</v>
      </c>
      <c r="BI465">
        <v>21.89</v>
      </c>
      <c r="BJ465">
        <v>108</v>
      </c>
      <c r="BK465">
        <v>87.6</v>
      </c>
      <c r="BL465">
        <v>108</v>
      </c>
      <c r="BM465">
        <v>6.3685</v>
      </c>
    </row>
    <row r="466" spans="1:65" x14ac:dyDescent="0.25">
      <c r="A466" t="s">
        <v>529</v>
      </c>
      <c r="B466" t="s">
        <v>1511</v>
      </c>
      <c r="C466" t="s">
        <v>2159</v>
      </c>
      <c r="D466" s="1">
        <v>45545</v>
      </c>
      <c r="E466" s="1">
        <v>45604</v>
      </c>
      <c r="F466" s="1">
        <v>45714</v>
      </c>
      <c r="G466" t="s">
        <v>2166</v>
      </c>
      <c r="I466" t="s">
        <v>2175</v>
      </c>
      <c r="J466">
        <v>47148</v>
      </c>
      <c r="K466">
        <v>1414</v>
      </c>
      <c r="L466">
        <v>7.3</v>
      </c>
      <c r="M466">
        <v>17.5</v>
      </c>
      <c r="N466">
        <v>8</v>
      </c>
      <c r="O466">
        <v>13701</v>
      </c>
      <c r="P466" t="s">
        <v>2178</v>
      </c>
      <c r="Q466">
        <v>25</v>
      </c>
      <c r="R466">
        <v>30</v>
      </c>
      <c r="S466">
        <v>44</v>
      </c>
      <c r="T466">
        <v>476</v>
      </c>
      <c r="U466" t="s">
        <v>2166</v>
      </c>
      <c r="W466" t="s">
        <v>2208</v>
      </c>
      <c r="X466" t="s">
        <v>2210</v>
      </c>
      <c r="Y466" t="s">
        <v>2212</v>
      </c>
      <c r="Z466" s="1">
        <v>45703</v>
      </c>
      <c r="AA466" s="1">
        <v>45721</v>
      </c>
      <c r="AB466" t="s">
        <v>2215</v>
      </c>
      <c r="AC466" t="s">
        <v>2208</v>
      </c>
      <c r="AD466" t="s">
        <v>2216</v>
      </c>
      <c r="AE466" t="s">
        <v>2166</v>
      </c>
      <c r="AG466" t="s">
        <v>2220</v>
      </c>
      <c r="AH466">
        <v>99</v>
      </c>
      <c r="AI466">
        <v>117</v>
      </c>
      <c r="AJ466">
        <v>18</v>
      </c>
      <c r="AK466">
        <v>11</v>
      </c>
      <c r="AL466" t="s">
        <v>2231</v>
      </c>
      <c r="AM466">
        <v>1</v>
      </c>
      <c r="AN466" t="s">
        <v>2175</v>
      </c>
      <c r="AO466" t="s">
        <v>2175</v>
      </c>
      <c r="AP466" t="s">
        <v>2177</v>
      </c>
      <c r="AQ466">
        <v>127.75</v>
      </c>
      <c r="AR466">
        <v>3</v>
      </c>
      <c r="AS466">
        <v>3</v>
      </c>
      <c r="AT466">
        <v>3</v>
      </c>
      <c r="AU466">
        <v>2</v>
      </c>
      <c r="AV466">
        <v>2.666666666666667</v>
      </c>
      <c r="AW466">
        <v>4.8</v>
      </c>
      <c r="AY466">
        <v>4.8</v>
      </c>
      <c r="AZ466">
        <v>0</v>
      </c>
      <c r="BA466">
        <v>3</v>
      </c>
      <c r="BB466">
        <v>50</v>
      </c>
      <c r="BC466">
        <v>25</v>
      </c>
      <c r="BD466">
        <v>43.92</v>
      </c>
      <c r="BE466">
        <v>212</v>
      </c>
      <c r="BF466">
        <v>87.8</v>
      </c>
      <c r="BG466">
        <v>50</v>
      </c>
      <c r="BH466">
        <v>25</v>
      </c>
      <c r="BI466">
        <v>43.92</v>
      </c>
      <c r="BJ466">
        <v>212</v>
      </c>
      <c r="BK466">
        <v>87.8</v>
      </c>
      <c r="BL466">
        <v>212</v>
      </c>
      <c r="BM466">
        <v>8.8941999999999997</v>
      </c>
    </row>
    <row r="467" spans="1:65" x14ac:dyDescent="0.25">
      <c r="A467" t="s">
        <v>530</v>
      </c>
      <c r="B467" t="s">
        <v>1512</v>
      </c>
      <c r="C467" t="s">
        <v>2159</v>
      </c>
      <c r="D467" s="1">
        <v>45560</v>
      </c>
      <c r="E467" s="1">
        <v>45597</v>
      </c>
      <c r="F467" s="1">
        <v>45630</v>
      </c>
      <c r="G467" t="s">
        <v>2166</v>
      </c>
      <c r="I467" t="s">
        <v>2175</v>
      </c>
      <c r="J467">
        <v>11759</v>
      </c>
      <c r="K467">
        <v>352</v>
      </c>
      <c r="L467">
        <v>9.5</v>
      </c>
      <c r="M467">
        <v>11.1</v>
      </c>
      <c r="N467">
        <v>5</v>
      </c>
      <c r="O467">
        <v>19692</v>
      </c>
      <c r="P467" t="s">
        <v>2178</v>
      </c>
      <c r="Q467">
        <v>5</v>
      </c>
      <c r="R467">
        <v>8</v>
      </c>
      <c r="S467">
        <v>7</v>
      </c>
      <c r="T467">
        <v>587</v>
      </c>
      <c r="U467" t="s">
        <v>2166</v>
      </c>
      <c r="W467" t="s">
        <v>2208</v>
      </c>
      <c r="X467" t="s">
        <v>2210</v>
      </c>
      <c r="Y467" t="s">
        <v>2212</v>
      </c>
      <c r="Z467" s="1">
        <v>45617</v>
      </c>
      <c r="AA467" s="1">
        <v>45637</v>
      </c>
      <c r="AB467" t="s">
        <v>2214</v>
      </c>
      <c r="AC467" t="s">
        <v>2209</v>
      </c>
      <c r="AD467" t="s">
        <v>2216</v>
      </c>
      <c r="AE467" t="s">
        <v>2166</v>
      </c>
      <c r="AG467" t="s">
        <v>2220</v>
      </c>
      <c r="AH467">
        <v>20</v>
      </c>
      <c r="AI467">
        <v>40</v>
      </c>
      <c r="AJ467">
        <v>20</v>
      </c>
      <c r="AK467">
        <v>11</v>
      </c>
      <c r="AL467" t="s">
        <v>2231</v>
      </c>
      <c r="AM467">
        <v>1</v>
      </c>
      <c r="AN467" t="s">
        <v>2177</v>
      </c>
      <c r="AO467" t="s">
        <v>2177</v>
      </c>
      <c r="AP467" t="s">
        <v>2175</v>
      </c>
      <c r="AQ467">
        <v>105.45</v>
      </c>
      <c r="AR467">
        <v>3</v>
      </c>
      <c r="AS467">
        <v>2</v>
      </c>
      <c r="AT467">
        <v>2</v>
      </c>
      <c r="AU467">
        <v>3</v>
      </c>
      <c r="AV467">
        <v>2.333333333333333</v>
      </c>
      <c r="AW467">
        <v>4.8</v>
      </c>
      <c r="AY467">
        <v>4.8</v>
      </c>
      <c r="AZ467">
        <v>0</v>
      </c>
      <c r="BA467">
        <v>3</v>
      </c>
      <c r="BB467">
        <v>50</v>
      </c>
      <c r="BC467">
        <v>25</v>
      </c>
      <c r="BD467">
        <v>43.92</v>
      </c>
      <c r="BE467">
        <v>212</v>
      </c>
      <c r="BF467">
        <v>87.8</v>
      </c>
      <c r="BG467">
        <v>50</v>
      </c>
      <c r="BH467">
        <v>25</v>
      </c>
      <c r="BI467">
        <v>43.92</v>
      </c>
      <c r="BJ467">
        <v>212</v>
      </c>
      <c r="BK467">
        <v>87.8</v>
      </c>
      <c r="BL467">
        <v>212</v>
      </c>
      <c r="BM467">
        <v>2.2183000000000002</v>
      </c>
    </row>
    <row r="468" spans="1:65" x14ac:dyDescent="0.25">
      <c r="A468" t="s">
        <v>531</v>
      </c>
      <c r="B468" t="s">
        <v>1513</v>
      </c>
      <c r="C468" t="s">
        <v>2159</v>
      </c>
      <c r="D468" s="1">
        <v>45544</v>
      </c>
      <c r="E468" s="1">
        <v>45573</v>
      </c>
      <c r="F468" s="1">
        <v>45709</v>
      </c>
      <c r="G468" t="s">
        <v>2162</v>
      </c>
      <c r="I468" t="s">
        <v>2173</v>
      </c>
      <c r="J468">
        <v>48258</v>
      </c>
      <c r="K468">
        <v>1447</v>
      </c>
      <c r="L468">
        <v>14.9</v>
      </c>
      <c r="M468">
        <v>6.3</v>
      </c>
      <c r="N468">
        <v>5</v>
      </c>
      <c r="O468">
        <v>18038</v>
      </c>
      <c r="P468" t="s">
        <v>2178</v>
      </c>
      <c r="Q468">
        <v>28</v>
      </c>
      <c r="R468">
        <v>41</v>
      </c>
      <c r="S468">
        <v>67</v>
      </c>
      <c r="T468">
        <v>354</v>
      </c>
      <c r="U468" t="s">
        <v>2162</v>
      </c>
      <c r="W468" t="s">
        <v>2208</v>
      </c>
      <c r="X468" t="s">
        <v>2210</v>
      </c>
      <c r="Y468" t="s">
        <v>2212</v>
      </c>
      <c r="Z468" s="1">
        <v>45709</v>
      </c>
      <c r="AA468" s="1">
        <v>45724</v>
      </c>
      <c r="AB468" t="s">
        <v>2215</v>
      </c>
      <c r="AC468" t="s">
        <v>2208</v>
      </c>
      <c r="AD468" t="s">
        <v>2216</v>
      </c>
      <c r="AE468" t="s">
        <v>2162</v>
      </c>
      <c r="AG468" t="s">
        <v>2220</v>
      </c>
      <c r="AH468">
        <v>136</v>
      </c>
      <c r="AI468">
        <v>151</v>
      </c>
      <c r="AJ468">
        <v>15</v>
      </c>
      <c r="AK468">
        <v>10</v>
      </c>
      <c r="AL468" t="s">
        <v>2230</v>
      </c>
      <c r="AM468">
        <v>1</v>
      </c>
      <c r="AN468" t="s">
        <v>2177</v>
      </c>
      <c r="AO468" t="s">
        <v>2177</v>
      </c>
      <c r="AP468" t="s">
        <v>2175</v>
      </c>
      <c r="AQ468">
        <v>93.87</v>
      </c>
      <c r="AR468">
        <v>3</v>
      </c>
      <c r="AS468">
        <v>2</v>
      </c>
      <c r="AT468">
        <v>2</v>
      </c>
      <c r="AU468">
        <v>3</v>
      </c>
      <c r="AV468">
        <v>2.333333333333333</v>
      </c>
      <c r="AW468">
        <v>4.2</v>
      </c>
      <c r="AY468">
        <v>4.2</v>
      </c>
      <c r="AZ468">
        <v>0</v>
      </c>
      <c r="BA468">
        <v>2</v>
      </c>
      <c r="BB468">
        <v>25</v>
      </c>
      <c r="BC468">
        <v>27</v>
      </c>
      <c r="BD468">
        <v>21.89</v>
      </c>
      <c r="BE468">
        <v>108</v>
      </c>
      <c r="BF468">
        <v>87.6</v>
      </c>
      <c r="BG468">
        <v>25</v>
      </c>
      <c r="BH468">
        <v>27</v>
      </c>
      <c r="BI468">
        <v>21.89</v>
      </c>
      <c r="BJ468">
        <v>108</v>
      </c>
      <c r="BK468">
        <v>87.6</v>
      </c>
      <c r="BL468">
        <v>108</v>
      </c>
      <c r="BM468">
        <v>16.543700000000001</v>
      </c>
    </row>
    <row r="469" spans="1:65" x14ac:dyDescent="0.25">
      <c r="A469" t="s">
        <v>532</v>
      </c>
      <c r="B469" t="s">
        <v>1514</v>
      </c>
      <c r="C469" t="s">
        <v>2158</v>
      </c>
      <c r="D469" s="1">
        <v>45577</v>
      </c>
      <c r="E469" s="1">
        <v>45633</v>
      </c>
      <c r="F469" s="1">
        <v>45696</v>
      </c>
      <c r="G469" t="s">
        <v>2162</v>
      </c>
      <c r="I469" t="s">
        <v>2173</v>
      </c>
      <c r="J469">
        <v>26438</v>
      </c>
      <c r="K469">
        <v>793</v>
      </c>
      <c r="L469">
        <v>5.4</v>
      </c>
      <c r="M469">
        <v>7.9</v>
      </c>
      <c r="N469">
        <v>7</v>
      </c>
      <c r="O469">
        <v>18519</v>
      </c>
      <c r="P469" t="s">
        <v>2178</v>
      </c>
      <c r="Q469">
        <v>13</v>
      </c>
      <c r="R469">
        <v>21</v>
      </c>
      <c r="S469">
        <v>27</v>
      </c>
      <c r="T469">
        <v>433</v>
      </c>
      <c r="U469" t="s">
        <v>2162</v>
      </c>
      <c r="W469" t="s">
        <v>2208</v>
      </c>
      <c r="X469" t="s">
        <v>2210</v>
      </c>
      <c r="Y469" t="s">
        <v>2212</v>
      </c>
      <c r="Z469" s="1">
        <v>45694</v>
      </c>
      <c r="AA469" s="1">
        <v>45712</v>
      </c>
      <c r="AB469" t="s">
        <v>2215</v>
      </c>
      <c r="AC469" t="s">
        <v>2208</v>
      </c>
      <c r="AD469" t="s">
        <v>2216</v>
      </c>
      <c r="AE469" t="s">
        <v>2162</v>
      </c>
      <c r="AG469" t="s">
        <v>2220</v>
      </c>
      <c r="AH469">
        <v>61</v>
      </c>
      <c r="AI469">
        <v>79</v>
      </c>
      <c r="AJ469">
        <v>18</v>
      </c>
      <c r="AK469">
        <v>12</v>
      </c>
      <c r="AL469" t="s">
        <v>2229</v>
      </c>
      <c r="AM469">
        <v>1</v>
      </c>
      <c r="AN469" t="s">
        <v>2177</v>
      </c>
      <c r="AO469" t="s">
        <v>2175</v>
      </c>
      <c r="AP469" t="s">
        <v>2175</v>
      </c>
      <c r="AQ469">
        <v>42.66</v>
      </c>
      <c r="AR469">
        <v>3</v>
      </c>
      <c r="AS469">
        <v>2</v>
      </c>
      <c r="AT469">
        <v>3</v>
      </c>
      <c r="AU469">
        <v>3</v>
      </c>
      <c r="AV469">
        <v>2.666666666666667</v>
      </c>
      <c r="AW469">
        <v>4.2</v>
      </c>
      <c r="AY469">
        <v>4.2</v>
      </c>
      <c r="AZ469">
        <v>2</v>
      </c>
      <c r="BA469">
        <v>2</v>
      </c>
      <c r="BB469">
        <v>26</v>
      </c>
      <c r="BC469">
        <v>27</v>
      </c>
      <c r="BD469">
        <v>23.04</v>
      </c>
      <c r="BE469">
        <v>110</v>
      </c>
      <c r="BF469">
        <v>88.6</v>
      </c>
      <c r="BG469">
        <v>26</v>
      </c>
      <c r="BH469">
        <v>27</v>
      </c>
      <c r="BI469">
        <v>23.04</v>
      </c>
      <c r="BJ469">
        <v>110</v>
      </c>
      <c r="BK469">
        <v>88.6</v>
      </c>
      <c r="BL469">
        <v>110</v>
      </c>
      <c r="BM469">
        <v>8.8986999999999998</v>
      </c>
    </row>
    <row r="470" spans="1:65" x14ac:dyDescent="0.25">
      <c r="A470" t="s">
        <v>533</v>
      </c>
      <c r="B470" t="s">
        <v>1515</v>
      </c>
      <c r="C470" t="s">
        <v>2158</v>
      </c>
      <c r="D470" s="1">
        <v>45600</v>
      </c>
      <c r="E470" s="1">
        <v>45633</v>
      </c>
      <c r="F470" s="1">
        <v>45741</v>
      </c>
      <c r="G470" t="s">
        <v>2164</v>
      </c>
      <c r="I470" t="s">
        <v>2173</v>
      </c>
      <c r="J470">
        <v>34160</v>
      </c>
      <c r="K470">
        <v>1024</v>
      </c>
      <c r="L470">
        <v>12.8</v>
      </c>
      <c r="M470">
        <v>15.5</v>
      </c>
      <c r="N470">
        <v>8</v>
      </c>
      <c r="O470">
        <v>15619</v>
      </c>
      <c r="P470" t="s">
        <v>2178</v>
      </c>
      <c r="Q470">
        <v>23</v>
      </c>
      <c r="R470">
        <v>28</v>
      </c>
      <c r="S470">
        <v>49</v>
      </c>
      <c r="T470">
        <v>341</v>
      </c>
      <c r="U470" t="s">
        <v>2164</v>
      </c>
      <c r="W470" t="s">
        <v>2208</v>
      </c>
      <c r="X470" t="s">
        <v>2210</v>
      </c>
      <c r="Y470" t="s">
        <v>2212</v>
      </c>
      <c r="Z470" s="1">
        <v>45733</v>
      </c>
      <c r="AA470" s="1">
        <v>45750</v>
      </c>
      <c r="AB470" t="s">
        <v>2215</v>
      </c>
      <c r="AC470" t="s">
        <v>2208</v>
      </c>
      <c r="AD470" t="s">
        <v>2216</v>
      </c>
      <c r="AE470" t="s">
        <v>2164</v>
      </c>
      <c r="AG470" t="s">
        <v>2220</v>
      </c>
      <c r="AH470">
        <v>100</v>
      </c>
      <c r="AI470">
        <v>117</v>
      </c>
      <c r="AJ470">
        <v>17</v>
      </c>
      <c r="AK470">
        <v>12</v>
      </c>
      <c r="AL470" t="s">
        <v>2229</v>
      </c>
      <c r="AM470">
        <v>1</v>
      </c>
      <c r="AN470" t="s">
        <v>2175</v>
      </c>
      <c r="AO470" t="s">
        <v>2175</v>
      </c>
      <c r="AP470" t="s">
        <v>2175</v>
      </c>
      <c r="AQ470">
        <v>198.4</v>
      </c>
      <c r="AR470">
        <v>3</v>
      </c>
      <c r="AS470">
        <v>3</v>
      </c>
      <c r="AT470">
        <v>3</v>
      </c>
      <c r="AU470">
        <v>3</v>
      </c>
      <c r="AV470">
        <v>3</v>
      </c>
      <c r="AW470">
        <v>4.5</v>
      </c>
      <c r="AY470">
        <v>4.5</v>
      </c>
      <c r="AZ470">
        <v>2</v>
      </c>
      <c r="BA470">
        <v>2</v>
      </c>
      <c r="BB470">
        <v>35</v>
      </c>
      <c r="BC470">
        <v>27</v>
      </c>
      <c r="BD470">
        <v>30.78</v>
      </c>
      <c r="BE470">
        <v>153</v>
      </c>
      <c r="BF470">
        <v>87.9</v>
      </c>
      <c r="BG470">
        <v>35</v>
      </c>
      <c r="BH470">
        <v>27</v>
      </c>
      <c r="BI470">
        <v>30.78</v>
      </c>
      <c r="BJ470">
        <v>153</v>
      </c>
      <c r="BK470">
        <v>87.9</v>
      </c>
      <c r="BL470">
        <v>153</v>
      </c>
      <c r="BM470">
        <v>8.2672000000000008</v>
      </c>
    </row>
    <row r="471" spans="1:65" x14ac:dyDescent="0.25">
      <c r="A471" t="s">
        <v>534</v>
      </c>
      <c r="B471" t="s">
        <v>1516</v>
      </c>
      <c r="C471" t="s">
        <v>2158</v>
      </c>
      <c r="D471" s="1">
        <v>45535</v>
      </c>
      <c r="E471" s="1">
        <v>45574</v>
      </c>
      <c r="F471" s="1">
        <v>45631</v>
      </c>
      <c r="G471" t="s">
        <v>2165</v>
      </c>
      <c r="I471" t="s">
        <v>2175</v>
      </c>
      <c r="J471">
        <v>16150</v>
      </c>
      <c r="K471">
        <v>484</v>
      </c>
      <c r="L471">
        <v>6.6</v>
      </c>
      <c r="M471">
        <v>16.399999999999999</v>
      </c>
      <c r="N471">
        <v>8</v>
      </c>
      <c r="O471">
        <v>14177</v>
      </c>
      <c r="P471" t="s">
        <v>2178</v>
      </c>
      <c r="Q471">
        <v>8</v>
      </c>
      <c r="R471">
        <v>13</v>
      </c>
      <c r="S471">
        <v>23</v>
      </c>
      <c r="T471">
        <v>367</v>
      </c>
      <c r="U471" t="s">
        <v>2165</v>
      </c>
      <c r="W471" t="s">
        <v>2208</v>
      </c>
      <c r="X471" t="s">
        <v>2210</v>
      </c>
      <c r="Y471" t="s">
        <v>2212</v>
      </c>
      <c r="Z471" s="1">
        <v>45618</v>
      </c>
      <c r="AA471" s="1">
        <v>45632</v>
      </c>
      <c r="AB471" t="s">
        <v>2214</v>
      </c>
      <c r="AC471" t="s">
        <v>2209</v>
      </c>
      <c r="AD471" t="s">
        <v>2216</v>
      </c>
      <c r="AE471" t="s">
        <v>2165</v>
      </c>
      <c r="AG471" t="s">
        <v>2220</v>
      </c>
      <c r="AH471">
        <v>44</v>
      </c>
      <c r="AI471">
        <v>58</v>
      </c>
      <c r="AJ471">
        <v>14</v>
      </c>
      <c r="AK471">
        <v>10</v>
      </c>
      <c r="AL471" t="s">
        <v>2230</v>
      </c>
      <c r="AM471">
        <v>1</v>
      </c>
      <c r="AN471" t="s">
        <v>2175</v>
      </c>
      <c r="AO471" t="s">
        <v>2175</v>
      </c>
      <c r="AP471" t="s">
        <v>2177</v>
      </c>
      <c r="AQ471">
        <v>108.24</v>
      </c>
      <c r="AR471">
        <v>3</v>
      </c>
      <c r="AS471">
        <v>3</v>
      </c>
      <c r="AT471">
        <v>3</v>
      </c>
      <c r="AU471">
        <v>2</v>
      </c>
      <c r="AV471">
        <v>2.666666666666667</v>
      </c>
      <c r="AW471">
        <v>4.5999999999999996</v>
      </c>
      <c r="AY471">
        <v>4.5999999999999996</v>
      </c>
      <c r="AZ471">
        <v>2</v>
      </c>
      <c r="BA471">
        <v>3</v>
      </c>
      <c r="BB471">
        <v>43</v>
      </c>
      <c r="BC471">
        <v>27</v>
      </c>
      <c r="BD471">
        <v>37.33</v>
      </c>
      <c r="BE471">
        <v>194</v>
      </c>
      <c r="BF471">
        <v>86.8</v>
      </c>
      <c r="BG471">
        <v>43</v>
      </c>
      <c r="BH471">
        <v>27</v>
      </c>
      <c r="BI471">
        <v>37.33</v>
      </c>
      <c r="BJ471">
        <v>194</v>
      </c>
      <c r="BK471">
        <v>86.8</v>
      </c>
      <c r="BL471">
        <v>194</v>
      </c>
      <c r="BM471">
        <v>3.0825999999999998</v>
      </c>
    </row>
    <row r="472" spans="1:65" x14ac:dyDescent="0.25">
      <c r="A472" t="s">
        <v>535</v>
      </c>
      <c r="B472" t="s">
        <v>1517</v>
      </c>
      <c r="C472" t="s">
        <v>2158</v>
      </c>
      <c r="D472" s="1">
        <v>45532</v>
      </c>
      <c r="E472" s="1">
        <v>45573</v>
      </c>
      <c r="F472" s="1">
        <v>45645</v>
      </c>
      <c r="G472" t="s">
        <v>2165</v>
      </c>
      <c r="I472" t="s">
        <v>2173</v>
      </c>
      <c r="J472">
        <v>25358</v>
      </c>
      <c r="K472">
        <v>760</v>
      </c>
      <c r="L472">
        <v>13.1</v>
      </c>
      <c r="M472">
        <v>10.3</v>
      </c>
      <c r="N472">
        <v>5</v>
      </c>
      <c r="O472">
        <v>17083</v>
      </c>
      <c r="P472" t="s">
        <v>2178</v>
      </c>
      <c r="Q472">
        <v>13</v>
      </c>
      <c r="R472">
        <v>20</v>
      </c>
      <c r="S472">
        <v>25</v>
      </c>
      <c r="T472">
        <v>437</v>
      </c>
      <c r="U472" t="s">
        <v>2165</v>
      </c>
      <c r="W472" t="s">
        <v>2208</v>
      </c>
      <c r="X472" t="s">
        <v>2210</v>
      </c>
      <c r="Y472" t="s">
        <v>2212</v>
      </c>
      <c r="Z472" s="1">
        <v>45631</v>
      </c>
      <c r="AA472" s="1">
        <v>45646</v>
      </c>
      <c r="AB472" t="s">
        <v>2214</v>
      </c>
      <c r="AC472" t="s">
        <v>2209</v>
      </c>
      <c r="AD472" t="s">
        <v>2216</v>
      </c>
      <c r="AE472" t="s">
        <v>2165</v>
      </c>
      <c r="AG472" t="s">
        <v>2220</v>
      </c>
      <c r="AH472">
        <v>58</v>
      </c>
      <c r="AI472">
        <v>73</v>
      </c>
      <c r="AJ472">
        <v>15</v>
      </c>
      <c r="AK472">
        <v>10</v>
      </c>
      <c r="AL472" t="s">
        <v>2230</v>
      </c>
      <c r="AM472">
        <v>1</v>
      </c>
      <c r="AN472" t="s">
        <v>2175</v>
      </c>
      <c r="AO472" t="s">
        <v>2177</v>
      </c>
      <c r="AP472" t="s">
        <v>2175</v>
      </c>
      <c r="AQ472">
        <v>134.93</v>
      </c>
      <c r="AR472">
        <v>3</v>
      </c>
      <c r="AS472">
        <v>3</v>
      </c>
      <c r="AT472">
        <v>2</v>
      </c>
      <c r="AU472">
        <v>3</v>
      </c>
      <c r="AV472">
        <v>2.666666666666667</v>
      </c>
      <c r="AW472">
        <v>4.5999999999999996</v>
      </c>
      <c r="AY472">
        <v>4.5999999999999996</v>
      </c>
      <c r="AZ472">
        <v>2</v>
      </c>
      <c r="BA472">
        <v>2</v>
      </c>
      <c r="BB472">
        <v>43</v>
      </c>
      <c r="BC472">
        <v>27</v>
      </c>
      <c r="BD472">
        <v>37.33</v>
      </c>
      <c r="BE472">
        <v>194</v>
      </c>
      <c r="BF472">
        <v>86.8</v>
      </c>
      <c r="BG472">
        <v>43</v>
      </c>
      <c r="BH472">
        <v>27</v>
      </c>
      <c r="BI472">
        <v>37.33</v>
      </c>
      <c r="BJ472">
        <v>194</v>
      </c>
      <c r="BK472">
        <v>86.8</v>
      </c>
      <c r="BL472">
        <v>194</v>
      </c>
      <c r="BM472">
        <v>4.8402000000000003</v>
      </c>
    </row>
    <row r="473" spans="1:65" x14ac:dyDescent="0.25">
      <c r="A473" t="s">
        <v>536</v>
      </c>
      <c r="B473" t="s">
        <v>1518</v>
      </c>
      <c r="C473" t="s">
        <v>2157</v>
      </c>
      <c r="D473" s="1">
        <v>45558</v>
      </c>
      <c r="E473" s="1">
        <v>45599</v>
      </c>
      <c r="F473" s="1">
        <v>45679</v>
      </c>
      <c r="G473" t="s">
        <v>2166</v>
      </c>
      <c r="I473" t="s">
        <v>2173</v>
      </c>
      <c r="J473">
        <v>29063</v>
      </c>
      <c r="K473">
        <v>871</v>
      </c>
      <c r="L473">
        <v>11.7</v>
      </c>
      <c r="M473">
        <v>14.6</v>
      </c>
      <c r="N473">
        <v>5</v>
      </c>
      <c r="O473">
        <v>11304</v>
      </c>
      <c r="P473" t="s">
        <v>2178</v>
      </c>
      <c r="Q473">
        <v>21</v>
      </c>
      <c r="R473">
        <v>27</v>
      </c>
      <c r="S473">
        <v>19</v>
      </c>
      <c r="T473">
        <v>433</v>
      </c>
      <c r="U473" t="s">
        <v>2166</v>
      </c>
      <c r="W473" t="s">
        <v>2208</v>
      </c>
      <c r="X473" t="s">
        <v>2210</v>
      </c>
      <c r="Y473" t="s">
        <v>2212</v>
      </c>
      <c r="Z473" s="1">
        <v>45666</v>
      </c>
      <c r="AA473" s="1">
        <v>45685</v>
      </c>
      <c r="AB473" t="s">
        <v>2214</v>
      </c>
      <c r="AC473" t="s">
        <v>2209</v>
      </c>
      <c r="AD473" t="s">
        <v>2216</v>
      </c>
      <c r="AE473" t="s">
        <v>2166</v>
      </c>
      <c r="AG473" t="s">
        <v>2220</v>
      </c>
      <c r="AH473">
        <v>67</v>
      </c>
      <c r="AI473">
        <v>86</v>
      </c>
      <c r="AJ473">
        <v>19</v>
      </c>
      <c r="AK473">
        <v>11</v>
      </c>
      <c r="AL473" t="s">
        <v>2231</v>
      </c>
      <c r="AM473">
        <v>1</v>
      </c>
      <c r="AN473" t="s">
        <v>2175</v>
      </c>
      <c r="AO473" t="s">
        <v>2177</v>
      </c>
      <c r="AP473" t="s">
        <v>2177</v>
      </c>
      <c r="AQ473">
        <v>170.82</v>
      </c>
      <c r="AR473">
        <v>3</v>
      </c>
      <c r="AS473">
        <v>3</v>
      </c>
      <c r="AT473">
        <v>2</v>
      </c>
      <c r="AU473">
        <v>2</v>
      </c>
      <c r="AV473">
        <v>2.333333333333333</v>
      </c>
      <c r="AW473">
        <v>4.8</v>
      </c>
      <c r="AY473">
        <v>4.8</v>
      </c>
      <c r="AZ473">
        <v>3</v>
      </c>
      <c r="BA473">
        <v>2</v>
      </c>
      <c r="BB473">
        <v>50</v>
      </c>
      <c r="BC473">
        <v>25</v>
      </c>
      <c r="BD473">
        <v>43.92</v>
      </c>
      <c r="BE473">
        <v>212</v>
      </c>
      <c r="BF473">
        <v>87.8</v>
      </c>
      <c r="BG473">
        <v>50</v>
      </c>
      <c r="BH473">
        <v>25</v>
      </c>
      <c r="BI473">
        <v>43.92</v>
      </c>
      <c r="BJ473">
        <v>212</v>
      </c>
      <c r="BK473">
        <v>87.8</v>
      </c>
      <c r="BL473">
        <v>212</v>
      </c>
      <c r="BM473">
        <v>5.4825999999999997</v>
      </c>
    </row>
    <row r="474" spans="1:65" x14ac:dyDescent="0.25">
      <c r="A474" t="s">
        <v>537</v>
      </c>
      <c r="B474" t="s">
        <v>1519</v>
      </c>
      <c r="C474" t="s">
        <v>2158</v>
      </c>
      <c r="D474" s="1">
        <v>45579</v>
      </c>
      <c r="E474" s="1">
        <v>45635</v>
      </c>
      <c r="F474" s="1">
        <v>45777</v>
      </c>
      <c r="G474" t="s">
        <v>2162</v>
      </c>
      <c r="I474" t="s">
        <v>2173</v>
      </c>
      <c r="J474">
        <v>51401</v>
      </c>
      <c r="K474">
        <v>1542</v>
      </c>
      <c r="L474">
        <v>15.7</v>
      </c>
      <c r="M474">
        <v>11.9</v>
      </c>
      <c r="N474">
        <v>8</v>
      </c>
      <c r="O474">
        <v>18232</v>
      </c>
      <c r="P474" t="s">
        <v>2178</v>
      </c>
      <c r="Q474">
        <v>39</v>
      </c>
      <c r="R474">
        <v>62</v>
      </c>
      <c r="S474">
        <v>36</v>
      </c>
      <c r="T474">
        <v>375</v>
      </c>
      <c r="U474" t="s">
        <v>2162</v>
      </c>
      <c r="W474" t="s">
        <v>2208</v>
      </c>
      <c r="X474" t="s">
        <v>2210</v>
      </c>
      <c r="Y474" t="s">
        <v>2212</v>
      </c>
      <c r="Z474" s="1">
        <v>45772</v>
      </c>
      <c r="AA474" s="1">
        <v>45790</v>
      </c>
      <c r="AB474" t="s">
        <v>2215</v>
      </c>
      <c r="AC474" t="s">
        <v>2208</v>
      </c>
      <c r="AD474" t="s">
        <v>2216</v>
      </c>
      <c r="AE474" t="s">
        <v>2162</v>
      </c>
      <c r="AG474" t="s">
        <v>2220</v>
      </c>
      <c r="AH474">
        <v>137</v>
      </c>
      <c r="AI474">
        <v>155</v>
      </c>
      <c r="AJ474">
        <v>18</v>
      </c>
      <c r="AK474">
        <v>12</v>
      </c>
      <c r="AL474" t="s">
        <v>2229</v>
      </c>
      <c r="AM474">
        <v>1</v>
      </c>
      <c r="AN474" t="s">
        <v>2175</v>
      </c>
      <c r="AO474" t="s">
        <v>2175</v>
      </c>
      <c r="AP474" t="s">
        <v>2175</v>
      </c>
      <c r="AQ474">
        <v>186.83</v>
      </c>
      <c r="AR474">
        <v>3</v>
      </c>
      <c r="AS474">
        <v>3</v>
      </c>
      <c r="AT474">
        <v>3</v>
      </c>
      <c r="AU474">
        <v>3</v>
      </c>
      <c r="AV474">
        <v>3</v>
      </c>
      <c r="AW474">
        <v>4.2</v>
      </c>
      <c r="AY474">
        <v>4.2</v>
      </c>
      <c r="AZ474">
        <v>2</v>
      </c>
      <c r="BA474">
        <v>2</v>
      </c>
      <c r="BB474">
        <v>26</v>
      </c>
      <c r="BC474">
        <v>27</v>
      </c>
      <c r="BD474">
        <v>23.04</v>
      </c>
      <c r="BE474">
        <v>110</v>
      </c>
      <c r="BF474">
        <v>88.6</v>
      </c>
      <c r="BG474">
        <v>26</v>
      </c>
      <c r="BH474">
        <v>27</v>
      </c>
      <c r="BI474">
        <v>23.04</v>
      </c>
      <c r="BJ474">
        <v>110</v>
      </c>
      <c r="BK474">
        <v>88.6</v>
      </c>
      <c r="BL474">
        <v>110</v>
      </c>
      <c r="BM474">
        <v>17.300899999999999</v>
      </c>
    </row>
    <row r="475" spans="1:65" x14ac:dyDescent="0.25">
      <c r="A475" t="s">
        <v>538</v>
      </c>
      <c r="B475" t="s">
        <v>1520</v>
      </c>
      <c r="C475" t="s">
        <v>2159</v>
      </c>
      <c r="D475" s="1">
        <v>45559</v>
      </c>
      <c r="E475" s="1">
        <v>45599</v>
      </c>
      <c r="F475" s="1">
        <v>45661</v>
      </c>
      <c r="G475" t="s">
        <v>2162</v>
      </c>
      <c r="I475" t="s">
        <v>2175</v>
      </c>
      <c r="J475">
        <v>22875</v>
      </c>
      <c r="K475">
        <v>686</v>
      </c>
      <c r="L475">
        <v>14.5</v>
      </c>
      <c r="M475">
        <v>8.3000000000000007</v>
      </c>
      <c r="N475">
        <v>5</v>
      </c>
      <c r="O475">
        <v>18646</v>
      </c>
      <c r="P475" t="s">
        <v>2178</v>
      </c>
      <c r="Q475">
        <v>12</v>
      </c>
      <c r="R475">
        <v>14</v>
      </c>
      <c r="S475">
        <v>36</v>
      </c>
      <c r="T475">
        <v>368</v>
      </c>
      <c r="U475" t="s">
        <v>2162</v>
      </c>
      <c r="W475" t="s">
        <v>2208</v>
      </c>
      <c r="X475" t="s">
        <v>2210</v>
      </c>
      <c r="Y475" t="s">
        <v>2212</v>
      </c>
      <c r="Z475" s="1">
        <v>45661</v>
      </c>
      <c r="AA475" s="1">
        <v>45683</v>
      </c>
      <c r="AB475" t="s">
        <v>2215</v>
      </c>
      <c r="AC475" t="s">
        <v>2208</v>
      </c>
      <c r="AD475" t="s">
        <v>2216</v>
      </c>
      <c r="AE475" t="s">
        <v>2162</v>
      </c>
      <c r="AG475" t="s">
        <v>2220</v>
      </c>
      <c r="AH475">
        <v>62</v>
      </c>
      <c r="AI475">
        <v>84</v>
      </c>
      <c r="AJ475">
        <v>22</v>
      </c>
      <c r="AK475">
        <v>11</v>
      </c>
      <c r="AL475" t="s">
        <v>2231</v>
      </c>
      <c r="AM475">
        <v>1</v>
      </c>
      <c r="AN475" t="s">
        <v>2177</v>
      </c>
      <c r="AO475" t="s">
        <v>2177</v>
      </c>
      <c r="AP475" t="s">
        <v>2175</v>
      </c>
      <c r="AQ475">
        <v>120.35</v>
      </c>
      <c r="AR475">
        <v>3</v>
      </c>
      <c r="AS475">
        <v>2</v>
      </c>
      <c r="AT475">
        <v>2</v>
      </c>
      <c r="AU475">
        <v>3</v>
      </c>
      <c r="AV475">
        <v>2.333333333333333</v>
      </c>
      <c r="AW475">
        <v>4.2</v>
      </c>
      <c r="AY475">
        <v>4.2</v>
      </c>
      <c r="AZ475">
        <v>0</v>
      </c>
      <c r="BA475">
        <v>3</v>
      </c>
      <c r="BB475">
        <v>32</v>
      </c>
      <c r="BC475">
        <v>25</v>
      </c>
      <c r="BD475">
        <v>28.2</v>
      </c>
      <c r="BE475">
        <v>131</v>
      </c>
      <c r="BF475">
        <v>88.1</v>
      </c>
      <c r="BG475">
        <v>32</v>
      </c>
      <c r="BH475">
        <v>25</v>
      </c>
      <c r="BI475">
        <v>28.2</v>
      </c>
      <c r="BJ475">
        <v>131</v>
      </c>
      <c r="BK475">
        <v>88.1</v>
      </c>
      <c r="BL475">
        <v>131</v>
      </c>
      <c r="BM475">
        <v>6.9825999999999997</v>
      </c>
    </row>
    <row r="476" spans="1:65" x14ac:dyDescent="0.25">
      <c r="A476" t="s">
        <v>539</v>
      </c>
      <c r="B476" t="s">
        <v>1521</v>
      </c>
      <c r="C476" t="s">
        <v>2157</v>
      </c>
      <c r="D476" s="1">
        <v>45515</v>
      </c>
      <c r="E476" s="1">
        <v>45573</v>
      </c>
      <c r="F476" s="1">
        <v>45661</v>
      </c>
      <c r="G476" t="s">
        <v>2162</v>
      </c>
      <c r="I476" t="s">
        <v>2175</v>
      </c>
      <c r="J476">
        <v>46397</v>
      </c>
      <c r="K476">
        <v>1391</v>
      </c>
      <c r="L476">
        <v>15</v>
      </c>
      <c r="M476">
        <v>5.9</v>
      </c>
      <c r="N476">
        <v>8</v>
      </c>
      <c r="O476">
        <v>17679</v>
      </c>
      <c r="P476" t="s">
        <v>2178</v>
      </c>
      <c r="Q476">
        <v>22</v>
      </c>
      <c r="R476">
        <v>36</v>
      </c>
      <c r="S476">
        <v>32</v>
      </c>
      <c r="T476">
        <v>515</v>
      </c>
      <c r="U476" t="s">
        <v>2162</v>
      </c>
      <c r="W476" t="s">
        <v>2208</v>
      </c>
      <c r="X476" t="s">
        <v>2210</v>
      </c>
      <c r="Y476" t="s">
        <v>2212</v>
      </c>
      <c r="Z476" s="1">
        <v>45663</v>
      </c>
      <c r="AA476" s="1">
        <v>45679</v>
      </c>
      <c r="AB476" t="s">
        <v>2215</v>
      </c>
      <c r="AC476" t="s">
        <v>2208</v>
      </c>
      <c r="AD476" t="s">
        <v>2216</v>
      </c>
      <c r="AE476" t="s">
        <v>2162</v>
      </c>
      <c r="AG476" t="s">
        <v>2220</v>
      </c>
      <c r="AH476">
        <v>90</v>
      </c>
      <c r="AI476">
        <v>106</v>
      </c>
      <c r="AJ476">
        <v>16</v>
      </c>
      <c r="AK476">
        <v>10</v>
      </c>
      <c r="AL476" t="s">
        <v>2230</v>
      </c>
      <c r="AM476">
        <v>1</v>
      </c>
      <c r="AN476" t="s">
        <v>2177</v>
      </c>
      <c r="AO476" t="s">
        <v>2175</v>
      </c>
      <c r="AP476" t="s">
        <v>2175</v>
      </c>
      <c r="AQ476">
        <v>88.5</v>
      </c>
      <c r="AR476">
        <v>3</v>
      </c>
      <c r="AS476">
        <v>2</v>
      </c>
      <c r="AT476">
        <v>3</v>
      </c>
      <c r="AU476">
        <v>3</v>
      </c>
      <c r="AV476">
        <v>2.666666666666667</v>
      </c>
      <c r="AW476">
        <v>4.2</v>
      </c>
      <c r="AY476">
        <v>4.2</v>
      </c>
      <c r="AZ476">
        <v>3</v>
      </c>
      <c r="BA476">
        <v>3</v>
      </c>
      <c r="BB476">
        <v>25</v>
      </c>
      <c r="BC476">
        <v>27</v>
      </c>
      <c r="BD476">
        <v>21.89</v>
      </c>
      <c r="BE476">
        <v>108</v>
      </c>
      <c r="BF476">
        <v>87.6</v>
      </c>
      <c r="BG476">
        <v>25</v>
      </c>
      <c r="BH476">
        <v>27</v>
      </c>
      <c r="BI476">
        <v>21.89</v>
      </c>
      <c r="BJ476">
        <v>108</v>
      </c>
      <c r="BK476">
        <v>87.6</v>
      </c>
      <c r="BL476">
        <v>108</v>
      </c>
      <c r="BM476">
        <v>15.9057</v>
      </c>
    </row>
    <row r="477" spans="1:65" x14ac:dyDescent="0.25">
      <c r="A477" t="s">
        <v>540</v>
      </c>
      <c r="B477" t="s">
        <v>1522</v>
      </c>
      <c r="C477" t="s">
        <v>2157</v>
      </c>
      <c r="D477" s="1">
        <v>45546</v>
      </c>
      <c r="E477" s="1">
        <v>45599</v>
      </c>
      <c r="F477" s="1">
        <v>45679</v>
      </c>
      <c r="G477" t="s">
        <v>2164</v>
      </c>
      <c r="I477" t="s">
        <v>2175</v>
      </c>
      <c r="J477">
        <v>38769</v>
      </c>
      <c r="K477">
        <v>1163</v>
      </c>
      <c r="L477">
        <v>8.5</v>
      </c>
      <c r="M477">
        <v>12</v>
      </c>
      <c r="N477">
        <v>7</v>
      </c>
      <c r="O477">
        <v>17101</v>
      </c>
      <c r="P477" t="s">
        <v>2178</v>
      </c>
      <c r="Q477">
        <v>19</v>
      </c>
      <c r="R477">
        <v>24</v>
      </c>
      <c r="S477">
        <v>42</v>
      </c>
      <c r="T477">
        <v>456</v>
      </c>
      <c r="U477" t="s">
        <v>2164</v>
      </c>
      <c r="W477" t="s">
        <v>2208</v>
      </c>
      <c r="X477" t="s">
        <v>2210</v>
      </c>
      <c r="Y477" t="s">
        <v>2212</v>
      </c>
      <c r="Z477" s="1">
        <v>45684</v>
      </c>
      <c r="AA477" s="1">
        <v>45707</v>
      </c>
      <c r="AB477" t="s">
        <v>2215</v>
      </c>
      <c r="AC477" t="s">
        <v>2208</v>
      </c>
      <c r="AD477" t="s">
        <v>2216</v>
      </c>
      <c r="AE477" t="s">
        <v>2164</v>
      </c>
      <c r="AG477" t="s">
        <v>2220</v>
      </c>
      <c r="AH477">
        <v>85</v>
      </c>
      <c r="AI477">
        <v>108</v>
      </c>
      <c r="AJ477">
        <v>23</v>
      </c>
      <c r="AK477">
        <v>11</v>
      </c>
      <c r="AL477" t="s">
        <v>2231</v>
      </c>
      <c r="AM477">
        <v>1</v>
      </c>
      <c r="AN477" t="s">
        <v>2177</v>
      </c>
      <c r="AO477" t="s">
        <v>2175</v>
      </c>
      <c r="AP477" t="s">
        <v>2175</v>
      </c>
      <c r="AQ477">
        <v>102</v>
      </c>
      <c r="AR477">
        <v>3</v>
      </c>
      <c r="AS477">
        <v>2</v>
      </c>
      <c r="AT477">
        <v>3</v>
      </c>
      <c r="AU477">
        <v>3</v>
      </c>
      <c r="AV477">
        <v>2.666666666666667</v>
      </c>
      <c r="AW477">
        <v>4.5</v>
      </c>
      <c r="AY477">
        <v>4.5</v>
      </c>
      <c r="AZ477">
        <v>3</v>
      </c>
      <c r="BA477">
        <v>3</v>
      </c>
      <c r="BB477">
        <v>35</v>
      </c>
      <c r="BC477">
        <v>25</v>
      </c>
      <c r="BD477">
        <v>30.64</v>
      </c>
      <c r="BE477">
        <v>142</v>
      </c>
      <c r="BF477">
        <v>87.5</v>
      </c>
      <c r="BG477">
        <v>35</v>
      </c>
      <c r="BH477">
        <v>25</v>
      </c>
      <c r="BI477">
        <v>30.64</v>
      </c>
      <c r="BJ477">
        <v>142</v>
      </c>
      <c r="BK477">
        <v>87.5</v>
      </c>
      <c r="BL477">
        <v>142</v>
      </c>
      <c r="BM477">
        <v>10.9178</v>
      </c>
    </row>
    <row r="478" spans="1:65" x14ac:dyDescent="0.25">
      <c r="A478" t="s">
        <v>541</v>
      </c>
      <c r="B478" t="s">
        <v>1523</v>
      </c>
      <c r="C478" t="s">
        <v>2159</v>
      </c>
      <c r="D478" s="1">
        <v>45529</v>
      </c>
      <c r="E478" s="1">
        <v>45578</v>
      </c>
      <c r="F478" s="1">
        <v>45685</v>
      </c>
      <c r="G478" t="s">
        <v>2165</v>
      </c>
      <c r="I478" t="s">
        <v>2175</v>
      </c>
      <c r="J478">
        <v>50385</v>
      </c>
      <c r="K478">
        <v>1511</v>
      </c>
      <c r="L478">
        <v>12.8</v>
      </c>
      <c r="M478">
        <v>11</v>
      </c>
      <c r="N478">
        <v>7</v>
      </c>
      <c r="O478">
        <v>11252</v>
      </c>
      <c r="P478" t="s">
        <v>2178</v>
      </c>
      <c r="Q478">
        <v>26</v>
      </c>
      <c r="R478">
        <v>36</v>
      </c>
      <c r="S478">
        <v>40</v>
      </c>
      <c r="T478">
        <v>493</v>
      </c>
      <c r="U478" t="s">
        <v>2165</v>
      </c>
      <c r="W478" t="s">
        <v>2208</v>
      </c>
      <c r="X478" t="s">
        <v>2210</v>
      </c>
      <c r="Y478" t="s">
        <v>2212</v>
      </c>
      <c r="Z478" s="1">
        <v>45680</v>
      </c>
      <c r="AA478" s="1">
        <v>45704</v>
      </c>
      <c r="AB478" t="s">
        <v>2215</v>
      </c>
      <c r="AC478" t="s">
        <v>2208</v>
      </c>
      <c r="AD478" t="s">
        <v>2216</v>
      </c>
      <c r="AE478" t="s">
        <v>2165</v>
      </c>
      <c r="AG478" t="s">
        <v>2220</v>
      </c>
      <c r="AH478">
        <v>102</v>
      </c>
      <c r="AI478">
        <v>126</v>
      </c>
      <c r="AJ478">
        <v>24</v>
      </c>
      <c r="AK478">
        <v>10</v>
      </c>
      <c r="AL478" t="s">
        <v>2230</v>
      </c>
      <c r="AM478">
        <v>1</v>
      </c>
      <c r="AN478" t="s">
        <v>2175</v>
      </c>
      <c r="AO478" t="s">
        <v>2175</v>
      </c>
      <c r="AP478" t="s">
        <v>2177</v>
      </c>
      <c r="AQ478">
        <v>140.80000000000001</v>
      </c>
      <c r="AR478">
        <v>3</v>
      </c>
      <c r="AS478">
        <v>3</v>
      </c>
      <c r="AT478">
        <v>3</v>
      </c>
      <c r="AU478">
        <v>2</v>
      </c>
      <c r="AV478">
        <v>2.666666666666667</v>
      </c>
      <c r="AW478">
        <v>4.5999999999999996</v>
      </c>
      <c r="AY478">
        <v>4.5999999999999996</v>
      </c>
      <c r="AZ478">
        <v>0</v>
      </c>
      <c r="BA478">
        <v>3</v>
      </c>
      <c r="BB478">
        <v>43</v>
      </c>
      <c r="BC478">
        <v>27</v>
      </c>
      <c r="BD478">
        <v>37.33</v>
      </c>
      <c r="BE478">
        <v>194</v>
      </c>
      <c r="BF478">
        <v>86.8</v>
      </c>
      <c r="BG478">
        <v>43</v>
      </c>
      <c r="BH478">
        <v>27</v>
      </c>
      <c r="BI478">
        <v>37.33</v>
      </c>
      <c r="BJ478">
        <v>194</v>
      </c>
      <c r="BK478">
        <v>86.8</v>
      </c>
      <c r="BL478">
        <v>194</v>
      </c>
      <c r="BM478">
        <v>9.6173000000000002</v>
      </c>
    </row>
    <row r="479" spans="1:65" x14ac:dyDescent="0.25">
      <c r="A479" t="s">
        <v>542</v>
      </c>
      <c r="B479" t="s">
        <v>1524</v>
      </c>
      <c r="C479" t="s">
        <v>2160</v>
      </c>
      <c r="D479" s="1">
        <v>45580</v>
      </c>
      <c r="E479" s="1">
        <v>45607</v>
      </c>
      <c r="F479" s="1">
        <v>45681</v>
      </c>
      <c r="G479" t="s">
        <v>2165</v>
      </c>
      <c r="I479" t="s">
        <v>2175</v>
      </c>
      <c r="J479">
        <v>33051</v>
      </c>
      <c r="K479">
        <v>991</v>
      </c>
      <c r="L479">
        <v>17.399999999999999</v>
      </c>
      <c r="M479">
        <v>10.8</v>
      </c>
      <c r="N479">
        <v>8</v>
      </c>
      <c r="O479">
        <v>11341</v>
      </c>
      <c r="P479" t="s">
        <v>2178</v>
      </c>
      <c r="Q479">
        <v>18</v>
      </c>
      <c r="R479">
        <v>22</v>
      </c>
      <c r="S479">
        <v>23</v>
      </c>
      <c r="T479">
        <v>524</v>
      </c>
      <c r="U479" t="s">
        <v>2165</v>
      </c>
      <c r="W479" t="s">
        <v>2208</v>
      </c>
      <c r="X479" t="s">
        <v>2210</v>
      </c>
      <c r="Y479" t="s">
        <v>2212</v>
      </c>
      <c r="Z479" s="1">
        <v>45670</v>
      </c>
      <c r="AA479" s="1">
        <v>45690</v>
      </c>
      <c r="AB479" t="s">
        <v>2215</v>
      </c>
      <c r="AC479" t="s">
        <v>2208</v>
      </c>
      <c r="AD479" t="s">
        <v>2216</v>
      </c>
      <c r="AE479" t="s">
        <v>2165</v>
      </c>
      <c r="AG479" t="s">
        <v>2220</v>
      </c>
      <c r="AH479">
        <v>63</v>
      </c>
      <c r="AI479">
        <v>83</v>
      </c>
      <c r="AJ479">
        <v>20</v>
      </c>
      <c r="AK479">
        <v>11</v>
      </c>
      <c r="AL479" t="s">
        <v>2231</v>
      </c>
      <c r="AM479">
        <v>1</v>
      </c>
      <c r="AN479" t="s">
        <v>2175</v>
      </c>
      <c r="AO479" t="s">
        <v>2175</v>
      </c>
      <c r="AP479" t="s">
        <v>2177</v>
      </c>
      <c r="AQ479">
        <v>187.92</v>
      </c>
      <c r="AR479">
        <v>3</v>
      </c>
      <c r="AS479">
        <v>3</v>
      </c>
      <c r="AT479">
        <v>3</v>
      </c>
      <c r="AU479">
        <v>2</v>
      </c>
      <c r="AV479">
        <v>2.666666666666667</v>
      </c>
      <c r="AW479">
        <v>4.5999999999999996</v>
      </c>
      <c r="AY479">
        <v>4.5999999999999996</v>
      </c>
      <c r="AZ479">
        <v>1</v>
      </c>
      <c r="BA479">
        <v>3</v>
      </c>
      <c r="BB479">
        <v>41</v>
      </c>
      <c r="BC479">
        <v>25</v>
      </c>
      <c r="BD479">
        <v>36.520000000000003</v>
      </c>
      <c r="BE479">
        <v>172</v>
      </c>
      <c r="BF479">
        <v>89.1</v>
      </c>
      <c r="BG479">
        <v>41</v>
      </c>
      <c r="BH479">
        <v>25</v>
      </c>
      <c r="BI479">
        <v>36.520000000000003</v>
      </c>
      <c r="BJ479">
        <v>172</v>
      </c>
      <c r="BK479">
        <v>89.1</v>
      </c>
      <c r="BL479">
        <v>172</v>
      </c>
      <c r="BM479">
        <v>7.6844999999999999</v>
      </c>
    </row>
    <row r="480" spans="1:65" x14ac:dyDescent="0.25">
      <c r="A480" t="s">
        <v>543</v>
      </c>
      <c r="B480" t="s">
        <v>1525</v>
      </c>
      <c r="C480" t="s">
        <v>2158</v>
      </c>
      <c r="D480" s="1">
        <v>45554</v>
      </c>
      <c r="E480" s="1">
        <v>45599</v>
      </c>
      <c r="F480" s="1">
        <v>45648</v>
      </c>
      <c r="G480" t="s">
        <v>2161</v>
      </c>
      <c r="I480" t="s">
        <v>2175</v>
      </c>
      <c r="J480">
        <v>21344</v>
      </c>
      <c r="K480">
        <v>640</v>
      </c>
      <c r="L480">
        <v>8.1999999999999993</v>
      </c>
      <c r="M480">
        <v>11.4</v>
      </c>
      <c r="N480">
        <v>7</v>
      </c>
      <c r="O480">
        <v>13993</v>
      </c>
      <c r="P480" t="s">
        <v>2178</v>
      </c>
      <c r="Q480">
        <v>12</v>
      </c>
      <c r="R480">
        <v>19</v>
      </c>
      <c r="S480">
        <v>16</v>
      </c>
      <c r="T480">
        <v>454</v>
      </c>
      <c r="U480" t="s">
        <v>2161</v>
      </c>
      <c r="W480" t="s">
        <v>2208</v>
      </c>
      <c r="X480" t="s">
        <v>2210</v>
      </c>
      <c r="Y480" t="s">
        <v>2212</v>
      </c>
      <c r="Z480" s="1">
        <v>45646</v>
      </c>
      <c r="AA480" s="1">
        <v>45667</v>
      </c>
      <c r="AB480" t="s">
        <v>2215</v>
      </c>
      <c r="AC480" t="s">
        <v>2208</v>
      </c>
      <c r="AD480" t="s">
        <v>2216</v>
      </c>
      <c r="AE480" t="s">
        <v>2161</v>
      </c>
      <c r="AG480" t="s">
        <v>2220</v>
      </c>
      <c r="AH480">
        <v>47</v>
      </c>
      <c r="AI480">
        <v>68</v>
      </c>
      <c r="AJ480">
        <v>21</v>
      </c>
      <c r="AK480">
        <v>11</v>
      </c>
      <c r="AL480" t="s">
        <v>2231</v>
      </c>
      <c r="AM480">
        <v>1</v>
      </c>
      <c r="AN480" t="s">
        <v>2177</v>
      </c>
      <c r="AO480" t="s">
        <v>2175</v>
      </c>
      <c r="AP480" t="s">
        <v>2177</v>
      </c>
      <c r="AQ480">
        <v>93.47999999999999</v>
      </c>
      <c r="AR480">
        <v>3</v>
      </c>
      <c r="AS480">
        <v>2</v>
      </c>
      <c r="AT480">
        <v>3</v>
      </c>
      <c r="AU480">
        <v>2</v>
      </c>
      <c r="AV480">
        <v>2.333333333333333</v>
      </c>
      <c r="AW480">
        <v>4.3</v>
      </c>
      <c r="AY480">
        <v>4.3</v>
      </c>
      <c r="AZ480">
        <v>2</v>
      </c>
      <c r="BA480">
        <v>3</v>
      </c>
      <c r="BB480">
        <v>32</v>
      </c>
      <c r="BC480">
        <v>25</v>
      </c>
      <c r="BD480">
        <v>28.56</v>
      </c>
      <c r="BE480">
        <v>134</v>
      </c>
      <c r="BF480">
        <v>89.2</v>
      </c>
      <c r="BG480">
        <v>32</v>
      </c>
      <c r="BH480">
        <v>25</v>
      </c>
      <c r="BI480">
        <v>28.56</v>
      </c>
      <c r="BJ480">
        <v>134</v>
      </c>
      <c r="BK480">
        <v>89.2</v>
      </c>
      <c r="BL480">
        <v>134</v>
      </c>
      <c r="BM480">
        <v>6.3693999999999997</v>
      </c>
    </row>
    <row r="481" spans="1:65" x14ac:dyDescent="0.25">
      <c r="A481" t="s">
        <v>544</v>
      </c>
      <c r="B481" t="s">
        <v>1526</v>
      </c>
      <c r="C481" t="s">
        <v>2158</v>
      </c>
      <c r="D481" s="1">
        <v>45546</v>
      </c>
      <c r="E481" s="1">
        <v>45583</v>
      </c>
      <c r="F481" s="1">
        <v>45696</v>
      </c>
      <c r="G481" t="s">
        <v>2165</v>
      </c>
      <c r="I481" t="s">
        <v>2175</v>
      </c>
      <c r="J481">
        <v>39711</v>
      </c>
      <c r="K481">
        <v>1191</v>
      </c>
      <c r="L481">
        <v>5.4</v>
      </c>
      <c r="M481">
        <v>14.1</v>
      </c>
      <c r="N481">
        <v>7</v>
      </c>
      <c r="O481">
        <v>18007</v>
      </c>
      <c r="P481" t="s">
        <v>2178</v>
      </c>
      <c r="Q481">
        <v>24</v>
      </c>
      <c r="R481">
        <v>31</v>
      </c>
      <c r="S481">
        <v>57</v>
      </c>
      <c r="T481">
        <v>354</v>
      </c>
      <c r="U481" t="s">
        <v>2165</v>
      </c>
      <c r="W481" t="s">
        <v>2208</v>
      </c>
      <c r="X481" t="s">
        <v>2210</v>
      </c>
      <c r="Y481" t="s">
        <v>2212</v>
      </c>
      <c r="Z481" s="1">
        <v>45695</v>
      </c>
      <c r="AA481" s="1">
        <v>45709</v>
      </c>
      <c r="AB481" t="s">
        <v>2215</v>
      </c>
      <c r="AC481" t="s">
        <v>2208</v>
      </c>
      <c r="AD481" t="s">
        <v>2216</v>
      </c>
      <c r="AE481" t="s">
        <v>2165</v>
      </c>
      <c r="AG481" t="s">
        <v>2220</v>
      </c>
      <c r="AH481">
        <v>112</v>
      </c>
      <c r="AI481">
        <v>126</v>
      </c>
      <c r="AJ481">
        <v>14</v>
      </c>
      <c r="AK481">
        <v>10</v>
      </c>
      <c r="AL481" t="s">
        <v>2230</v>
      </c>
      <c r="AM481">
        <v>1</v>
      </c>
      <c r="AN481" t="s">
        <v>2177</v>
      </c>
      <c r="AO481" t="s">
        <v>2175</v>
      </c>
      <c r="AP481" t="s">
        <v>2175</v>
      </c>
      <c r="AQ481">
        <v>76.14</v>
      </c>
      <c r="AR481">
        <v>3</v>
      </c>
      <c r="AS481">
        <v>2</v>
      </c>
      <c r="AT481">
        <v>3</v>
      </c>
      <c r="AU481">
        <v>3</v>
      </c>
      <c r="AV481">
        <v>2.666666666666667</v>
      </c>
      <c r="AW481">
        <v>4.5999999999999996</v>
      </c>
      <c r="AY481">
        <v>4.5999999999999996</v>
      </c>
      <c r="AZ481">
        <v>2</v>
      </c>
      <c r="BA481">
        <v>3</v>
      </c>
      <c r="BB481">
        <v>43</v>
      </c>
      <c r="BC481">
        <v>27</v>
      </c>
      <c r="BD481">
        <v>37.33</v>
      </c>
      <c r="BE481">
        <v>194</v>
      </c>
      <c r="BF481">
        <v>86.8</v>
      </c>
      <c r="BG481">
        <v>43</v>
      </c>
      <c r="BH481">
        <v>27</v>
      </c>
      <c r="BI481">
        <v>37.33</v>
      </c>
      <c r="BJ481">
        <v>194</v>
      </c>
      <c r="BK481">
        <v>86.8</v>
      </c>
      <c r="BL481">
        <v>194</v>
      </c>
      <c r="BM481">
        <v>7.5799000000000003</v>
      </c>
    </row>
    <row r="482" spans="1:65" x14ac:dyDescent="0.25">
      <c r="A482" t="s">
        <v>545</v>
      </c>
      <c r="B482" t="s">
        <v>1527</v>
      </c>
      <c r="C482" t="s">
        <v>2158</v>
      </c>
      <c r="D482" s="1">
        <v>45571</v>
      </c>
      <c r="E482" s="1">
        <v>45627</v>
      </c>
      <c r="F482" s="1">
        <v>45722</v>
      </c>
      <c r="G482" t="s">
        <v>2162</v>
      </c>
      <c r="I482" t="s">
        <v>2173</v>
      </c>
      <c r="J482">
        <v>35510</v>
      </c>
      <c r="K482">
        <v>1065</v>
      </c>
      <c r="L482">
        <v>13.5</v>
      </c>
      <c r="M482">
        <v>9.6999999999999993</v>
      </c>
      <c r="N482">
        <v>8</v>
      </c>
      <c r="O482">
        <v>17980</v>
      </c>
      <c r="P482" t="s">
        <v>2178</v>
      </c>
      <c r="Q482">
        <v>22</v>
      </c>
      <c r="R482">
        <v>33</v>
      </c>
      <c r="S482">
        <v>29</v>
      </c>
      <c r="T482">
        <v>422</v>
      </c>
      <c r="U482" t="s">
        <v>2162</v>
      </c>
      <c r="W482" t="s">
        <v>2208</v>
      </c>
      <c r="X482" t="s">
        <v>2210</v>
      </c>
      <c r="Y482" t="s">
        <v>2212</v>
      </c>
      <c r="Z482" s="1">
        <v>45711</v>
      </c>
      <c r="AA482" s="1">
        <v>45725</v>
      </c>
      <c r="AB482" t="s">
        <v>2215</v>
      </c>
      <c r="AC482" t="s">
        <v>2208</v>
      </c>
      <c r="AD482" t="s">
        <v>2216</v>
      </c>
      <c r="AE482" t="s">
        <v>2162</v>
      </c>
      <c r="AG482" t="s">
        <v>2220</v>
      </c>
      <c r="AH482">
        <v>84</v>
      </c>
      <c r="AI482">
        <v>98</v>
      </c>
      <c r="AJ482">
        <v>14</v>
      </c>
      <c r="AK482">
        <v>12</v>
      </c>
      <c r="AL482" t="s">
        <v>2229</v>
      </c>
      <c r="AM482">
        <v>1</v>
      </c>
      <c r="AN482" t="s">
        <v>2177</v>
      </c>
      <c r="AO482" t="s">
        <v>2175</v>
      </c>
      <c r="AP482" t="s">
        <v>2175</v>
      </c>
      <c r="AQ482">
        <v>130.94999999999999</v>
      </c>
      <c r="AR482">
        <v>3</v>
      </c>
      <c r="AS482">
        <v>2</v>
      </c>
      <c r="AT482">
        <v>3</v>
      </c>
      <c r="AU482">
        <v>3</v>
      </c>
      <c r="AV482">
        <v>2.666666666666667</v>
      </c>
      <c r="AW482">
        <v>4.2</v>
      </c>
      <c r="AY482">
        <v>4.2</v>
      </c>
      <c r="AZ482">
        <v>2</v>
      </c>
      <c r="BA482">
        <v>2</v>
      </c>
      <c r="BB482">
        <v>26</v>
      </c>
      <c r="BC482">
        <v>27</v>
      </c>
      <c r="BD482">
        <v>23.04</v>
      </c>
      <c r="BE482">
        <v>110</v>
      </c>
      <c r="BF482">
        <v>88.6</v>
      </c>
      <c r="BG482">
        <v>26</v>
      </c>
      <c r="BH482">
        <v>27</v>
      </c>
      <c r="BI482">
        <v>23.04</v>
      </c>
      <c r="BJ482">
        <v>110</v>
      </c>
      <c r="BK482">
        <v>88.6</v>
      </c>
      <c r="BL482">
        <v>110</v>
      </c>
      <c r="BM482">
        <v>11.952199999999999</v>
      </c>
    </row>
    <row r="483" spans="1:65" x14ac:dyDescent="0.25">
      <c r="A483" t="s">
        <v>546</v>
      </c>
      <c r="B483" t="s">
        <v>1528</v>
      </c>
      <c r="C483" t="s">
        <v>2158</v>
      </c>
      <c r="D483" s="1">
        <v>45545</v>
      </c>
      <c r="E483" s="1">
        <v>45599</v>
      </c>
      <c r="F483" s="1">
        <v>45678</v>
      </c>
      <c r="G483" t="s">
        <v>2165</v>
      </c>
      <c r="I483" t="s">
        <v>2175</v>
      </c>
      <c r="J483">
        <v>30662</v>
      </c>
      <c r="K483">
        <v>919</v>
      </c>
      <c r="L483">
        <v>12</v>
      </c>
      <c r="M483">
        <v>13.6</v>
      </c>
      <c r="N483">
        <v>6</v>
      </c>
      <c r="O483">
        <v>18684</v>
      </c>
      <c r="P483" t="s">
        <v>2178</v>
      </c>
      <c r="Q483">
        <v>19</v>
      </c>
      <c r="R483">
        <v>29</v>
      </c>
      <c r="S483">
        <v>20</v>
      </c>
      <c r="T483">
        <v>450</v>
      </c>
      <c r="U483" t="s">
        <v>2165</v>
      </c>
      <c r="W483" t="s">
        <v>2208</v>
      </c>
      <c r="X483" t="s">
        <v>2210</v>
      </c>
      <c r="Y483" t="s">
        <v>2212</v>
      </c>
      <c r="Z483" s="1">
        <v>45667</v>
      </c>
      <c r="AA483" s="1">
        <v>45689</v>
      </c>
      <c r="AB483" t="s">
        <v>2215</v>
      </c>
      <c r="AC483" t="s">
        <v>2208</v>
      </c>
      <c r="AD483" t="s">
        <v>2216</v>
      </c>
      <c r="AE483" t="s">
        <v>2165</v>
      </c>
      <c r="AG483" t="s">
        <v>2220</v>
      </c>
      <c r="AH483">
        <v>68</v>
      </c>
      <c r="AI483">
        <v>90</v>
      </c>
      <c r="AJ483">
        <v>22</v>
      </c>
      <c r="AK483">
        <v>11</v>
      </c>
      <c r="AL483" t="s">
        <v>2231</v>
      </c>
      <c r="AM483">
        <v>1</v>
      </c>
      <c r="AN483" t="s">
        <v>2175</v>
      </c>
      <c r="AO483" t="s">
        <v>2177</v>
      </c>
      <c r="AP483" t="s">
        <v>2175</v>
      </c>
      <c r="AQ483">
        <v>163.19999999999999</v>
      </c>
      <c r="AR483">
        <v>3</v>
      </c>
      <c r="AS483">
        <v>3</v>
      </c>
      <c r="AT483">
        <v>2</v>
      </c>
      <c r="AU483">
        <v>3</v>
      </c>
      <c r="AV483">
        <v>2.666666666666667</v>
      </c>
      <c r="AW483">
        <v>4.5999999999999996</v>
      </c>
      <c r="AY483">
        <v>4.5999999999999996</v>
      </c>
      <c r="AZ483">
        <v>2</v>
      </c>
      <c r="BA483">
        <v>3</v>
      </c>
      <c r="BB483">
        <v>41</v>
      </c>
      <c r="BC483">
        <v>25</v>
      </c>
      <c r="BD483">
        <v>36.520000000000003</v>
      </c>
      <c r="BE483">
        <v>172</v>
      </c>
      <c r="BF483">
        <v>89.1</v>
      </c>
      <c r="BG483">
        <v>41</v>
      </c>
      <c r="BH483">
        <v>25</v>
      </c>
      <c r="BI483">
        <v>36.520000000000003</v>
      </c>
      <c r="BJ483">
        <v>172</v>
      </c>
      <c r="BK483">
        <v>89.1</v>
      </c>
      <c r="BL483">
        <v>172</v>
      </c>
      <c r="BM483">
        <v>7.1289999999999996</v>
      </c>
    </row>
    <row r="484" spans="1:65" x14ac:dyDescent="0.25">
      <c r="A484" t="s">
        <v>547</v>
      </c>
      <c r="B484" t="s">
        <v>1529</v>
      </c>
      <c r="C484" t="s">
        <v>2160</v>
      </c>
      <c r="D484" s="1">
        <v>45568</v>
      </c>
      <c r="E484" s="1">
        <v>45597</v>
      </c>
      <c r="F484" s="1">
        <v>45718</v>
      </c>
      <c r="G484" t="s">
        <v>2165</v>
      </c>
      <c r="I484" t="s">
        <v>2175</v>
      </c>
      <c r="J484">
        <v>47114</v>
      </c>
      <c r="K484">
        <v>1413</v>
      </c>
      <c r="L484">
        <v>5.9</v>
      </c>
      <c r="M484">
        <v>5.0999999999999996</v>
      </c>
      <c r="N484">
        <v>6</v>
      </c>
      <c r="O484">
        <v>12032</v>
      </c>
      <c r="P484" t="s">
        <v>2178</v>
      </c>
      <c r="Q484">
        <v>35</v>
      </c>
      <c r="R484">
        <v>50</v>
      </c>
      <c r="S484">
        <v>39</v>
      </c>
      <c r="T484">
        <v>379</v>
      </c>
      <c r="U484" t="s">
        <v>2165</v>
      </c>
      <c r="W484" t="s">
        <v>2208</v>
      </c>
      <c r="X484" t="s">
        <v>2210</v>
      </c>
      <c r="Y484" t="s">
        <v>2212</v>
      </c>
      <c r="Z484" s="1">
        <v>45721</v>
      </c>
      <c r="AA484" s="1">
        <v>45738</v>
      </c>
      <c r="AB484" t="s">
        <v>2215</v>
      </c>
      <c r="AC484" t="s">
        <v>2208</v>
      </c>
      <c r="AD484" t="s">
        <v>2216</v>
      </c>
      <c r="AE484" t="s">
        <v>2165</v>
      </c>
      <c r="AG484" t="s">
        <v>2220</v>
      </c>
      <c r="AH484">
        <v>124</v>
      </c>
      <c r="AI484">
        <v>141</v>
      </c>
      <c r="AJ484">
        <v>17</v>
      </c>
      <c r="AK484">
        <v>11</v>
      </c>
      <c r="AL484" t="s">
        <v>2231</v>
      </c>
      <c r="AM484">
        <v>1</v>
      </c>
      <c r="AN484" t="s">
        <v>2177</v>
      </c>
      <c r="AO484" t="s">
        <v>2177</v>
      </c>
      <c r="AP484" t="s">
        <v>2177</v>
      </c>
      <c r="AQ484">
        <v>30.09</v>
      </c>
      <c r="AR484">
        <v>3</v>
      </c>
      <c r="AS484">
        <v>2</v>
      </c>
      <c r="AT484">
        <v>2</v>
      </c>
      <c r="AU484">
        <v>2</v>
      </c>
      <c r="AV484">
        <v>2</v>
      </c>
      <c r="AW484">
        <v>4.5999999999999996</v>
      </c>
      <c r="AY484">
        <v>4.5999999999999996</v>
      </c>
      <c r="AZ484">
        <v>1</v>
      </c>
      <c r="BA484">
        <v>3</v>
      </c>
      <c r="BB484">
        <v>41</v>
      </c>
      <c r="BC484">
        <v>25</v>
      </c>
      <c r="BD484">
        <v>36.520000000000003</v>
      </c>
      <c r="BE484">
        <v>172</v>
      </c>
      <c r="BF484">
        <v>89.1</v>
      </c>
      <c r="BG484">
        <v>41</v>
      </c>
      <c r="BH484">
        <v>25</v>
      </c>
      <c r="BI484">
        <v>36.520000000000003</v>
      </c>
      <c r="BJ484">
        <v>172</v>
      </c>
      <c r="BK484">
        <v>89.1</v>
      </c>
      <c r="BL484">
        <v>172</v>
      </c>
      <c r="BM484">
        <v>10.9542</v>
      </c>
    </row>
    <row r="485" spans="1:65" x14ac:dyDescent="0.25">
      <c r="A485" t="s">
        <v>548</v>
      </c>
      <c r="B485" t="s">
        <v>1530</v>
      </c>
      <c r="C485" t="s">
        <v>2160</v>
      </c>
      <c r="D485" s="1">
        <v>45595</v>
      </c>
      <c r="E485" s="1">
        <v>45615</v>
      </c>
      <c r="F485" s="1">
        <v>45693</v>
      </c>
      <c r="G485" t="s">
        <v>2166</v>
      </c>
      <c r="I485" t="s">
        <v>2173</v>
      </c>
      <c r="J485">
        <v>34574</v>
      </c>
      <c r="K485">
        <v>1037</v>
      </c>
      <c r="L485">
        <v>11.1</v>
      </c>
      <c r="M485">
        <v>8.9</v>
      </c>
      <c r="N485">
        <v>8</v>
      </c>
      <c r="O485">
        <v>10145</v>
      </c>
      <c r="P485" t="s">
        <v>2178</v>
      </c>
      <c r="Q485">
        <v>21</v>
      </c>
      <c r="R485">
        <v>34</v>
      </c>
      <c r="S485">
        <v>26</v>
      </c>
      <c r="T485">
        <v>426</v>
      </c>
      <c r="U485" t="s">
        <v>2166</v>
      </c>
      <c r="W485" t="s">
        <v>2208</v>
      </c>
      <c r="X485" t="s">
        <v>2210</v>
      </c>
      <c r="Y485" t="s">
        <v>2212</v>
      </c>
      <c r="Z485" s="1">
        <v>45696</v>
      </c>
      <c r="AA485" s="1">
        <v>45713</v>
      </c>
      <c r="AB485" t="s">
        <v>2215</v>
      </c>
      <c r="AC485" t="s">
        <v>2208</v>
      </c>
      <c r="AD485" t="s">
        <v>2216</v>
      </c>
      <c r="AE485" t="s">
        <v>2166</v>
      </c>
      <c r="AG485" t="s">
        <v>2220</v>
      </c>
      <c r="AH485">
        <v>81</v>
      </c>
      <c r="AI485">
        <v>98</v>
      </c>
      <c r="AJ485">
        <v>17</v>
      </c>
      <c r="AK485">
        <v>11</v>
      </c>
      <c r="AL485" t="s">
        <v>2231</v>
      </c>
      <c r="AM485">
        <v>1</v>
      </c>
      <c r="AN485" t="s">
        <v>2177</v>
      </c>
      <c r="AO485" t="s">
        <v>2175</v>
      </c>
      <c r="AP485" t="s">
        <v>2177</v>
      </c>
      <c r="AQ485">
        <v>98.79</v>
      </c>
      <c r="AR485">
        <v>3</v>
      </c>
      <c r="AS485">
        <v>2</v>
      </c>
      <c r="AT485">
        <v>3</v>
      </c>
      <c r="AU485">
        <v>2</v>
      </c>
      <c r="AV485">
        <v>2.333333333333333</v>
      </c>
      <c r="AW485">
        <v>4.8</v>
      </c>
      <c r="AY485">
        <v>4.8</v>
      </c>
      <c r="AZ485">
        <v>1</v>
      </c>
      <c r="BA485">
        <v>2</v>
      </c>
      <c r="BB485">
        <v>50</v>
      </c>
      <c r="BC485">
        <v>25</v>
      </c>
      <c r="BD485">
        <v>43.92</v>
      </c>
      <c r="BE485">
        <v>212</v>
      </c>
      <c r="BF485">
        <v>87.8</v>
      </c>
      <c r="BG485">
        <v>50</v>
      </c>
      <c r="BH485">
        <v>25</v>
      </c>
      <c r="BI485">
        <v>43.92</v>
      </c>
      <c r="BJ485">
        <v>212</v>
      </c>
      <c r="BK485">
        <v>87.8</v>
      </c>
      <c r="BL485">
        <v>212</v>
      </c>
      <c r="BM485">
        <v>6.5221999999999998</v>
      </c>
    </row>
    <row r="486" spans="1:65" x14ac:dyDescent="0.25">
      <c r="A486" t="s">
        <v>549</v>
      </c>
      <c r="B486" t="s">
        <v>1531</v>
      </c>
      <c r="C486" t="s">
        <v>2159</v>
      </c>
      <c r="D486" s="1">
        <v>45573</v>
      </c>
      <c r="E486" s="1">
        <v>45605</v>
      </c>
      <c r="F486" s="1">
        <v>45718</v>
      </c>
      <c r="G486" t="s">
        <v>2162</v>
      </c>
      <c r="I486" t="s">
        <v>2173</v>
      </c>
      <c r="J486">
        <v>45400</v>
      </c>
      <c r="K486">
        <v>1362</v>
      </c>
      <c r="L486">
        <v>15.2</v>
      </c>
      <c r="M486">
        <v>6.2</v>
      </c>
      <c r="N486">
        <v>7</v>
      </c>
      <c r="O486">
        <v>19655</v>
      </c>
      <c r="P486" t="s">
        <v>2178</v>
      </c>
      <c r="Q486">
        <v>22</v>
      </c>
      <c r="R486">
        <v>31</v>
      </c>
      <c r="S486">
        <v>61</v>
      </c>
      <c r="T486">
        <v>398</v>
      </c>
      <c r="U486" t="s">
        <v>2162</v>
      </c>
      <c r="W486" t="s">
        <v>2208</v>
      </c>
      <c r="X486" t="s">
        <v>2210</v>
      </c>
      <c r="Y486" t="s">
        <v>2212</v>
      </c>
      <c r="Z486" s="1">
        <v>45719</v>
      </c>
      <c r="AA486" s="1">
        <v>45739</v>
      </c>
      <c r="AB486" t="s">
        <v>2215</v>
      </c>
      <c r="AC486" t="s">
        <v>2208</v>
      </c>
      <c r="AD486" t="s">
        <v>2216</v>
      </c>
      <c r="AE486" t="s">
        <v>2162</v>
      </c>
      <c r="AG486" t="s">
        <v>2220</v>
      </c>
      <c r="AH486">
        <v>114</v>
      </c>
      <c r="AI486">
        <v>134</v>
      </c>
      <c r="AJ486">
        <v>20</v>
      </c>
      <c r="AK486">
        <v>11</v>
      </c>
      <c r="AL486" t="s">
        <v>2231</v>
      </c>
      <c r="AM486">
        <v>1</v>
      </c>
      <c r="AN486" t="s">
        <v>2175</v>
      </c>
      <c r="AO486" t="s">
        <v>2175</v>
      </c>
      <c r="AP486" t="s">
        <v>2175</v>
      </c>
      <c r="AQ486">
        <v>94.24</v>
      </c>
      <c r="AR486">
        <v>3</v>
      </c>
      <c r="AS486">
        <v>3</v>
      </c>
      <c r="AT486">
        <v>3</v>
      </c>
      <c r="AU486">
        <v>3</v>
      </c>
      <c r="AV486">
        <v>3</v>
      </c>
      <c r="AW486">
        <v>4.2</v>
      </c>
      <c r="AY486">
        <v>4.2</v>
      </c>
      <c r="AZ486">
        <v>0</v>
      </c>
      <c r="BA486">
        <v>2</v>
      </c>
      <c r="BB486">
        <v>32</v>
      </c>
      <c r="BC486">
        <v>25</v>
      </c>
      <c r="BD486">
        <v>28.2</v>
      </c>
      <c r="BE486">
        <v>131</v>
      </c>
      <c r="BF486">
        <v>88.1</v>
      </c>
      <c r="BG486">
        <v>32</v>
      </c>
      <c r="BH486">
        <v>25</v>
      </c>
      <c r="BI486">
        <v>28.2</v>
      </c>
      <c r="BJ486">
        <v>131</v>
      </c>
      <c r="BK486">
        <v>88.1</v>
      </c>
      <c r="BL486">
        <v>131</v>
      </c>
      <c r="BM486">
        <v>13.8584</v>
      </c>
    </row>
    <row r="487" spans="1:65" x14ac:dyDescent="0.25">
      <c r="A487" t="s">
        <v>550</v>
      </c>
      <c r="B487" t="s">
        <v>1532</v>
      </c>
      <c r="C487" t="s">
        <v>2160</v>
      </c>
      <c r="D487" s="1">
        <v>45548</v>
      </c>
      <c r="E487" s="1">
        <v>45573</v>
      </c>
      <c r="F487" s="1">
        <v>45655</v>
      </c>
      <c r="G487" t="s">
        <v>2166</v>
      </c>
      <c r="I487" t="s">
        <v>2173</v>
      </c>
      <c r="J487">
        <v>34262</v>
      </c>
      <c r="K487">
        <v>1027</v>
      </c>
      <c r="L487">
        <v>11.7</v>
      </c>
      <c r="M487">
        <v>8</v>
      </c>
      <c r="N487">
        <v>5</v>
      </c>
      <c r="O487">
        <v>12265</v>
      </c>
      <c r="P487" t="s">
        <v>2178</v>
      </c>
      <c r="Q487">
        <v>19</v>
      </c>
      <c r="R487">
        <v>27</v>
      </c>
      <c r="S487">
        <v>23</v>
      </c>
      <c r="T487">
        <v>496</v>
      </c>
      <c r="U487" t="s">
        <v>2166</v>
      </c>
      <c r="W487" t="s">
        <v>2208</v>
      </c>
      <c r="X487" t="s">
        <v>2210</v>
      </c>
      <c r="Y487" t="s">
        <v>2212</v>
      </c>
      <c r="Z487" s="1">
        <v>45642</v>
      </c>
      <c r="AA487" s="1">
        <v>45663</v>
      </c>
      <c r="AB487" t="s">
        <v>2214</v>
      </c>
      <c r="AC487" t="s">
        <v>2209</v>
      </c>
      <c r="AD487" t="s">
        <v>2216</v>
      </c>
      <c r="AE487" t="s">
        <v>2166</v>
      </c>
      <c r="AG487" t="s">
        <v>2220</v>
      </c>
      <c r="AH487">
        <v>69</v>
      </c>
      <c r="AI487">
        <v>90</v>
      </c>
      <c r="AJ487">
        <v>21</v>
      </c>
      <c r="AK487">
        <v>10</v>
      </c>
      <c r="AL487" t="s">
        <v>2230</v>
      </c>
      <c r="AM487">
        <v>1</v>
      </c>
      <c r="AN487" t="s">
        <v>2177</v>
      </c>
      <c r="AO487" t="s">
        <v>2177</v>
      </c>
      <c r="AP487" t="s">
        <v>2177</v>
      </c>
      <c r="AQ487">
        <v>93.6</v>
      </c>
      <c r="AR487">
        <v>3</v>
      </c>
      <c r="AS487">
        <v>2</v>
      </c>
      <c r="AT487">
        <v>2</v>
      </c>
      <c r="AU487">
        <v>2</v>
      </c>
      <c r="AV487">
        <v>2</v>
      </c>
      <c r="AW487">
        <v>4.8</v>
      </c>
      <c r="AY487">
        <v>4.8</v>
      </c>
      <c r="AZ487">
        <v>1</v>
      </c>
      <c r="BA487">
        <v>2</v>
      </c>
      <c r="BB487">
        <v>50</v>
      </c>
      <c r="BC487">
        <v>27</v>
      </c>
      <c r="BD487">
        <v>42.44</v>
      </c>
      <c r="BE487">
        <v>220</v>
      </c>
      <c r="BF487">
        <v>84.9</v>
      </c>
      <c r="BG487">
        <v>50</v>
      </c>
      <c r="BH487">
        <v>27</v>
      </c>
      <c r="BI487">
        <v>42.44</v>
      </c>
      <c r="BJ487">
        <v>220</v>
      </c>
      <c r="BK487">
        <v>84.9</v>
      </c>
      <c r="BL487">
        <v>220</v>
      </c>
      <c r="BM487">
        <v>5.7670000000000003</v>
      </c>
    </row>
    <row r="488" spans="1:65" x14ac:dyDescent="0.25">
      <c r="A488" t="s">
        <v>551</v>
      </c>
      <c r="B488" t="s">
        <v>1533</v>
      </c>
      <c r="C488" t="s">
        <v>2159</v>
      </c>
      <c r="D488" s="1">
        <v>45548</v>
      </c>
      <c r="E488" s="1">
        <v>45599</v>
      </c>
      <c r="F488" s="1">
        <v>45661</v>
      </c>
      <c r="G488" t="s">
        <v>2161</v>
      </c>
      <c r="I488" t="s">
        <v>2173</v>
      </c>
      <c r="J488">
        <v>18245</v>
      </c>
      <c r="K488">
        <v>547</v>
      </c>
      <c r="L488">
        <v>7.3</v>
      </c>
      <c r="M488">
        <v>10.199999999999999</v>
      </c>
      <c r="N488">
        <v>6</v>
      </c>
      <c r="O488">
        <v>17312</v>
      </c>
      <c r="P488" t="s">
        <v>2178</v>
      </c>
      <c r="Q488">
        <v>9</v>
      </c>
      <c r="R488">
        <v>13</v>
      </c>
      <c r="S488">
        <v>29</v>
      </c>
      <c r="T488">
        <v>357</v>
      </c>
      <c r="U488" t="s">
        <v>2161</v>
      </c>
      <c r="W488" t="s">
        <v>2208</v>
      </c>
      <c r="X488" t="s">
        <v>2210</v>
      </c>
      <c r="Y488" t="s">
        <v>2212</v>
      </c>
      <c r="Z488" s="1">
        <v>45650</v>
      </c>
      <c r="AA488" s="1">
        <v>45670</v>
      </c>
      <c r="AB488" t="s">
        <v>2215</v>
      </c>
      <c r="AC488" t="s">
        <v>2208</v>
      </c>
      <c r="AD488" t="s">
        <v>2216</v>
      </c>
      <c r="AE488" t="s">
        <v>2161</v>
      </c>
      <c r="AG488" t="s">
        <v>2220</v>
      </c>
      <c r="AH488">
        <v>51</v>
      </c>
      <c r="AI488">
        <v>71</v>
      </c>
      <c r="AJ488">
        <v>20</v>
      </c>
      <c r="AK488">
        <v>11</v>
      </c>
      <c r="AL488" t="s">
        <v>2231</v>
      </c>
      <c r="AM488">
        <v>1</v>
      </c>
      <c r="AN488" t="s">
        <v>2177</v>
      </c>
      <c r="AO488" t="s">
        <v>2177</v>
      </c>
      <c r="AP488" t="s">
        <v>2175</v>
      </c>
      <c r="AQ488">
        <v>74.459999999999994</v>
      </c>
      <c r="AR488">
        <v>3</v>
      </c>
      <c r="AS488">
        <v>2</v>
      </c>
      <c r="AT488">
        <v>2</v>
      </c>
      <c r="AU488">
        <v>3</v>
      </c>
      <c r="AV488">
        <v>2.333333333333333</v>
      </c>
      <c r="AW488">
        <v>4.3</v>
      </c>
      <c r="AY488">
        <v>4.3</v>
      </c>
      <c r="AZ488">
        <v>0</v>
      </c>
      <c r="BA488">
        <v>2</v>
      </c>
      <c r="BB488">
        <v>32</v>
      </c>
      <c r="BC488">
        <v>25</v>
      </c>
      <c r="BD488">
        <v>28.56</v>
      </c>
      <c r="BE488">
        <v>134</v>
      </c>
      <c r="BF488">
        <v>89.2</v>
      </c>
      <c r="BG488">
        <v>32</v>
      </c>
      <c r="BH488">
        <v>25</v>
      </c>
      <c r="BI488">
        <v>28.56</v>
      </c>
      <c r="BJ488">
        <v>134</v>
      </c>
      <c r="BK488">
        <v>89.2</v>
      </c>
      <c r="BL488">
        <v>134</v>
      </c>
      <c r="BM488">
        <v>5.4446000000000003</v>
      </c>
    </row>
    <row r="489" spans="1:65" x14ac:dyDescent="0.25">
      <c r="A489" t="s">
        <v>552</v>
      </c>
      <c r="B489" t="s">
        <v>1534</v>
      </c>
      <c r="C489" t="s">
        <v>2158</v>
      </c>
      <c r="D489" s="1">
        <v>45596</v>
      </c>
      <c r="E489" s="1">
        <v>45627</v>
      </c>
      <c r="F489" s="1">
        <v>45671</v>
      </c>
      <c r="G489" t="s">
        <v>2162</v>
      </c>
      <c r="I489" t="s">
        <v>2175</v>
      </c>
      <c r="J489">
        <v>17287</v>
      </c>
      <c r="K489">
        <v>518</v>
      </c>
      <c r="L489">
        <v>10.9</v>
      </c>
      <c r="M489">
        <v>10.1</v>
      </c>
      <c r="N489">
        <v>8</v>
      </c>
      <c r="O489">
        <v>11218</v>
      </c>
      <c r="P489" t="s">
        <v>2178</v>
      </c>
      <c r="Q489">
        <v>11</v>
      </c>
      <c r="R489">
        <v>19</v>
      </c>
      <c r="S489">
        <v>18</v>
      </c>
      <c r="T489">
        <v>360</v>
      </c>
      <c r="U489" t="s">
        <v>2162</v>
      </c>
      <c r="W489" t="s">
        <v>2208</v>
      </c>
      <c r="X489" t="s">
        <v>2210</v>
      </c>
      <c r="Y489" t="s">
        <v>2212</v>
      </c>
      <c r="Z489" s="1">
        <v>45675</v>
      </c>
      <c r="AA489" s="1">
        <v>45696</v>
      </c>
      <c r="AB489" t="s">
        <v>2215</v>
      </c>
      <c r="AC489" t="s">
        <v>2208</v>
      </c>
      <c r="AD489" t="s">
        <v>2216</v>
      </c>
      <c r="AE489" t="s">
        <v>2162</v>
      </c>
      <c r="AG489" t="s">
        <v>2220</v>
      </c>
      <c r="AH489">
        <v>48</v>
      </c>
      <c r="AI489">
        <v>69</v>
      </c>
      <c r="AJ489">
        <v>21</v>
      </c>
      <c r="AK489">
        <v>12</v>
      </c>
      <c r="AL489" t="s">
        <v>2229</v>
      </c>
      <c r="AM489">
        <v>1</v>
      </c>
      <c r="AN489" t="s">
        <v>2175</v>
      </c>
      <c r="AO489" t="s">
        <v>2175</v>
      </c>
      <c r="AP489" t="s">
        <v>2177</v>
      </c>
      <c r="AQ489">
        <v>110.09</v>
      </c>
      <c r="AR489">
        <v>3</v>
      </c>
      <c r="AS489">
        <v>3</v>
      </c>
      <c r="AT489">
        <v>3</v>
      </c>
      <c r="AU489">
        <v>2</v>
      </c>
      <c r="AV489">
        <v>2.666666666666667</v>
      </c>
      <c r="AW489">
        <v>4.2</v>
      </c>
      <c r="AY489">
        <v>4.2</v>
      </c>
      <c r="AZ489">
        <v>2</v>
      </c>
      <c r="BA489">
        <v>3</v>
      </c>
      <c r="BB489">
        <v>26</v>
      </c>
      <c r="BC489">
        <v>27</v>
      </c>
      <c r="BD489">
        <v>23.04</v>
      </c>
      <c r="BE489">
        <v>110</v>
      </c>
      <c r="BF489">
        <v>88.6</v>
      </c>
      <c r="BG489">
        <v>26</v>
      </c>
      <c r="BH489">
        <v>27</v>
      </c>
      <c r="BI489">
        <v>23.04</v>
      </c>
      <c r="BJ489">
        <v>110</v>
      </c>
      <c r="BK489">
        <v>88.6</v>
      </c>
      <c r="BL489">
        <v>110</v>
      </c>
      <c r="BM489">
        <v>5.8186</v>
      </c>
    </row>
    <row r="490" spans="1:65" x14ac:dyDescent="0.25">
      <c r="A490" t="s">
        <v>553</v>
      </c>
      <c r="B490" t="s">
        <v>1535</v>
      </c>
      <c r="C490" t="s">
        <v>2160</v>
      </c>
      <c r="D490" s="1">
        <v>45549</v>
      </c>
      <c r="E490" s="1">
        <v>45581</v>
      </c>
      <c r="F490" s="1">
        <v>45734</v>
      </c>
      <c r="G490" t="s">
        <v>2166</v>
      </c>
      <c r="I490" t="s">
        <v>2173</v>
      </c>
      <c r="J490">
        <v>52520</v>
      </c>
      <c r="K490">
        <v>1575</v>
      </c>
      <c r="L490">
        <v>5.0999999999999996</v>
      </c>
      <c r="M490">
        <v>14</v>
      </c>
      <c r="N490">
        <v>6</v>
      </c>
      <c r="O490">
        <v>19105</v>
      </c>
      <c r="P490" t="s">
        <v>2178</v>
      </c>
      <c r="Q490">
        <v>32</v>
      </c>
      <c r="R490">
        <v>40</v>
      </c>
      <c r="S490">
        <v>72</v>
      </c>
      <c r="T490">
        <v>364</v>
      </c>
      <c r="U490" t="s">
        <v>2166</v>
      </c>
      <c r="W490" t="s">
        <v>2208</v>
      </c>
      <c r="X490" t="s">
        <v>2210</v>
      </c>
      <c r="Y490" t="s">
        <v>2212</v>
      </c>
      <c r="Z490" s="1">
        <v>45725</v>
      </c>
      <c r="AA490" s="1">
        <v>45743</v>
      </c>
      <c r="AB490" t="s">
        <v>2215</v>
      </c>
      <c r="AC490" t="s">
        <v>2208</v>
      </c>
      <c r="AD490" t="s">
        <v>2216</v>
      </c>
      <c r="AE490" t="s">
        <v>2166</v>
      </c>
      <c r="AG490" t="s">
        <v>2220</v>
      </c>
      <c r="AH490">
        <v>144</v>
      </c>
      <c r="AI490">
        <v>162</v>
      </c>
      <c r="AJ490">
        <v>18</v>
      </c>
      <c r="AK490">
        <v>10</v>
      </c>
      <c r="AL490" t="s">
        <v>2230</v>
      </c>
      <c r="AM490">
        <v>1</v>
      </c>
      <c r="AN490" t="s">
        <v>2177</v>
      </c>
      <c r="AO490" t="s">
        <v>2177</v>
      </c>
      <c r="AP490" t="s">
        <v>2175</v>
      </c>
      <c r="AQ490">
        <v>71.399999999999991</v>
      </c>
      <c r="AR490">
        <v>3</v>
      </c>
      <c r="AS490">
        <v>2</v>
      </c>
      <c r="AT490">
        <v>2</v>
      </c>
      <c r="AU490">
        <v>3</v>
      </c>
      <c r="AV490">
        <v>2.333333333333333</v>
      </c>
      <c r="AW490">
        <v>4.8</v>
      </c>
      <c r="AY490">
        <v>4.8</v>
      </c>
      <c r="AZ490">
        <v>1</v>
      </c>
      <c r="BA490">
        <v>2</v>
      </c>
      <c r="BB490">
        <v>50</v>
      </c>
      <c r="BC490">
        <v>27</v>
      </c>
      <c r="BD490">
        <v>42.44</v>
      </c>
      <c r="BE490">
        <v>220</v>
      </c>
      <c r="BF490">
        <v>84.9</v>
      </c>
      <c r="BG490">
        <v>50</v>
      </c>
      <c r="BH490">
        <v>27</v>
      </c>
      <c r="BI490">
        <v>42.44</v>
      </c>
      <c r="BJ490">
        <v>220</v>
      </c>
      <c r="BK490">
        <v>84.9</v>
      </c>
      <c r="BL490">
        <v>220</v>
      </c>
      <c r="BM490">
        <v>8.8402999999999992</v>
      </c>
    </row>
    <row r="491" spans="1:65" x14ac:dyDescent="0.25">
      <c r="A491" t="s">
        <v>554</v>
      </c>
      <c r="B491" t="s">
        <v>1536</v>
      </c>
      <c r="C491" t="s">
        <v>2157</v>
      </c>
      <c r="D491" s="1">
        <v>45570</v>
      </c>
      <c r="E491" s="1">
        <v>45608</v>
      </c>
      <c r="F491" s="1">
        <v>45716</v>
      </c>
      <c r="G491" t="s">
        <v>2161</v>
      </c>
      <c r="I491" t="s">
        <v>2173</v>
      </c>
      <c r="J491">
        <v>31452</v>
      </c>
      <c r="K491">
        <v>943</v>
      </c>
      <c r="L491">
        <v>15.7</v>
      </c>
      <c r="M491">
        <v>9.5</v>
      </c>
      <c r="N491">
        <v>8</v>
      </c>
      <c r="O491">
        <v>13930</v>
      </c>
      <c r="P491" t="s">
        <v>2178</v>
      </c>
      <c r="Q491">
        <v>23</v>
      </c>
      <c r="R491">
        <v>34</v>
      </c>
      <c r="S491">
        <v>38</v>
      </c>
      <c r="T491">
        <v>331</v>
      </c>
      <c r="U491" t="s">
        <v>2161</v>
      </c>
      <c r="W491" t="s">
        <v>2208</v>
      </c>
      <c r="X491" t="s">
        <v>2210</v>
      </c>
      <c r="Y491" t="s">
        <v>2212</v>
      </c>
      <c r="Z491" s="1">
        <v>45703</v>
      </c>
      <c r="AA491" s="1">
        <v>45716</v>
      </c>
      <c r="AB491" t="s">
        <v>2214</v>
      </c>
      <c r="AC491" t="s">
        <v>2209</v>
      </c>
      <c r="AD491" t="s">
        <v>2216</v>
      </c>
      <c r="AE491" t="s">
        <v>2161</v>
      </c>
      <c r="AG491" t="s">
        <v>2220</v>
      </c>
      <c r="AH491">
        <v>95</v>
      </c>
      <c r="AI491">
        <v>108</v>
      </c>
      <c r="AJ491">
        <v>13</v>
      </c>
      <c r="AK491">
        <v>11</v>
      </c>
      <c r="AL491" t="s">
        <v>2231</v>
      </c>
      <c r="AM491">
        <v>1</v>
      </c>
      <c r="AN491" t="s">
        <v>2175</v>
      </c>
      <c r="AO491" t="s">
        <v>2175</v>
      </c>
      <c r="AP491" t="s">
        <v>2177</v>
      </c>
      <c r="AQ491">
        <v>149.15</v>
      </c>
      <c r="AR491">
        <v>3</v>
      </c>
      <c r="AS491">
        <v>3</v>
      </c>
      <c r="AT491">
        <v>3</v>
      </c>
      <c r="AU491">
        <v>2</v>
      </c>
      <c r="AV491">
        <v>2.666666666666667</v>
      </c>
      <c r="AW491">
        <v>4.3</v>
      </c>
      <c r="AY491">
        <v>4.3</v>
      </c>
      <c r="AZ491">
        <v>3</v>
      </c>
      <c r="BA491">
        <v>2</v>
      </c>
      <c r="BB491">
        <v>32</v>
      </c>
      <c r="BC491">
        <v>25</v>
      </c>
      <c r="BD491">
        <v>28.56</v>
      </c>
      <c r="BE491">
        <v>134</v>
      </c>
      <c r="BF491">
        <v>89.2</v>
      </c>
      <c r="BG491">
        <v>32</v>
      </c>
      <c r="BH491">
        <v>25</v>
      </c>
      <c r="BI491">
        <v>28.56</v>
      </c>
      <c r="BJ491">
        <v>134</v>
      </c>
      <c r="BK491">
        <v>89.2</v>
      </c>
      <c r="BL491">
        <v>134</v>
      </c>
      <c r="BM491">
        <v>9.3858999999999995</v>
      </c>
    </row>
    <row r="492" spans="1:65" x14ac:dyDescent="0.25">
      <c r="A492" t="s">
        <v>555</v>
      </c>
      <c r="B492" t="s">
        <v>1537</v>
      </c>
      <c r="C492" t="s">
        <v>2157</v>
      </c>
      <c r="D492" s="1">
        <v>45547</v>
      </c>
      <c r="E492" s="1">
        <v>45597</v>
      </c>
      <c r="F492" s="1">
        <v>45692</v>
      </c>
      <c r="G492" t="s">
        <v>2163</v>
      </c>
      <c r="I492" t="s">
        <v>2173</v>
      </c>
      <c r="J492">
        <v>41290</v>
      </c>
      <c r="K492">
        <v>1238</v>
      </c>
      <c r="L492">
        <v>6.4</v>
      </c>
      <c r="M492">
        <v>14.1</v>
      </c>
      <c r="N492">
        <v>7</v>
      </c>
      <c r="O492">
        <v>10556</v>
      </c>
      <c r="P492" t="s">
        <v>2178</v>
      </c>
      <c r="Q492">
        <v>26</v>
      </c>
      <c r="R492">
        <v>34</v>
      </c>
      <c r="S492">
        <v>31</v>
      </c>
      <c r="T492">
        <v>453</v>
      </c>
      <c r="U492" t="s">
        <v>2163</v>
      </c>
      <c r="W492" t="s">
        <v>2208</v>
      </c>
      <c r="X492" t="s">
        <v>2210</v>
      </c>
      <c r="Y492" t="s">
        <v>2212</v>
      </c>
      <c r="Z492" s="1">
        <v>45688</v>
      </c>
      <c r="AA492" s="1">
        <v>45710</v>
      </c>
      <c r="AB492" t="s">
        <v>2215</v>
      </c>
      <c r="AC492" t="s">
        <v>2208</v>
      </c>
      <c r="AD492" t="s">
        <v>2216</v>
      </c>
      <c r="AE492" t="s">
        <v>2163</v>
      </c>
      <c r="AG492" t="s">
        <v>2220</v>
      </c>
      <c r="AH492">
        <v>91</v>
      </c>
      <c r="AI492">
        <v>113</v>
      </c>
      <c r="AJ492">
        <v>22</v>
      </c>
      <c r="AK492">
        <v>11</v>
      </c>
      <c r="AL492" t="s">
        <v>2231</v>
      </c>
      <c r="AM492">
        <v>1</v>
      </c>
      <c r="AN492" t="s">
        <v>2177</v>
      </c>
      <c r="AO492" t="s">
        <v>2175</v>
      </c>
      <c r="AP492" t="s">
        <v>2177</v>
      </c>
      <c r="AQ492">
        <v>90.240000000000009</v>
      </c>
      <c r="AR492">
        <v>3</v>
      </c>
      <c r="AS492">
        <v>2</v>
      </c>
      <c r="AT492">
        <v>3</v>
      </c>
      <c r="AU492">
        <v>2</v>
      </c>
      <c r="AV492">
        <v>2.333333333333333</v>
      </c>
      <c r="AW492">
        <v>4.4000000000000004</v>
      </c>
      <c r="AY492">
        <v>4.4000000000000004</v>
      </c>
      <c r="AZ492">
        <v>3</v>
      </c>
      <c r="BA492">
        <v>2</v>
      </c>
      <c r="BB492">
        <v>39</v>
      </c>
      <c r="BC492">
        <v>25</v>
      </c>
      <c r="BD492">
        <v>34.08</v>
      </c>
      <c r="BE492">
        <v>161</v>
      </c>
      <c r="BF492">
        <v>87.4</v>
      </c>
      <c r="BG492">
        <v>39</v>
      </c>
      <c r="BH492">
        <v>25</v>
      </c>
      <c r="BI492">
        <v>34.08</v>
      </c>
      <c r="BJ492">
        <v>161</v>
      </c>
      <c r="BK492">
        <v>87.4</v>
      </c>
      <c r="BL492">
        <v>161</v>
      </c>
      <c r="BM492">
        <v>10.255800000000001</v>
      </c>
    </row>
    <row r="493" spans="1:65" x14ac:dyDescent="0.25">
      <c r="A493" t="s">
        <v>556</v>
      </c>
      <c r="B493" t="s">
        <v>1538</v>
      </c>
      <c r="C493" t="s">
        <v>2158</v>
      </c>
      <c r="D493" s="1">
        <v>45602</v>
      </c>
      <c r="E493" s="1">
        <v>45634</v>
      </c>
      <c r="F493" s="1">
        <v>45763</v>
      </c>
      <c r="G493" t="s">
        <v>2165</v>
      </c>
      <c r="I493" t="s">
        <v>2175</v>
      </c>
      <c r="J493">
        <v>50329</v>
      </c>
      <c r="K493">
        <v>1509</v>
      </c>
      <c r="L493">
        <v>15.6</v>
      </c>
      <c r="M493">
        <v>15.8</v>
      </c>
      <c r="N493">
        <v>8</v>
      </c>
      <c r="O493">
        <v>10294</v>
      </c>
      <c r="P493" t="s">
        <v>2178</v>
      </c>
      <c r="Q493">
        <v>32</v>
      </c>
      <c r="R493">
        <v>42</v>
      </c>
      <c r="S493">
        <v>43</v>
      </c>
      <c r="T493">
        <v>430</v>
      </c>
      <c r="U493" t="s">
        <v>2165</v>
      </c>
      <c r="W493" t="s">
        <v>2208</v>
      </c>
      <c r="X493" t="s">
        <v>2210</v>
      </c>
      <c r="Y493" t="s">
        <v>2212</v>
      </c>
      <c r="Z493" s="1">
        <v>45751</v>
      </c>
      <c r="AA493" s="1">
        <v>45765</v>
      </c>
      <c r="AB493" t="s">
        <v>2215</v>
      </c>
      <c r="AC493" t="s">
        <v>2208</v>
      </c>
      <c r="AD493" t="s">
        <v>2216</v>
      </c>
      <c r="AE493" t="s">
        <v>2165</v>
      </c>
      <c r="AG493" t="s">
        <v>2220</v>
      </c>
      <c r="AH493">
        <v>117</v>
      </c>
      <c r="AI493">
        <v>131</v>
      </c>
      <c r="AJ493">
        <v>14</v>
      </c>
      <c r="AK493">
        <v>12</v>
      </c>
      <c r="AL493" t="s">
        <v>2229</v>
      </c>
      <c r="AM493">
        <v>1</v>
      </c>
      <c r="AN493" t="s">
        <v>2175</v>
      </c>
      <c r="AO493" t="s">
        <v>2175</v>
      </c>
      <c r="AP493" t="s">
        <v>2177</v>
      </c>
      <c r="AQ493">
        <v>246.48</v>
      </c>
      <c r="AR493">
        <v>3</v>
      </c>
      <c r="AS493">
        <v>3</v>
      </c>
      <c r="AT493">
        <v>3</v>
      </c>
      <c r="AU493">
        <v>2</v>
      </c>
      <c r="AV493">
        <v>2.666666666666667</v>
      </c>
      <c r="AW493">
        <v>4.5999999999999996</v>
      </c>
      <c r="AY493">
        <v>4.5999999999999996</v>
      </c>
      <c r="AZ493">
        <v>2</v>
      </c>
      <c r="BA493">
        <v>3</v>
      </c>
      <c r="BB493">
        <v>36</v>
      </c>
      <c r="BC493">
        <v>27</v>
      </c>
      <c r="BD493">
        <v>31.41</v>
      </c>
      <c r="BE493">
        <v>155</v>
      </c>
      <c r="BF493">
        <v>87.2</v>
      </c>
      <c r="BG493">
        <v>36</v>
      </c>
      <c r="BH493">
        <v>27</v>
      </c>
      <c r="BI493">
        <v>31.41</v>
      </c>
      <c r="BJ493">
        <v>155</v>
      </c>
      <c r="BK493">
        <v>87.2</v>
      </c>
      <c r="BL493">
        <v>155</v>
      </c>
      <c r="BM493">
        <v>12.023199999999999</v>
      </c>
    </row>
    <row r="494" spans="1:65" x14ac:dyDescent="0.25">
      <c r="A494" t="s">
        <v>557</v>
      </c>
      <c r="B494" t="s">
        <v>1539</v>
      </c>
      <c r="C494" t="s">
        <v>2160</v>
      </c>
      <c r="D494" s="1">
        <v>45574</v>
      </c>
      <c r="E494" s="1">
        <v>45608</v>
      </c>
      <c r="F494" s="1">
        <v>45639</v>
      </c>
      <c r="G494" t="s">
        <v>2164</v>
      </c>
      <c r="I494" t="s">
        <v>2173</v>
      </c>
      <c r="J494">
        <v>11136</v>
      </c>
      <c r="K494">
        <v>334</v>
      </c>
      <c r="L494">
        <v>15.1</v>
      </c>
      <c r="M494">
        <v>6.4</v>
      </c>
      <c r="N494">
        <v>7</v>
      </c>
      <c r="O494">
        <v>15352</v>
      </c>
      <c r="P494" t="s">
        <v>2178</v>
      </c>
      <c r="Q494">
        <v>7</v>
      </c>
      <c r="R494">
        <v>9</v>
      </c>
      <c r="S494">
        <v>8</v>
      </c>
      <c r="T494">
        <v>464</v>
      </c>
      <c r="U494" t="s">
        <v>2164</v>
      </c>
      <c r="W494" t="s">
        <v>2208</v>
      </c>
      <c r="X494" t="s">
        <v>2210</v>
      </c>
      <c r="Y494" t="s">
        <v>2212</v>
      </c>
      <c r="Z494" s="1">
        <v>45632</v>
      </c>
      <c r="AA494" s="1">
        <v>45646</v>
      </c>
      <c r="AB494" t="s">
        <v>2215</v>
      </c>
      <c r="AC494" t="s">
        <v>2208</v>
      </c>
      <c r="AD494" t="s">
        <v>2216</v>
      </c>
      <c r="AE494" t="s">
        <v>2164</v>
      </c>
      <c r="AG494" t="s">
        <v>2220</v>
      </c>
      <c r="AH494">
        <v>24</v>
      </c>
      <c r="AI494">
        <v>38</v>
      </c>
      <c r="AJ494">
        <v>14</v>
      </c>
      <c r="AK494">
        <v>11</v>
      </c>
      <c r="AL494" t="s">
        <v>2231</v>
      </c>
      <c r="AM494">
        <v>1</v>
      </c>
      <c r="AN494" t="s">
        <v>2175</v>
      </c>
      <c r="AO494" t="s">
        <v>2175</v>
      </c>
      <c r="AP494" t="s">
        <v>2175</v>
      </c>
      <c r="AQ494">
        <v>96.64</v>
      </c>
      <c r="AR494">
        <v>3</v>
      </c>
      <c r="AS494">
        <v>3</v>
      </c>
      <c r="AT494">
        <v>3</v>
      </c>
      <c r="AU494">
        <v>3</v>
      </c>
      <c r="AV494">
        <v>3</v>
      </c>
      <c r="AW494">
        <v>4.5</v>
      </c>
      <c r="AY494">
        <v>4.5</v>
      </c>
      <c r="AZ494">
        <v>1</v>
      </c>
      <c r="BA494">
        <v>2</v>
      </c>
      <c r="BB494">
        <v>35</v>
      </c>
      <c r="BC494">
        <v>25</v>
      </c>
      <c r="BD494">
        <v>30.64</v>
      </c>
      <c r="BE494">
        <v>142</v>
      </c>
      <c r="BF494">
        <v>87.5</v>
      </c>
      <c r="BG494">
        <v>35</v>
      </c>
      <c r="BH494">
        <v>25</v>
      </c>
      <c r="BI494">
        <v>30.64</v>
      </c>
      <c r="BJ494">
        <v>142</v>
      </c>
      <c r="BK494">
        <v>87.5</v>
      </c>
      <c r="BL494">
        <v>142</v>
      </c>
      <c r="BM494">
        <v>3.1360000000000001</v>
      </c>
    </row>
    <row r="495" spans="1:65" x14ac:dyDescent="0.25">
      <c r="A495" t="s">
        <v>558</v>
      </c>
      <c r="B495" t="s">
        <v>1540</v>
      </c>
      <c r="C495" t="s">
        <v>2160</v>
      </c>
      <c r="D495" s="1">
        <v>45563</v>
      </c>
      <c r="E495" s="1">
        <v>45604</v>
      </c>
      <c r="F495" s="1">
        <v>45652</v>
      </c>
      <c r="G495" t="s">
        <v>2161</v>
      </c>
      <c r="I495" t="s">
        <v>2173</v>
      </c>
      <c r="J495">
        <v>15084</v>
      </c>
      <c r="K495">
        <v>452</v>
      </c>
      <c r="L495">
        <v>17.3</v>
      </c>
      <c r="M495">
        <v>7.2</v>
      </c>
      <c r="N495">
        <v>6</v>
      </c>
      <c r="O495">
        <v>18073</v>
      </c>
      <c r="P495" t="s">
        <v>2178</v>
      </c>
      <c r="Q495">
        <v>10</v>
      </c>
      <c r="R495">
        <v>13</v>
      </c>
      <c r="S495">
        <v>13</v>
      </c>
      <c r="T495">
        <v>419</v>
      </c>
      <c r="U495" t="s">
        <v>2161</v>
      </c>
      <c r="W495" t="s">
        <v>2208</v>
      </c>
      <c r="X495" t="s">
        <v>2210</v>
      </c>
      <c r="Y495" t="s">
        <v>2212</v>
      </c>
      <c r="Z495" s="1">
        <v>45640</v>
      </c>
      <c r="AA495" s="1">
        <v>45658</v>
      </c>
      <c r="AB495" t="s">
        <v>2215</v>
      </c>
      <c r="AC495" t="s">
        <v>2208</v>
      </c>
      <c r="AD495" t="s">
        <v>2216</v>
      </c>
      <c r="AE495" t="s">
        <v>2161</v>
      </c>
      <c r="AG495" t="s">
        <v>2220</v>
      </c>
      <c r="AH495">
        <v>36</v>
      </c>
      <c r="AI495">
        <v>54</v>
      </c>
      <c r="AJ495">
        <v>18</v>
      </c>
      <c r="AK495">
        <v>11</v>
      </c>
      <c r="AL495" t="s">
        <v>2231</v>
      </c>
      <c r="AM495">
        <v>1</v>
      </c>
      <c r="AN495" t="s">
        <v>2175</v>
      </c>
      <c r="AO495" t="s">
        <v>2177</v>
      </c>
      <c r="AP495" t="s">
        <v>2175</v>
      </c>
      <c r="AQ495">
        <v>124.56</v>
      </c>
      <c r="AR495">
        <v>3</v>
      </c>
      <c r="AS495">
        <v>3</v>
      </c>
      <c r="AT495">
        <v>2</v>
      </c>
      <c r="AU495">
        <v>3</v>
      </c>
      <c r="AV495">
        <v>2.666666666666667</v>
      </c>
      <c r="AW495">
        <v>4.3</v>
      </c>
      <c r="AY495">
        <v>4.3</v>
      </c>
      <c r="AZ495">
        <v>1</v>
      </c>
      <c r="BA495">
        <v>2</v>
      </c>
      <c r="BB495">
        <v>32</v>
      </c>
      <c r="BC495">
        <v>25</v>
      </c>
      <c r="BD495">
        <v>28.56</v>
      </c>
      <c r="BE495">
        <v>134</v>
      </c>
      <c r="BF495">
        <v>89.2</v>
      </c>
      <c r="BG495">
        <v>32</v>
      </c>
      <c r="BH495">
        <v>25</v>
      </c>
      <c r="BI495">
        <v>28.56</v>
      </c>
      <c r="BJ495">
        <v>134</v>
      </c>
      <c r="BK495">
        <v>89.2</v>
      </c>
      <c r="BL495">
        <v>134</v>
      </c>
      <c r="BM495">
        <v>4.5012999999999996</v>
      </c>
    </row>
    <row r="496" spans="1:65" x14ac:dyDescent="0.25">
      <c r="A496" t="s">
        <v>559</v>
      </c>
      <c r="B496" t="s">
        <v>1541</v>
      </c>
      <c r="C496" t="s">
        <v>2160</v>
      </c>
      <c r="D496" s="1">
        <v>45569</v>
      </c>
      <c r="E496" s="1">
        <v>45603</v>
      </c>
      <c r="F496" s="1">
        <v>45625</v>
      </c>
      <c r="G496" t="s">
        <v>2164</v>
      </c>
      <c r="I496" t="s">
        <v>2173</v>
      </c>
      <c r="J496">
        <v>12353</v>
      </c>
      <c r="K496">
        <v>370</v>
      </c>
      <c r="L496">
        <v>13.4</v>
      </c>
      <c r="M496">
        <v>12.7</v>
      </c>
      <c r="N496">
        <v>7</v>
      </c>
      <c r="O496">
        <v>18220</v>
      </c>
      <c r="P496" t="s">
        <v>2178</v>
      </c>
      <c r="Q496">
        <v>6</v>
      </c>
      <c r="R496">
        <v>9</v>
      </c>
      <c r="S496">
        <v>9</v>
      </c>
      <c r="T496">
        <v>514</v>
      </c>
      <c r="U496" t="s">
        <v>2164</v>
      </c>
      <c r="W496" t="s">
        <v>2208</v>
      </c>
      <c r="X496" t="s">
        <v>2210</v>
      </c>
      <c r="Y496" t="s">
        <v>2212</v>
      </c>
      <c r="Z496" s="1">
        <v>45627</v>
      </c>
      <c r="AA496" s="1">
        <v>45650</v>
      </c>
      <c r="AB496" t="s">
        <v>2215</v>
      </c>
      <c r="AC496" t="s">
        <v>2208</v>
      </c>
      <c r="AD496" t="s">
        <v>2216</v>
      </c>
      <c r="AE496" t="s">
        <v>2164</v>
      </c>
      <c r="AG496" t="s">
        <v>2220</v>
      </c>
      <c r="AH496">
        <v>24</v>
      </c>
      <c r="AI496">
        <v>47</v>
      </c>
      <c r="AJ496">
        <v>23</v>
      </c>
      <c r="AK496">
        <v>11</v>
      </c>
      <c r="AL496" t="s">
        <v>2231</v>
      </c>
      <c r="AM496">
        <v>1</v>
      </c>
      <c r="AN496" t="s">
        <v>2175</v>
      </c>
      <c r="AO496" t="s">
        <v>2175</v>
      </c>
      <c r="AP496" t="s">
        <v>2175</v>
      </c>
      <c r="AQ496">
        <v>170.18</v>
      </c>
      <c r="AR496">
        <v>3</v>
      </c>
      <c r="AS496">
        <v>3</v>
      </c>
      <c r="AT496">
        <v>3</v>
      </c>
      <c r="AU496">
        <v>3</v>
      </c>
      <c r="AV496">
        <v>3</v>
      </c>
      <c r="AW496">
        <v>4.5</v>
      </c>
      <c r="AY496">
        <v>4.5</v>
      </c>
      <c r="AZ496">
        <v>1</v>
      </c>
      <c r="BA496">
        <v>2</v>
      </c>
      <c r="BB496">
        <v>35</v>
      </c>
      <c r="BC496">
        <v>25</v>
      </c>
      <c r="BD496">
        <v>30.64</v>
      </c>
      <c r="BE496">
        <v>142</v>
      </c>
      <c r="BF496">
        <v>87.5</v>
      </c>
      <c r="BG496">
        <v>35</v>
      </c>
      <c r="BH496">
        <v>25</v>
      </c>
      <c r="BI496">
        <v>30.64</v>
      </c>
      <c r="BJ496">
        <v>142</v>
      </c>
      <c r="BK496">
        <v>87.5</v>
      </c>
      <c r="BL496">
        <v>142</v>
      </c>
      <c r="BM496">
        <v>3.4786999999999999</v>
      </c>
    </row>
    <row r="497" spans="1:65" x14ac:dyDescent="0.25">
      <c r="A497" t="s">
        <v>560</v>
      </c>
      <c r="B497" t="s">
        <v>1542</v>
      </c>
      <c r="C497" t="s">
        <v>2157</v>
      </c>
      <c r="D497" s="1">
        <v>45548</v>
      </c>
      <c r="E497" s="1">
        <v>45599</v>
      </c>
      <c r="F497" s="1">
        <v>45672</v>
      </c>
      <c r="G497" t="s">
        <v>2164</v>
      </c>
      <c r="I497" t="s">
        <v>2175</v>
      </c>
      <c r="J497">
        <v>37082</v>
      </c>
      <c r="K497">
        <v>1112</v>
      </c>
      <c r="L497">
        <v>10.5</v>
      </c>
      <c r="M497">
        <v>10.9</v>
      </c>
      <c r="N497">
        <v>7</v>
      </c>
      <c r="O497">
        <v>19078</v>
      </c>
      <c r="P497" t="s">
        <v>2178</v>
      </c>
      <c r="Q497">
        <v>21</v>
      </c>
      <c r="R497">
        <v>27</v>
      </c>
      <c r="S497">
        <v>27</v>
      </c>
      <c r="T497">
        <v>494</v>
      </c>
      <c r="U497" t="s">
        <v>2164</v>
      </c>
      <c r="W497" t="s">
        <v>2208</v>
      </c>
      <c r="X497" t="s">
        <v>2210</v>
      </c>
      <c r="Y497" t="s">
        <v>2212</v>
      </c>
      <c r="Z497" s="1">
        <v>45674</v>
      </c>
      <c r="AA497" s="1">
        <v>45697</v>
      </c>
      <c r="AB497" t="s">
        <v>2215</v>
      </c>
      <c r="AC497" t="s">
        <v>2208</v>
      </c>
      <c r="AD497" t="s">
        <v>2216</v>
      </c>
      <c r="AE497" t="s">
        <v>2164</v>
      </c>
      <c r="AG497" t="s">
        <v>2220</v>
      </c>
      <c r="AH497">
        <v>75</v>
      </c>
      <c r="AI497">
        <v>98</v>
      </c>
      <c r="AJ497">
        <v>23</v>
      </c>
      <c r="AK497">
        <v>11</v>
      </c>
      <c r="AL497" t="s">
        <v>2231</v>
      </c>
      <c r="AM497">
        <v>1</v>
      </c>
      <c r="AN497" t="s">
        <v>2175</v>
      </c>
      <c r="AO497" t="s">
        <v>2175</v>
      </c>
      <c r="AP497" t="s">
        <v>2175</v>
      </c>
      <c r="AQ497">
        <v>114.45</v>
      </c>
      <c r="AR497">
        <v>3</v>
      </c>
      <c r="AS497">
        <v>3</v>
      </c>
      <c r="AT497">
        <v>3</v>
      </c>
      <c r="AU497">
        <v>3</v>
      </c>
      <c r="AV497">
        <v>3</v>
      </c>
      <c r="AW497">
        <v>4.5</v>
      </c>
      <c r="AY497">
        <v>4.5</v>
      </c>
      <c r="AZ497">
        <v>3</v>
      </c>
      <c r="BA497">
        <v>3</v>
      </c>
      <c r="BB497">
        <v>35</v>
      </c>
      <c r="BC497">
        <v>25</v>
      </c>
      <c r="BD497">
        <v>30.64</v>
      </c>
      <c r="BE497">
        <v>142</v>
      </c>
      <c r="BF497">
        <v>87.5</v>
      </c>
      <c r="BG497">
        <v>35</v>
      </c>
      <c r="BH497">
        <v>25</v>
      </c>
      <c r="BI497">
        <v>30.64</v>
      </c>
      <c r="BJ497">
        <v>142</v>
      </c>
      <c r="BK497">
        <v>87.5</v>
      </c>
      <c r="BL497">
        <v>142</v>
      </c>
      <c r="BM497">
        <v>10.4427</v>
      </c>
    </row>
    <row r="498" spans="1:65" x14ac:dyDescent="0.25">
      <c r="A498" t="s">
        <v>561</v>
      </c>
      <c r="B498" t="s">
        <v>1543</v>
      </c>
      <c r="C498" t="s">
        <v>2160</v>
      </c>
      <c r="D498" s="1">
        <v>45556</v>
      </c>
      <c r="E498" s="1">
        <v>45580</v>
      </c>
      <c r="F498" s="1">
        <v>45618</v>
      </c>
      <c r="G498" t="s">
        <v>2162</v>
      </c>
      <c r="I498" t="s">
        <v>2175</v>
      </c>
      <c r="J498">
        <v>13093</v>
      </c>
      <c r="K498">
        <v>392</v>
      </c>
      <c r="L498">
        <v>5.4</v>
      </c>
      <c r="M498">
        <v>14.5</v>
      </c>
      <c r="N498">
        <v>8</v>
      </c>
      <c r="O498">
        <v>14179</v>
      </c>
      <c r="P498" t="s">
        <v>2178</v>
      </c>
      <c r="Q498">
        <v>7</v>
      </c>
      <c r="R498">
        <v>12</v>
      </c>
      <c r="S498">
        <v>13</v>
      </c>
      <c r="T498">
        <v>409</v>
      </c>
      <c r="U498" t="s">
        <v>2162</v>
      </c>
      <c r="W498" t="s">
        <v>2208</v>
      </c>
      <c r="X498" t="s">
        <v>2210</v>
      </c>
      <c r="Y498" t="s">
        <v>2212</v>
      </c>
      <c r="Z498" s="1">
        <v>45612</v>
      </c>
      <c r="AA498" s="1">
        <v>45630</v>
      </c>
      <c r="AB498" t="s">
        <v>2215</v>
      </c>
      <c r="AC498" t="s">
        <v>2208</v>
      </c>
      <c r="AD498" t="s">
        <v>2216</v>
      </c>
      <c r="AE498" t="s">
        <v>2162</v>
      </c>
      <c r="AG498" t="s">
        <v>2220</v>
      </c>
      <c r="AH498">
        <v>32</v>
      </c>
      <c r="AI498">
        <v>50</v>
      </c>
      <c r="AJ498">
        <v>18</v>
      </c>
      <c r="AK498">
        <v>10</v>
      </c>
      <c r="AL498" t="s">
        <v>2230</v>
      </c>
      <c r="AM498">
        <v>1</v>
      </c>
      <c r="AN498" t="s">
        <v>2177</v>
      </c>
      <c r="AO498" t="s">
        <v>2175</v>
      </c>
      <c r="AP498" t="s">
        <v>2177</v>
      </c>
      <c r="AQ498">
        <v>78.300000000000011</v>
      </c>
      <c r="AR498">
        <v>3</v>
      </c>
      <c r="AS498">
        <v>2</v>
      </c>
      <c r="AT498">
        <v>3</v>
      </c>
      <c r="AU498">
        <v>2</v>
      </c>
      <c r="AV498">
        <v>2.333333333333333</v>
      </c>
      <c r="AW498">
        <v>4.2</v>
      </c>
      <c r="AY498">
        <v>4.2</v>
      </c>
      <c r="AZ498">
        <v>1</v>
      </c>
      <c r="BA498">
        <v>3</v>
      </c>
      <c r="BB498">
        <v>25</v>
      </c>
      <c r="BC498">
        <v>27</v>
      </c>
      <c r="BD498">
        <v>21.89</v>
      </c>
      <c r="BE498">
        <v>108</v>
      </c>
      <c r="BF498">
        <v>87.6</v>
      </c>
      <c r="BG498">
        <v>25</v>
      </c>
      <c r="BH498">
        <v>27</v>
      </c>
      <c r="BI498">
        <v>21.89</v>
      </c>
      <c r="BJ498">
        <v>108</v>
      </c>
      <c r="BK498">
        <v>87.6</v>
      </c>
      <c r="BL498">
        <v>108</v>
      </c>
      <c r="BM498">
        <v>4.4885000000000002</v>
      </c>
    </row>
    <row r="499" spans="1:65" x14ac:dyDescent="0.25">
      <c r="A499" t="s">
        <v>562</v>
      </c>
      <c r="B499" t="s">
        <v>1544</v>
      </c>
      <c r="C499" t="s">
        <v>2158</v>
      </c>
      <c r="D499" s="1">
        <v>45561</v>
      </c>
      <c r="E499" s="1">
        <v>45605</v>
      </c>
      <c r="F499" s="1">
        <v>45655</v>
      </c>
      <c r="G499" t="s">
        <v>2164</v>
      </c>
      <c r="I499" t="s">
        <v>2175</v>
      </c>
      <c r="J499">
        <v>17424</v>
      </c>
      <c r="K499">
        <v>522</v>
      </c>
      <c r="L499">
        <v>13.5</v>
      </c>
      <c r="M499">
        <v>9.8000000000000007</v>
      </c>
      <c r="N499">
        <v>8</v>
      </c>
      <c r="O499">
        <v>12255</v>
      </c>
      <c r="P499" t="s">
        <v>2178</v>
      </c>
      <c r="Q499">
        <v>12</v>
      </c>
      <c r="R499">
        <v>15</v>
      </c>
      <c r="S499">
        <v>12</v>
      </c>
      <c r="T499">
        <v>446</v>
      </c>
      <c r="U499" t="s">
        <v>2164</v>
      </c>
      <c r="W499" t="s">
        <v>2208</v>
      </c>
      <c r="X499" t="s">
        <v>2210</v>
      </c>
      <c r="Y499" t="s">
        <v>2212</v>
      </c>
      <c r="Z499" s="1">
        <v>45644</v>
      </c>
      <c r="AA499" s="1">
        <v>45667</v>
      </c>
      <c r="AB499" t="s">
        <v>2215</v>
      </c>
      <c r="AC499" t="s">
        <v>2208</v>
      </c>
      <c r="AD499" t="s">
        <v>2216</v>
      </c>
      <c r="AE499" t="s">
        <v>2164</v>
      </c>
      <c r="AG499" t="s">
        <v>2220</v>
      </c>
      <c r="AH499">
        <v>39</v>
      </c>
      <c r="AI499">
        <v>62</v>
      </c>
      <c r="AJ499">
        <v>23</v>
      </c>
      <c r="AK499">
        <v>11</v>
      </c>
      <c r="AL499" t="s">
        <v>2231</v>
      </c>
      <c r="AM499">
        <v>1</v>
      </c>
      <c r="AN499" t="s">
        <v>2177</v>
      </c>
      <c r="AO499" t="s">
        <v>2175</v>
      </c>
      <c r="AP499" t="s">
        <v>2177</v>
      </c>
      <c r="AQ499">
        <v>132.30000000000001</v>
      </c>
      <c r="AR499">
        <v>3</v>
      </c>
      <c r="AS499">
        <v>2</v>
      </c>
      <c r="AT499">
        <v>3</v>
      </c>
      <c r="AU499">
        <v>2</v>
      </c>
      <c r="AV499">
        <v>2.333333333333333</v>
      </c>
      <c r="AW499">
        <v>4.5</v>
      </c>
      <c r="AY499">
        <v>4.5</v>
      </c>
      <c r="AZ499">
        <v>2</v>
      </c>
      <c r="BA499">
        <v>3</v>
      </c>
      <c r="BB499">
        <v>35</v>
      </c>
      <c r="BC499">
        <v>25</v>
      </c>
      <c r="BD499">
        <v>30.64</v>
      </c>
      <c r="BE499">
        <v>142</v>
      </c>
      <c r="BF499">
        <v>87.5</v>
      </c>
      <c r="BG499">
        <v>35</v>
      </c>
      <c r="BH499">
        <v>25</v>
      </c>
      <c r="BI499">
        <v>30.64</v>
      </c>
      <c r="BJ499">
        <v>142</v>
      </c>
      <c r="BK499">
        <v>87.5</v>
      </c>
      <c r="BL499">
        <v>142</v>
      </c>
      <c r="BM499">
        <v>4.9067999999999996</v>
      </c>
    </row>
    <row r="500" spans="1:65" x14ac:dyDescent="0.25">
      <c r="A500" t="s">
        <v>563</v>
      </c>
      <c r="B500" t="s">
        <v>1545</v>
      </c>
      <c r="C500" t="s">
        <v>2159</v>
      </c>
      <c r="D500" s="1">
        <v>45558</v>
      </c>
      <c r="E500" s="1">
        <v>45580</v>
      </c>
      <c r="F500" s="1">
        <v>45622</v>
      </c>
      <c r="G500" t="s">
        <v>2161</v>
      </c>
      <c r="I500" t="s">
        <v>2173</v>
      </c>
      <c r="J500">
        <v>13380</v>
      </c>
      <c r="K500">
        <v>401</v>
      </c>
      <c r="L500">
        <v>5.2</v>
      </c>
      <c r="M500">
        <v>15.4</v>
      </c>
      <c r="N500">
        <v>5</v>
      </c>
      <c r="O500">
        <v>15655</v>
      </c>
      <c r="P500" t="s">
        <v>2178</v>
      </c>
      <c r="Q500">
        <v>7</v>
      </c>
      <c r="R500">
        <v>10</v>
      </c>
      <c r="S500">
        <v>11</v>
      </c>
      <c r="T500">
        <v>477</v>
      </c>
      <c r="U500" t="s">
        <v>2161</v>
      </c>
      <c r="W500" t="s">
        <v>2208</v>
      </c>
      <c r="X500" t="s">
        <v>2210</v>
      </c>
      <c r="Y500" t="s">
        <v>2212</v>
      </c>
      <c r="Z500" s="1">
        <v>45608</v>
      </c>
      <c r="AA500" s="1">
        <v>45632</v>
      </c>
      <c r="AB500" t="s">
        <v>2214</v>
      </c>
      <c r="AC500" t="s">
        <v>2209</v>
      </c>
      <c r="AD500" t="s">
        <v>2216</v>
      </c>
      <c r="AE500" t="s">
        <v>2161</v>
      </c>
      <c r="AG500" t="s">
        <v>2220</v>
      </c>
      <c r="AH500">
        <v>28</v>
      </c>
      <c r="AI500">
        <v>52</v>
      </c>
      <c r="AJ500">
        <v>24</v>
      </c>
      <c r="AK500">
        <v>10</v>
      </c>
      <c r="AL500" t="s">
        <v>2230</v>
      </c>
      <c r="AM500">
        <v>1</v>
      </c>
      <c r="AN500" t="s">
        <v>2175</v>
      </c>
      <c r="AO500" t="s">
        <v>2177</v>
      </c>
      <c r="AP500" t="s">
        <v>2175</v>
      </c>
      <c r="AQ500">
        <v>80.08</v>
      </c>
      <c r="AR500">
        <v>3</v>
      </c>
      <c r="AS500">
        <v>3</v>
      </c>
      <c r="AT500">
        <v>2</v>
      </c>
      <c r="AU500">
        <v>3</v>
      </c>
      <c r="AV500">
        <v>2.666666666666667</v>
      </c>
      <c r="AW500">
        <v>4.3</v>
      </c>
      <c r="AY500">
        <v>4.3</v>
      </c>
      <c r="AZ500">
        <v>0</v>
      </c>
      <c r="BA500">
        <v>2</v>
      </c>
      <c r="BB500">
        <v>34</v>
      </c>
      <c r="BC500">
        <v>27</v>
      </c>
      <c r="BD500">
        <v>29.93</v>
      </c>
      <c r="BE500">
        <v>149</v>
      </c>
      <c r="BF500">
        <v>88</v>
      </c>
      <c r="BG500">
        <v>34</v>
      </c>
      <c r="BH500">
        <v>27</v>
      </c>
      <c r="BI500">
        <v>29.93</v>
      </c>
      <c r="BJ500">
        <v>149</v>
      </c>
      <c r="BK500">
        <v>88</v>
      </c>
      <c r="BL500">
        <v>149</v>
      </c>
      <c r="BM500">
        <v>3.3250000000000002</v>
      </c>
    </row>
    <row r="501" spans="1:65" x14ac:dyDescent="0.25">
      <c r="A501" t="s">
        <v>564</v>
      </c>
      <c r="B501" t="s">
        <v>1546</v>
      </c>
      <c r="C501" t="s">
        <v>2157</v>
      </c>
      <c r="D501" s="1">
        <v>45606</v>
      </c>
      <c r="E501" s="1">
        <v>45627</v>
      </c>
      <c r="F501" s="1">
        <v>45656</v>
      </c>
      <c r="G501" t="s">
        <v>2162</v>
      </c>
      <c r="I501" t="s">
        <v>2173</v>
      </c>
      <c r="J501">
        <v>10526</v>
      </c>
      <c r="K501">
        <v>315</v>
      </c>
      <c r="L501">
        <v>8.1999999999999993</v>
      </c>
      <c r="M501">
        <v>12.3</v>
      </c>
      <c r="N501">
        <v>5</v>
      </c>
      <c r="O501">
        <v>17099</v>
      </c>
      <c r="P501" t="s">
        <v>2178</v>
      </c>
      <c r="Q501">
        <v>5</v>
      </c>
      <c r="R501">
        <v>6</v>
      </c>
      <c r="S501">
        <v>12</v>
      </c>
      <c r="T501">
        <v>457</v>
      </c>
      <c r="U501" t="s">
        <v>2162</v>
      </c>
      <c r="W501" t="s">
        <v>2208</v>
      </c>
      <c r="X501" t="s">
        <v>2210</v>
      </c>
      <c r="Y501" t="s">
        <v>2212</v>
      </c>
      <c r="Z501" s="1">
        <v>45650</v>
      </c>
      <c r="AA501" s="1">
        <v>45668</v>
      </c>
      <c r="AB501" t="s">
        <v>2215</v>
      </c>
      <c r="AC501" t="s">
        <v>2208</v>
      </c>
      <c r="AD501" t="s">
        <v>2216</v>
      </c>
      <c r="AE501" t="s">
        <v>2162</v>
      </c>
      <c r="AG501" t="s">
        <v>2220</v>
      </c>
      <c r="AH501">
        <v>23</v>
      </c>
      <c r="AI501">
        <v>41</v>
      </c>
      <c r="AJ501">
        <v>18</v>
      </c>
      <c r="AK501">
        <v>12</v>
      </c>
      <c r="AL501" t="s">
        <v>2229</v>
      </c>
      <c r="AM501">
        <v>1</v>
      </c>
      <c r="AN501" t="s">
        <v>2177</v>
      </c>
      <c r="AO501" t="s">
        <v>2177</v>
      </c>
      <c r="AP501" t="s">
        <v>2175</v>
      </c>
      <c r="AQ501">
        <v>100.86</v>
      </c>
      <c r="AR501">
        <v>3</v>
      </c>
      <c r="AS501">
        <v>2</v>
      </c>
      <c r="AT501">
        <v>2</v>
      </c>
      <c r="AU501">
        <v>3</v>
      </c>
      <c r="AV501">
        <v>2.333333333333333</v>
      </c>
      <c r="AW501">
        <v>4.2</v>
      </c>
      <c r="AY501">
        <v>4.2</v>
      </c>
      <c r="AZ501">
        <v>3</v>
      </c>
      <c r="BA501">
        <v>2</v>
      </c>
      <c r="BB501">
        <v>26</v>
      </c>
      <c r="BC501">
        <v>27</v>
      </c>
      <c r="BD501">
        <v>23.04</v>
      </c>
      <c r="BE501">
        <v>110</v>
      </c>
      <c r="BF501">
        <v>88.6</v>
      </c>
      <c r="BG501">
        <v>26</v>
      </c>
      <c r="BH501">
        <v>27</v>
      </c>
      <c r="BI501">
        <v>23.04</v>
      </c>
      <c r="BJ501">
        <v>110</v>
      </c>
      <c r="BK501">
        <v>88.6</v>
      </c>
      <c r="BL501">
        <v>110</v>
      </c>
      <c r="BM501">
        <v>3.5428999999999999</v>
      </c>
    </row>
    <row r="502" spans="1:65" x14ac:dyDescent="0.25">
      <c r="A502" t="s">
        <v>565</v>
      </c>
      <c r="B502" t="s">
        <v>1547</v>
      </c>
      <c r="C502" t="s">
        <v>2157</v>
      </c>
      <c r="D502" s="1">
        <v>45540</v>
      </c>
      <c r="E502" s="1">
        <v>45597</v>
      </c>
      <c r="F502" s="1">
        <v>45698</v>
      </c>
      <c r="G502" t="s">
        <v>2164</v>
      </c>
      <c r="I502" t="s">
        <v>2173</v>
      </c>
      <c r="J502">
        <v>39759</v>
      </c>
      <c r="K502">
        <v>1192</v>
      </c>
      <c r="L502">
        <v>11.2</v>
      </c>
      <c r="M502">
        <v>12.8</v>
      </c>
      <c r="N502">
        <v>7</v>
      </c>
      <c r="O502">
        <v>15420</v>
      </c>
      <c r="P502" t="s">
        <v>2178</v>
      </c>
      <c r="Q502">
        <v>20</v>
      </c>
      <c r="R502">
        <v>24</v>
      </c>
      <c r="S502">
        <v>45</v>
      </c>
      <c r="T502">
        <v>446</v>
      </c>
      <c r="U502" t="s">
        <v>2164</v>
      </c>
      <c r="W502" t="s">
        <v>2208</v>
      </c>
      <c r="X502" t="s">
        <v>2210</v>
      </c>
      <c r="Y502" t="s">
        <v>2212</v>
      </c>
      <c r="Z502" s="1">
        <v>45686</v>
      </c>
      <c r="AA502" s="1">
        <v>45707</v>
      </c>
      <c r="AB502" t="s">
        <v>2215</v>
      </c>
      <c r="AC502" t="s">
        <v>2208</v>
      </c>
      <c r="AD502" t="s">
        <v>2216</v>
      </c>
      <c r="AE502" t="s">
        <v>2164</v>
      </c>
      <c r="AG502" t="s">
        <v>2220</v>
      </c>
      <c r="AH502">
        <v>89</v>
      </c>
      <c r="AI502">
        <v>110</v>
      </c>
      <c r="AJ502">
        <v>21</v>
      </c>
      <c r="AK502">
        <v>11</v>
      </c>
      <c r="AL502" t="s">
        <v>2231</v>
      </c>
      <c r="AM502">
        <v>1</v>
      </c>
      <c r="AN502" t="s">
        <v>2175</v>
      </c>
      <c r="AO502" t="s">
        <v>2175</v>
      </c>
      <c r="AP502" t="s">
        <v>2175</v>
      </c>
      <c r="AQ502">
        <v>143.36000000000001</v>
      </c>
      <c r="AR502">
        <v>3</v>
      </c>
      <c r="AS502">
        <v>3</v>
      </c>
      <c r="AT502">
        <v>3</v>
      </c>
      <c r="AU502">
        <v>3</v>
      </c>
      <c r="AV502">
        <v>3</v>
      </c>
      <c r="AW502">
        <v>4.5</v>
      </c>
      <c r="AY502">
        <v>4.5</v>
      </c>
      <c r="AZ502">
        <v>3</v>
      </c>
      <c r="BA502">
        <v>2</v>
      </c>
      <c r="BB502">
        <v>35</v>
      </c>
      <c r="BC502">
        <v>25</v>
      </c>
      <c r="BD502">
        <v>30.64</v>
      </c>
      <c r="BE502">
        <v>142</v>
      </c>
      <c r="BF502">
        <v>87.5</v>
      </c>
      <c r="BG502">
        <v>35</v>
      </c>
      <c r="BH502">
        <v>25</v>
      </c>
      <c r="BI502">
        <v>30.64</v>
      </c>
      <c r="BJ502">
        <v>142</v>
      </c>
      <c r="BK502">
        <v>87.5</v>
      </c>
      <c r="BL502">
        <v>142</v>
      </c>
      <c r="BM502">
        <v>11.1966</v>
      </c>
    </row>
    <row r="503" spans="1:65" x14ac:dyDescent="0.25">
      <c r="A503" t="s">
        <v>566</v>
      </c>
      <c r="B503" t="s">
        <v>1548</v>
      </c>
      <c r="C503" t="s">
        <v>2159</v>
      </c>
      <c r="D503" s="1">
        <v>45547</v>
      </c>
      <c r="E503" s="1">
        <v>45599</v>
      </c>
      <c r="F503" s="1">
        <v>45691</v>
      </c>
      <c r="G503" t="s">
        <v>2164</v>
      </c>
      <c r="I503" t="s">
        <v>2173</v>
      </c>
      <c r="J503">
        <v>42981</v>
      </c>
      <c r="K503">
        <v>1289</v>
      </c>
      <c r="L503">
        <v>6.9</v>
      </c>
      <c r="M503">
        <v>11.5</v>
      </c>
      <c r="N503">
        <v>8</v>
      </c>
      <c r="O503">
        <v>12720</v>
      </c>
      <c r="P503" t="s">
        <v>2178</v>
      </c>
      <c r="Q503">
        <v>24</v>
      </c>
      <c r="R503">
        <v>32</v>
      </c>
      <c r="S503">
        <v>28</v>
      </c>
      <c r="T503">
        <v>511</v>
      </c>
      <c r="U503" t="s">
        <v>2164</v>
      </c>
      <c r="W503" t="s">
        <v>2208</v>
      </c>
      <c r="X503" t="s">
        <v>2210</v>
      </c>
      <c r="Y503" t="s">
        <v>2212</v>
      </c>
      <c r="Z503" s="1">
        <v>45683</v>
      </c>
      <c r="AA503" s="1">
        <v>45705</v>
      </c>
      <c r="AB503" t="s">
        <v>2215</v>
      </c>
      <c r="AC503" t="s">
        <v>2208</v>
      </c>
      <c r="AD503" t="s">
        <v>2216</v>
      </c>
      <c r="AE503" t="s">
        <v>2164</v>
      </c>
      <c r="AG503" t="s">
        <v>2220</v>
      </c>
      <c r="AH503">
        <v>84</v>
      </c>
      <c r="AI503">
        <v>106</v>
      </c>
      <c r="AJ503">
        <v>22</v>
      </c>
      <c r="AK503">
        <v>11</v>
      </c>
      <c r="AL503" t="s">
        <v>2231</v>
      </c>
      <c r="AM503">
        <v>1</v>
      </c>
      <c r="AN503" t="s">
        <v>2177</v>
      </c>
      <c r="AO503" t="s">
        <v>2175</v>
      </c>
      <c r="AP503" t="s">
        <v>2177</v>
      </c>
      <c r="AQ503">
        <v>79.350000000000009</v>
      </c>
      <c r="AR503">
        <v>3</v>
      </c>
      <c r="AS503">
        <v>2</v>
      </c>
      <c r="AT503">
        <v>3</v>
      </c>
      <c r="AU503">
        <v>2</v>
      </c>
      <c r="AV503">
        <v>2.333333333333333</v>
      </c>
      <c r="AW503">
        <v>4.5</v>
      </c>
      <c r="AY503">
        <v>4.5</v>
      </c>
      <c r="AZ503">
        <v>0</v>
      </c>
      <c r="BA503">
        <v>2</v>
      </c>
      <c r="BB503">
        <v>35</v>
      </c>
      <c r="BC503">
        <v>25</v>
      </c>
      <c r="BD503">
        <v>30.64</v>
      </c>
      <c r="BE503">
        <v>142</v>
      </c>
      <c r="BF503">
        <v>87.5</v>
      </c>
      <c r="BG503">
        <v>35</v>
      </c>
      <c r="BH503">
        <v>25</v>
      </c>
      <c r="BI503">
        <v>30.64</v>
      </c>
      <c r="BJ503">
        <v>142</v>
      </c>
      <c r="BK503">
        <v>87.5</v>
      </c>
      <c r="BL503">
        <v>142</v>
      </c>
      <c r="BM503">
        <v>12.103899999999999</v>
      </c>
    </row>
    <row r="504" spans="1:65" x14ac:dyDescent="0.25">
      <c r="A504" t="s">
        <v>567</v>
      </c>
      <c r="B504" t="s">
        <v>1549</v>
      </c>
      <c r="C504" t="s">
        <v>2160</v>
      </c>
      <c r="D504" s="1">
        <v>45538</v>
      </c>
      <c r="E504" s="1">
        <v>45597</v>
      </c>
      <c r="F504" s="1">
        <v>45687</v>
      </c>
      <c r="G504" t="s">
        <v>2166</v>
      </c>
      <c r="I504" t="s">
        <v>2173</v>
      </c>
      <c r="J504">
        <v>37424</v>
      </c>
      <c r="K504">
        <v>1122</v>
      </c>
      <c r="L504">
        <v>6.7</v>
      </c>
      <c r="M504">
        <v>12.4</v>
      </c>
      <c r="N504">
        <v>6</v>
      </c>
      <c r="O504">
        <v>13041</v>
      </c>
      <c r="P504" t="s">
        <v>2178</v>
      </c>
      <c r="Q504">
        <v>17</v>
      </c>
      <c r="R504">
        <v>20</v>
      </c>
      <c r="S504">
        <v>52</v>
      </c>
      <c r="T504">
        <v>420</v>
      </c>
      <c r="U504" t="s">
        <v>2166</v>
      </c>
      <c r="W504" t="s">
        <v>2208</v>
      </c>
      <c r="X504" t="s">
        <v>2210</v>
      </c>
      <c r="Y504" t="s">
        <v>2212</v>
      </c>
      <c r="Z504" s="1">
        <v>45686</v>
      </c>
      <c r="AA504" s="1">
        <v>45708</v>
      </c>
      <c r="AB504" t="s">
        <v>2215</v>
      </c>
      <c r="AC504" t="s">
        <v>2208</v>
      </c>
      <c r="AD504" t="s">
        <v>2216</v>
      </c>
      <c r="AE504" t="s">
        <v>2166</v>
      </c>
      <c r="AG504" t="s">
        <v>2220</v>
      </c>
      <c r="AH504">
        <v>89</v>
      </c>
      <c r="AI504">
        <v>111</v>
      </c>
      <c r="AJ504">
        <v>22</v>
      </c>
      <c r="AK504">
        <v>11</v>
      </c>
      <c r="AL504" t="s">
        <v>2231</v>
      </c>
      <c r="AM504">
        <v>1</v>
      </c>
      <c r="AN504" t="s">
        <v>2177</v>
      </c>
      <c r="AO504" t="s">
        <v>2177</v>
      </c>
      <c r="AP504" t="s">
        <v>2177</v>
      </c>
      <c r="AQ504">
        <v>83.08</v>
      </c>
      <c r="AR504">
        <v>3</v>
      </c>
      <c r="AS504">
        <v>2</v>
      </c>
      <c r="AT504">
        <v>2</v>
      </c>
      <c r="AU504">
        <v>2</v>
      </c>
      <c r="AV504">
        <v>2</v>
      </c>
      <c r="AW504">
        <v>4.8</v>
      </c>
      <c r="AY504">
        <v>4.8</v>
      </c>
      <c r="AZ504">
        <v>1</v>
      </c>
      <c r="BA504">
        <v>2</v>
      </c>
      <c r="BB504">
        <v>50</v>
      </c>
      <c r="BC504">
        <v>25</v>
      </c>
      <c r="BD504">
        <v>43.92</v>
      </c>
      <c r="BE504">
        <v>212</v>
      </c>
      <c r="BF504">
        <v>87.8</v>
      </c>
      <c r="BG504">
        <v>50</v>
      </c>
      <c r="BH504">
        <v>25</v>
      </c>
      <c r="BI504">
        <v>43.92</v>
      </c>
      <c r="BJ504">
        <v>212</v>
      </c>
      <c r="BK504">
        <v>87.8</v>
      </c>
      <c r="BL504">
        <v>212</v>
      </c>
      <c r="BM504">
        <v>7.0598000000000001</v>
      </c>
    </row>
    <row r="505" spans="1:65" x14ac:dyDescent="0.25">
      <c r="A505" t="s">
        <v>568</v>
      </c>
      <c r="B505" t="s">
        <v>1550</v>
      </c>
      <c r="C505" t="s">
        <v>2158</v>
      </c>
      <c r="D505" s="1">
        <v>45552</v>
      </c>
      <c r="E505" s="1">
        <v>45578</v>
      </c>
      <c r="F505" s="1">
        <v>45741</v>
      </c>
      <c r="G505" t="s">
        <v>2161</v>
      </c>
      <c r="I505" t="s">
        <v>2173</v>
      </c>
      <c r="J505">
        <v>48850</v>
      </c>
      <c r="K505">
        <v>1465</v>
      </c>
      <c r="L505">
        <v>14.2</v>
      </c>
      <c r="M505">
        <v>16.3</v>
      </c>
      <c r="N505">
        <v>8</v>
      </c>
      <c r="O505">
        <v>13389</v>
      </c>
      <c r="P505" t="s">
        <v>2178</v>
      </c>
      <c r="Q505">
        <v>40</v>
      </c>
      <c r="R505">
        <v>70</v>
      </c>
      <c r="S505">
        <v>50</v>
      </c>
      <c r="T505">
        <v>305</v>
      </c>
      <c r="U505" t="s">
        <v>2161</v>
      </c>
      <c r="W505" t="s">
        <v>2208</v>
      </c>
      <c r="X505" t="s">
        <v>2210</v>
      </c>
      <c r="Y505" t="s">
        <v>2212</v>
      </c>
      <c r="Z505" s="1">
        <v>45738</v>
      </c>
      <c r="AA505" s="1">
        <v>45754</v>
      </c>
      <c r="AB505" t="s">
        <v>2215</v>
      </c>
      <c r="AC505" t="s">
        <v>2208</v>
      </c>
      <c r="AD505" t="s">
        <v>2216</v>
      </c>
      <c r="AE505" t="s">
        <v>2161</v>
      </c>
      <c r="AG505" t="s">
        <v>2220</v>
      </c>
      <c r="AH505">
        <v>160</v>
      </c>
      <c r="AI505">
        <v>176</v>
      </c>
      <c r="AJ505">
        <v>16</v>
      </c>
      <c r="AK505">
        <v>10</v>
      </c>
      <c r="AL505" t="s">
        <v>2230</v>
      </c>
      <c r="AM505">
        <v>1</v>
      </c>
      <c r="AN505" t="s">
        <v>2175</v>
      </c>
      <c r="AO505" t="s">
        <v>2175</v>
      </c>
      <c r="AP505" t="s">
        <v>2177</v>
      </c>
      <c r="AQ505">
        <v>231.46</v>
      </c>
      <c r="AR505">
        <v>3</v>
      </c>
      <c r="AS505">
        <v>3</v>
      </c>
      <c r="AT505">
        <v>3</v>
      </c>
      <c r="AU505">
        <v>2</v>
      </c>
      <c r="AV505">
        <v>2.666666666666667</v>
      </c>
      <c r="AW505">
        <v>4.3</v>
      </c>
      <c r="AY505">
        <v>4.3</v>
      </c>
      <c r="AZ505">
        <v>2</v>
      </c>
      <c r="BA505">
        <v>2</v>
      </c>
      <c r="BB505">
        <v>34</v>
      </c>
      <c r="BC505">
        <v>27</v>
      </c>
      <c r="BD505">
        <v>29.93</v>
      </c>
      <c r="BE505">
        <v>149</v>
      </c>
      <c r="BF505">
        <v>88</v>
      </c>
      <c r="BG505">
        <v>34</v>
      </c>
      <c r="BH505">
        <v>27</v>
      </c>
      <c r="BI505">
        <v>29.93</v>
      </c>
      <c r="BJ505">
        <v>149</v>
      </c>
      <c r="BK505">
        <v>88</v>
      </c>
      <c r="BL505">
        <v>149</v>
      </c>
      <c r="BM505">
        <v>12.139699999999999</v>
      </c>
    </row>
    <row r="506" spans="1:65" x14ac:dyDescent="0.25">
      <c r="A506" t="s">
        <v>569</v>
      </c>
      <c r="B506" t="s">
        <v>1551</v>
      </c>
      <c r="C506" t="s">
        <v>2158</v>
      </c>
      <c r="D506" s="1">
        <v>45535</v>
      </c>
      <c r="E506" s="1">
        <v>45573</v>
      </c>
      <c r="F506" s="1">
        <v>45684</v>
      </c>
      <c r="G506" t="s">
        <v>2163</v>
      </c>
      <c r="I506" t="s">
        <v>2173</v>
      </c>
      <c r="J506">
        <v>42975</v>
      </c>
      <c r="K506">
        <v>1289</v>
      </c>
      <c r="L506">
        <v>5.5</v>
      </c>
      <c r="M506">
        <v>7.1</v>
      </c>
      <c r="N506">
        <v>7</v>
      </c>
      <c r="O506">
        <v>17179</v>
      </c>
      <c r="P506" t="s">
        <v>2178</v>
      </c>
      <c r="Q506">
        <v>27</v>
      </c>
      <c r="R506">
        <v>45</v>
      </c>
      <c r="S506">
        <v>42</v>
      </c>
      <c r="T506">
        <v>376</v>
      </c>
      <c r="U506" t="s">
        <v>2163</v>
      </c>
      <c r="W506" t="s">
        <v>2208</v>
      </c>
      <c r="X506" t="s">
        <v>2210</v>
      </c>
      <c r="Y506" t="s">
        <v>2212</v>
      </c>
      <c r="Z506" s="1">
        <v>45687</v>
      </c>
      <c r="AA506" s="1">
        <v>45706</v>
      </c>
      <c r="AB506" t="s">
        <v>2215</v>
      </c>
      <c r="AC506" t="s">
        <v>2208</v>
      </c>
      <c r="AD506" t="s">
        <v>2216</v>
      </c>
      <c r="AE506" t="s">
        <v>2163</v>
      </c>
      <c r="AG506" t="s">
        <v>2220</v>
      </c>
      <c r="AH506">
        <v>114</v>
      </c>
      <c r="AI506">
        <v>133</v>
      </c>
      <c r="AJ506">
        <v>19</v>
      </c>
      <c r="AK506">
        <v>10</v>
      </c>
      <c r="AL506" t="s">
        <v>2230</v>
      </c>
      <c r="AM506">
        <v>1</v>
      </c>
      <c r="AN506" t="s">
        <v>2177</v>
      </c>
      <c r="AO506" t="s">
        <v>2175</v>
      </c>
      <c r="AP506" t="s">
        <v>2175</v>
      </c>
      <c r="AQ506">
        <v>39.049999999999997</v>
      </c>
      <c r="AR506">
        <v>3</v>
      </c>
      <c r="AS506">
        <v>2</v>
      </c>
      <c r="AT506">
        <v>3</v>
      </c>
      <c r="AU506">
        <v>3</v>
      </c>
      <c r="AV506">
        <v>2.666666666666667</v>
      </c>
      <c r="AW506">
        <v>4.4000000000000004</v>
      </c>
      <c r="AY506">
        <v>4.4000000000000004</v>
      </c>
      <c r="AZ506">
        <v>2</v>
      </c>
      <c r="BA506">
        <v>2</v>
      </c>
      <c r="BB506">
        <v>37</v>
      </c>
      <c r="BC506">
        <v>27</v>
      </c>
      <c r="BD506">
        <v>32.81</v>
      </c>
      <c r="BE506">
        <v>165</v>
      </c>
      <c r="BF506">
        <v>88.7</v>
      </c>
      <c r="BG506">
        <v>37</v>
      </c>
      <c r="BH506">
        <v>27</v>
      </c>
      <c r="BI506">
        <v>32.81</v>
      </c>
      <c r="BJ506">
        <v>165</v>
      </c>
      <c r="BK506">
        <v>88.7</v>
      </c>
      <c r="BL506">
        <v>165</v>
      </c>
      <c r="BM506">
        <v>9.6442999999999994</v>
      </c>
    </row>
    <row r="507" spans="1:65" x14ac:dyDescent="0.25">
      <c r="A507" t="s">
        <v>570</v>
      </c>
      <c r="B507" t="s">
        <v>1552</v>
      </c>
      <c r="C507" t="s">
        <v>2158</v>
      </c>
      <c r="D507" s="1">
        <v>45558</v>
      </c>
      <c r="E507" s="1">
        <v>45580</v>
      </c>
      <c r="F507" s="1">
        <v>45622</v>
      </c>
      <c r="G507" t="s">
        <v>2162</v>
      </c>
      <c r="I507" t="s">
        <v>2175</v>
      </c>
      <c r="J507">
        <v>14780</v>
      </c>
      <c r="K507">
        <v>443</v>
      </c>
      <c r="L507">
        <v>7.1</v>
      </c>
      <c r="M507">
        <v>5.3</v>
      </c>
      <c r="N507">
        <v>6</v>
      </c>
      <c r="O507">
        <v>14644</v>
      </c>
      <c r="P507" t="s">
        <v>2178</v>
      </c>
      <c r="Q507">
        <v>7</v>
      </c>
      <c r="R507">
        <v>11</v>
      </c>
      <c r="S507">
        <v>11</v>
      </c>
      <c r="T507">
        <v>509</v>
      </c>
      <c r="U507" t="s">
        <v>2162</v>
      </c>
      <c r="W507" t="s">
        <v>2208</v>
      </c>
      <c r="X507" t="s">
        <v>2210</v>
      </c>
      <c r="Y507" t="s">
        <v>2212</v>
      </c>
      <c r="Z507" s="1">
        <v>45609</v>
      </c>
      <c r="AA507" s="1">
        <v>45629</v>
      </c>
      <c r="AB507" t="s">
        <v>2214</v>
      </c>
      <c r="AC507" t="s">
        <v>2209</v>
      </c>
      <c r="AD507" t="s">
        <v>2216</v>
      </c>
      <c r="AE507" t="s">
        <v>2162</v>
      </c>
      <c r="AG507" t="s">
        <v>2220</v>
      </c>
      <c r="AH507">
        <v>29</v>
      </c>
      <c r="AI507">
        <v>49</v>
      </c>
      <c r="AJ507">
        <v>20</v>
      </c>
      <c r="AK507">
        <v>10</v>
      </c>
      <c r="AL507" t="s">
        <v>2230</v>
      </c>
      <c r="AM507">
        <v>1</v>
      </c>
      <c r="AN507" t="s">
        <v>2177</v>
      </c>
      <c r="AO507" t="s">
        <v>2177</v>
      </c>
      <c r="AP507" t="s">
        <v>2177</v>
      </c>
      <c r="AQ507">
        <v>37.630000000000003</v>
      </c>
      <c r="AR507">
        <v>3</v>
      </c>
      <c r="AS507">
        <v>2</v>
      </c>
      <c r="AT507">
        <v>2</v>
      </c>
      <c r="AU507">
        <v>2</v>
      </c>
      <c r="AV507">
        <v>2</v>
      </c>
      <c r="AW507">
        <v>4.2</v>
      </c>
      <c r="AY507">
        <v>4.2</v>
      </c>
      <c r="AZ507">
        <v>2</v>
      </c>
      <c r="BA507">
        <v>3</v>
      </c>
      <c r="BB507">
        <v>25</v>
      </c>
      <c r="BC507">
        <v>27</v>
      </c>
      <c r="BD507">
        <v>21.89</v>
      </c>
      <c r="BE507">
        <v>108</v>
      </c>
      <c r="BF507">
        <v>87.6</v>
      </c>
      <c r="BG507">
        <v>25</v>
      </c>
      <c r="BH507">
        <v>27</v>
      </c>
      <c r="BI507">
        <v>21.89</v>
      </c>
      <c r="BJ507">
        <v>108</v>
      </c>
      <c r="BK507">
        <v>87.6</v>
      </c>
      <c r="BL507">
        <v>108</v>
      </c>
      <c r="BM507">
        <v>5.0667999999999997</v>
      </c>
    </row>
    <row r="508" spans="1:65" x14ac:dyDescent="0.25">
      <c r="A508" t="s">
        <v>571</v>
      </c>
      <c r="B508" t="s">
        <v>1553</v>
      </c>
      <c r="C508" t="s">
        <v>2157</v>
      </c>
      <c r="D508" s="1">
        <v>45571</v>
      </c>
      <c r="E508" s="1">
        <v>45627</v>
      </c>
      <c r="F508" s="1">
        <v>45669</v>
      </c>
      <c r="G508" t="s">
        <v>2165</v>
      </c>
      <c r="I508" t="s">
        <v>2175</v>
      </c>
      <c r="J508">
        <v>18946</v>
      </c>
      <c r="K508">
        <v>568</v>
      </c>
      <c r="L508">
        <v>15.9</v>
      </c>
      <c r="M508">
        <v>7.3</v>
      </c>
      <c r="N508">
        <v>7</v>
      </c>
      <c r="O508">
        <v>10956</v>
      </c>
      <c r="P508" t="s">
        <v>2178</v>
      </c>
      <c r="Q508">
        <v>11</v>
      </c>
      <c r="R508">
        <v>13</v>
      </c>
      <c r="S508">
        <v>23</v>
      </c>
      <c r="T508">
        <v>403</v>
      </c>
      <c r="U508" t="s">
        <v>2165</v>
      </c>
      <c r="W508" t="s">
        <v>2208</v>
      </c>
      <c r="X508" t="s">
        <v>2210</v>
      </c>
      <c r="Y508" t="s">
        <v>2212</v>
      </c>
      <c r="Z508" s="1">
        <v>45674</v>
      </c>
      <c r="AA508" s="1">
        <v>45694</v>
      </c>
      <c r="AB508" t="s">
        <v>2215</v>
      </c>
      <c r="AC508" t="s">
        <v>2208</v>
      </c>
      <c r="AD508" t="s">
        <v>2216</v>
      </c>
      <c r="AE508" t="s">
        <v>2165</v>
      </c>
      <c r="AG508" t="s">
        <v>2220</v>
      </c>
      <c r="AH508">
        <v>47</v>
      </c>
      <c r="AI508">
        <v>67</v>
      </c>
      <c r="AJ508">
        <v>20</v>
      </c>
      <c r="AK508">
        <v>12</v>
      </c>
      <c r="AL508" t="s">
        <v>2229</v>
      </c>
      <c r="AM508">
        <v>1</v>
      </c>
      <c r="AN508" t="s">
        <v>2175</v>
      </c>
      <c r="AO508" t="s">
        <v>2175</v>
      </c>
      <c r="AP508" t="s">
        <v>2177</v>
      </c>
      <c r="AQ508">
        <v>116.07</v>
      </c>
      <c r="AR508">
        <v>3</v>
      </c>
      <c r="AS508">
        <v>3</v>
      </c>
      <c r="AT508">
        <v>3</v>
      </c>
      <c r="AU508">
        <v>2</v>
      </c>
      <c r="AV508">
        <v>2.666666666666667</v>
      </c>
      <c r="AW508">
        <v>4.5999999999999996</v>
      </c>
      <c r="AY508">
        <v>4.5999999999999996</v>
      </c>
      <c r="AZ508">
        <v>3</v>
      </c>
      <c r="BA508">
        <v>3</v>
      </c>
      <c r="BB508">
        <v>36</v>
      </c>
      <c r="BC508">
        <v>27</v>
      </c>
      <c r="BD508">
        <v>31.41</v>
      </c>
      <c r="BE508">
        <v>155</v>
      </c>
      <c r="BF508">
        <v>87.2</v>
      </c>
      <c r="BG508">
        <v>36</v>
      </c>
      <c r="BH508">
        <v>27</v>
      </c>
      <c r="BI508">
        <v>31.41</v>
      </c>
      <c r="BJ508">
        <v>155</v>
      </c>
      <c r="BK508">
        <v>87.2</v>
      </c>
      <c r="BL508">
        <v>155</v>
      </c>
      <c r="BM508">
        <v>4.5259999999999998</v>
      </c>
    </row>
    <row r="509" spans="1:65" x14ac:dyDescent="0.25">
      <c r="A509" t="s">
        <v>572</v>
      </c>
      <c r="B509" t="s">
        <v>1554</v>
      </c>
      <c r="C509" t="s">
        <v>2157</v>
      </c>
      <c r="D509" s="1">
        <v>45584</v>
      </c>
      <c r="E509" s="1">
        <v>45615</v>
      </c>
      <c r="F509" s="1">
        <v>45690</v>
      </c>
      <c r="G509" t="s">
        <v>2163</v>
      </c>
      <c r="I509" t="s">
        <v>2175</v>
      </c>
      <c r="J509">
        <v>35963</v>
      </c>
      <c r="K509">
        <v>1078</v>
      </c>
      <c r="L509">
        <v>12.5</v>
      </c>
      <c r="M509">
        <v>10.7</v>
      </c>
      <c r="N509">
        <v>6</v>
      </c>
      <c r="O509">
        <v>15631</v>
      </c>
      <c r="P509" t="s">
        <v>2178</v>
      </c>
      <c r="Q509">
        <v>16</v>
      </c>
      <c r="R509">
        <v>19</v>
      </c>
      <c r="S509">
        <v>27</v>
      </c>
      <c r="T509">
        <v>580</v>
      </c>
      <c r="U509" t="s">
        <v>2163</v>
      </c>
      <c r="W509" t="s">
        <v>2208</v>
      </c>
      <c r="X509" t="s">
        <v>2210</v>
      </c>
      <c r="Y509" t="s">
        <v>2212</v>
      </c>
      <c r="Z509" s="1">
        <v>45677</v>
      </c>
      <c r="AA509" s="1">
        <v>45693</v>
      </c>
      <c r="AB509" t="s">
        <v>2214</v>
      </c>
      <c r="AC509" t="s">
        <v>2209</v>
      </c>
      <c r="AD509" t="s">
        <v>2216</v>
      </c>
      <c r="AE509" t="s">
        <v>2163</v>
      </c>
      <c r="AG509" t="s">
        <v>2220</v>
      </c>
      <c r="AH509">
        <v>62</v>
      </c>
      <c r="AI509">
        <v>78</v>
      </c>
      <c r="AJ509">
        <v>16</v>
      </c>
      <c r="AK509">
        <v>11</v>
      </c>
      <c r="AL509" t="s">
        <v>2231</v>
      </c>
      <c r="AM509">
        <v>1</v>
      </c>
      <c r="AN509" t="s">
        <v>2175</v>
      </c>
      <c r="AO509" t="s">
        <v>2177</v>
      </c>
      <c r="AP509" t="s">
        <v>2175</v>
      </c>
      <c r="AQ509">
        <v>133.75</v>
      </c>
      <c r="AR509">
        <v>3</v>
      </c>
      <c r="AS509">
        <v>3</v>
      </c>
      <c r="AT509">
        <v>2</v>
      </c>
      <c r="AU509">
        <v>3</v>
      </c>
      <c r="AV509">
        <v>2.666666666666667</v>
      </c>
      <c r="AW509">
        <v>4.4000000000000004</v>
      </c>
      <c r="AY509">
        <v>4.4000000000000004</v>
      </c>
      <c r="AZ509">
        <v>3</v>
      </c>
      <c r="BA509">
        <v>3</v>
      </c>
      <c r="BB509">
        <v>39</v>
      </c>
      <c r="BC509">
        <v>25</v>
      </c>
      <c r="BD509">
        <v>34.08</v>
      </c>
      <c r="BE509">
        <v>161</v>
      </c>
      <c r="BF509">
        <v>87.4</v>
      </c>
      <c r="BG509">
        <v>39</v>
      </c>
      <c r="BH509">
        <v>25</v>
      </c>
      <c r="BI509">
        <v>34.08</v>
      </c>
      <c r="BJ509">
        <v>161</v>
      </c>
      <c r="BK509">
        <v>87.4</v>
      </c>
      <c r="BL509">
        <v>161</v>
      </c>
      <c r="BM509">
        <v>8.9327000000000005</v>
      </c>
    </row>
    <row r="510" spans="1:65" x14ac:dyDescent="0.25">
      <c r="A510" t="s">
        <v>573</v>
      </c>
      <c r="B510" t="s">
        <v>1555</v>
      </c>
      <c r="C510" t="s">
        <v>2158</v>
      </c>
      <c r="D510" s="1">
        <v>45557</v>
      </c>
      <c r="E510" s="1">
        <v>45613</v>
      </c>
      <c r="F510" s="1">
        <v>45692</v>
      </c>
      <c r="G510" t="s">
        <v>2161</v>
      </c>
      <c r="I510" t="s">
        <v>2173</v>
      </c>
      <c r="J510">
        <v>43297</v>
      </c>
      <c r="K510">
        <v>1298</v>
      </c>
      <c r="L510">
        <v>10.3</v>
      </c>
      <c r="M510">
        <v>12.8</v>
      </c>
      <c r="N510">
        <v>8</v>
      </c>
      <c r="O510">
        <v>10525</v>
      </c>
      <c r="P510" t="s">
        <v>2178</v>
      </c>
      <c r="Q510">
        <v>20</v>
      </c>
      <c r="R510">
        <v>26</v>
      </c>
      <c r="S510">
        <v>31</v>
      </c>
      <c r="T510">
        <v>562</v>
      </c>
      <c r="U510" t="s">
        <v>2161</v>
      </c>
      <c r="W510" t="s">
        <v>2208</v>
      </c>
      <c r="X510" t="s">
        <v>2210</v>
      </c>
      <c r="Y510" t="s">
        <v>2212</v>
      </c>
      <c r="Z510" s="1">
        <v>45690</v>
      </c>
      <c r="AA510" s="1">
        <v>45704</v>
      </c>
      <c r="AB510" t="s">
        <v>2215</v>
      </c>
      <c r="AC510" t="s">
        <v>2208</v>
      </c>
      <c r="AD510" t="s">
        <v>2216</v>
      </c>
      <c r="AE510" t="s">
        <v>2161</v>
      </c>
      <c r="AG510" t="s">
        <v>2220</v>
      </c>
      <c r="AH510">
        <v>77</v>
      </c>
      <c r="AI510">
        <v>91</v>
      </c>
      <c r="AJ510">
        <v>14</v>
      </c>
      <c r="AK510">
        <v>11</v>
      </c>
      <c r="AL510" t="s">
        <v>2231</v>
      </c>
      <c r="AM510">
        <v>1</v>
      </c>
      <c r="AN510" t="s">
        <v>2175</v>
      </c>
      <c r="AO510" t="s">
        <v>2175</v>
      </c>
      <c r="AP510" t="s">
        <v>2177</v>
      </c>
      <c r="AQ510">
        <v>131.84</v>
      </c>
      <c r="AR510">
        <v>3</v>
      </c>
      <c r="AS510">
        <v>3</v>
      </c>
      <c r="AT510">
        <v>3</v>
      </c>
      <c r="AU510">
        <v>2</v>
      </c>
      <c r="AV510">
        <v>2.666666666666667</v>
      </c>
      <c r="AW510">
        <v>4.3</v>
      </c>
      <c r="AY510">
        <v>4.3</v>
      </c>
      <c r="AZ510">
        <v>2</v>
      </c>
      <c r="BA510">
        <v>2</v>
      </c>
      <c r="BB510">
        <v>32</v>
      </c>
      <c r="BC510">
        <v>25</v>
      </c>
      <c r="BD510">
        <v>28.56</v>
      </c>
      <c r="BE510">
        <v>134</v>
      </c>
      <c r="BF510">
        <v>89.2</v>
      </c>
      <c r="BG510">
        <v>32</v>
      </c>
      <c r="BH510">
        <v>25</v>
      </c>
      <c r="BI510">
        <v>28.56</v>
      </c>
      <c r="BJ510">
        <v>134</v>
      </c>
      <c r="BK510">
        <v>89.2</v>
      </c>
      <c r="BL510">
        <v>134</v>
      </c>
      <c r="BM510">
        <v>12.9206</v>
      </c>
    </row>
    <row r="511" spans="1:65" x14ac:dyDescent="0.25">
      <c r="A511" t="s">
        <v>574</v>
      </c>
      <c r="B511" t="s">
        <v>1556</v>
      </c>
      <c r="C511" t="s">
        <v>2159</v>
      </c>
      <c r="D511" s="1">
        <v>45583</v>
      </c>
      <c r="E511" s="1">
        <v>45603</v>
      </c>
      <c r="F511" s="1">
        <v>45640</v>
      </c>
      <c r="G511" t="s">
        <v>2162</v>
      </c>
      <c r="I511" t="s">
        <v>2175</v>
      </c>
      <c r="J511">
        <v>14648</v>
      </c>
      <c r="K511">
        <v>439</v>
      </c>
      <c r="L511">
        <v>6.2</v>
      </c>
      <c r="M511">
        <v>13.5</v>
      </c>
      <c r="N511">
        <v>5</v>
      </c>
      <c r="O511">
        <v>18219</v>
      </c>
      <c r="P511" t="s">
        <v>2178</v>
      </c>
      <c r="Q511">
        <v>8</v>
      </c>
      <c r="R511">
        <v>12</v>
      </c>
      <c r="S511">
        <v>21</v>
      </c>
      <c r="T511">
        <v>357</v>
      </c>
      <c r="U511" t="s">
        <v>2162</v>
      </c>
      <c r="W511" t="s">
        <v>2208</v>
      </c>
      <c r="X511" t="s">
        <v>2210</v>
      </c>
      <c r="Y511" t="s">
        <v>2212</v>
      </c>
      <c r="Z511" s="1">
        <v>45644</v>
      </c>
      <c r="AA511" s="1">
        <v>45658</v>
      </c>
      <c r="AB511" t="s">
        <v>2215</v>
      </c>
      <c r="AC511" t="s">
        <v>2208</v>
      </c>
      <c r="AD511" t="s">
        <v>2216</v>
      </c>
      <c r="AE511" t="s">
        <v>2162</v>
      </c>
      <c r="AG511" t="s">
        <v>2220</v>
      </c>
      <c r="AH511">
        <v>41</v>
      </c>
      <c r="AI511">
        <v>55</v>
      </c>
      <c r="AJ511">
        <v>14</v>
      </c>
      <c r="AK511">
        <v>11</v>
      </c>
      <c r="AL511" t="s">
        <v>2231</v>
      </c>
      <c r="AM511">
        <v>1</v>
      </c>
      <c r="AN511" t="s">
        <v>2177</v>
      </c>
      <c r="AO511" t="s">
        <v>2177</v>
      </c>
      <c r="AP511" t="s">
        <v>2175</v>
      </c>
      <c r="AQ511">
        <v>83.7</v>
      </c>
      <c r="AR511">
        <v>3</v>
      </c>
      <c r="AS511">
        <v>2</v>
      </c>
      <c r="AT511">
        <v>2</v>
      </c>
      <c r="AU511">
        <v>3</v>
      </c>
      <c r="AV511">
        <v>2.333333333333333</v>
      </c>
      <c r="AW511">
        <v>4.2</v>
      </c>
      <c r="AY511">
        <v>4.2</v>
      </c>
      <c r="AZ511">
        <v>0</v>
      </c>
      <c r="BA511">
        <v>3</v>
      </c>
      <c r="BB511">
        <v>32</v>
      </c>
      <c r="BC511">
        <v>25</v>
      </c>
      <c r="BD511">
        <v>28.2</v>
      </c>
      <c r="BE511">
        <v>131</v>
      </c>
      <c r="BF511">
        <v>88.1</v>
      </c>
      <c r="BG511">
        <v>32</v>
      </c>
      <c r="BH511">
        <v>25</v>
      </c>
      <c r="BI511">
        <v>28.2</v>
      </c>
      <c r="BJ511">
        <v>131</v>
      </c>
      <c r="BK511">
        <v>88.1</v>
      </c>
      <c r="BL511">
        <v>131</v>
      </c>
      <c r="BM511">
        <v>4.4713000000000003</v>
      </c>
    </row>
    <row r="512" spans="1:65" x14ac:dyDescent="0.25">
      <c r="A512" t="s">
        <v>575</v>
      </c>
      <c r="B512" t="s">
        <v>1557</v>
      </c>
      <c r="C512" t="s">
        <v>2157</v>
      </c>
      <c r="D512" s="1">
        <v>45560</v>
      </c>
      <c r="E512" s="1">
        <v>45599</v>
      </c>
      <c r="F512" s="1">
        <v>45730</v>
      </c>
      <c r="G512" t="s">
        <v>2163</v>
      </c>
      <c r="I512" t="s">
        <v>2175</v>
      </c>
      <c r="J512">
        <v>42419</v>
      </c>
      <c r="K512">
        <v>1272</v>
      </c>
      <c r="L512">
        <v>10.7</v>
      </c>
      <c r="M512">
        <v>9.3000000000000007</v>
      </c>
      <c r="N512">
        <v>6</v>
      </c>
      <c r="O512">
        <v>13432</v>
      </c>
      <c r="P512" t="s">
        <v>2178</v>
      </c>
      <c r="Q512">
        <v>28</v>
      </c>
      <c r="R512">
        <v>37</v>
      </c>
      <c r="S512">
        <v>69</v>
      </c>
      <c r="T512">
        <v>316</v>
      </c>
      <c r="U512" t="s">
        <v>2163</v>
      </c>
      <c r="W512" t="s">
        <v>2208</v>
      </c>
      <c r="X512" t="s">
        <v>2210</v>
      </c>
      <c r="Y512" t="s">
        <v>2212</v>
      </c>
      <c r="Z512" s="1">
        <v>45733</v>
      </c>
      <c r="AA512" s="1">
        <v>45746</v>
      </c>
      <c r="AB512" t="s">
        <v>2215</v>
      </c>
      <c r="AC512" t="s">
        <v>2208</v>
      </c>
      <c r="AD512" t="s">
        <v>2216</v>
      </c>
      <c r="AE512" t="s">
        <v>2163</v>
      </c>
      <c r="AG512" t="s">
        <v>2220</v>
      </c>
      <c r="AH512">
        <v>134</v>
      </c>
      <c r="AI512">
        <v>147</v>
      </c>
      <c r="AJ512">
        <v>13</v>
      </c>
      <c r="AK512">
        <v>11</v>
      </c>
      <c r="AL512" t="s">
        <v>2231</v>
      </c>
      <c r="AM512">
        <v>1</v>
      </c>
      <c r="AN512" t="s">
        <v>2177</v>
      </c>
      <c r="AO512" t="s">
        <v>2177</v>
      </c>
      <c r="AP512" t="s">
        <v>2177</v>
      </c>
      <c r="AQ512">
        <v>99.51</v>
      </c>
      <c r="AR512">
        <v>3</v>
      </c>
      <c r="AS512">
        <v>2</v>
      </c>
      <c r="AT512">
        <v>2</v>
      </c>
      <c r="AU512">
        <v>2</v>
      </c>
      <c r="AV512">
        <v>2</v>
      </c>
      <c r="AW512">
        <v>4.4000000000000004</v>
      </c>
      <c r="AY512">
        <v>4.4000000000000004</v>
      </c>
      <c r="AZ512">
        <v>3</v>
      </c>
      <c r="BA512">
        <v>3</v>
      </c>
      <c r="BB512">
        <v>39</v>
      </c>
      <c r="BC512">
        <v>25</v>
      </c>
      <c r="BD512">
        <v>34.08</v>
      </c>
      <c r="BE512">
        <v>161</v>
      </c>
      <c r="BF512">
        <v>87.4</v>
      </c>
      <c r="BG512">
        <v>39</v>
      </c>
      <c r="BH512">
        <v>25</v>
      </c>
      <c r="BI512">
        <v>34.08</v>
      </c>
      <c r="BJ512">
        <v>161</v>
      </c>
      <c r="BK512">
        <v>87.4</v>
      </c>
      <c r="BL512">
        <v>161</v>
      </c>
      <c r="BM512">
        <v>10.536300000000001</v>
      </c>
    </row>
    <row r="513" spans="1:65" x14ac:dyDescent="0.25">
      <c r="A513" t="s">
        <v>576</v>
      </c>
      <c r="B513" t="s">
        <v>1558</v>
      </c>
      <c r="C513" t="s">
        <v>2157</v>
      </c>
      <c r="D513" s="1">
        <v>45546</v>
      </c>
      <c r="E513" s="1">
        <v>45580</v>
      </c>
      <c r="F513" s="1">
        <v>45672</v>
      </c>
      <c r="G513" t="s">
        <v>2164</v>
      </c>
      <c r="I513" t="s">
        <v>2175</v>
      </c>
      <c r="J513">
        <v>33499</v>
      </c>
      <c r="K513">
        <v>1004</v>
      </c>
      <c r="L513">
        <v>14.6</v>
      </c>
      <c r="M513">
        <v>13.6</v>
      </c>
      <c r="N513">
        <v>5</v>
      </c>
      <c r="O513">
        <v>13568</v>
      </c>
      <c r="P513" t="s">
        <v>2178</v>
      </c>
      <c r="Q513">
        <v>22</v>
      </c>
      <c r="R513">
        <v>28</v>
      </c>
      <c r="S513">
        <v>37</v>
      </c>
      <c r="T513">
        <v>385</v>
      </c>
      <c r="U513" t="s">
        <v>2164</v>
      </c>
      <c r="W513" t="s">
        <v>2208</v>
      </c>
      <c r="X513" t="s">
        <v>2210</v>
      </c>
      <c r="Y513" t="s">
        <v>2212</v>
      </c>
      <c r="Z513" s="1">
        <v>45667</v>
      </c>
      <c r="AA513" s="1">
        <v>45687</v>
      </c>
      <c r="AB513" t="s">
        <v>2215</v>
      </c>
      <c r="AC513" t="s">
        <v>2208</v>
      </c>
      <c r="AD513" t="s">
        <v>2216</v>
      </c>
      <c r="AE513" t="s">
        <v>2164</v>
      </c>
      <c r="AG513" t="s">
        <v>2220</v>
      </c>
      <c r="AH513">
        <v>87</v>
      </c>
      <c r="AI513">
        <v>107</v>
      </c>
      <c r="AJ513">
        <v>20</v>
      </c>
      <c r="AK513">
        <v>10</v>
      </c>
      <c r="AL513" t="s">
        <v>2230</v>
      </c>
      <c r="AM513">
        <v>1</v>
      </c>
      <c r="AN513" t="s">
        <v>2175</v>
      </c>
      <c r="AO513" t="s">
        <v>2177</v>
      </c>
      <c r="AP513" t="s">
        <v>2177</v>
      </c>
      <c r="AQ513">
        <v>198.56</v>
      </c>
      <c r="AR513">
        <v>3</v>
      </c>
      <c r="AS513">
        <v>3</v>
      </c>
      <c r="AT513">
        <v>2</v>
      </c>
      <c r="AU513">
        <v>2</v>
      </c>
      <c r="AV513">
        <v>2.333333333333333</v>
      </c>
      <c r="AW513">
        <v>4.5</v>
      </c>
      <c r="AY513">
        <v>4.5</v>
      </c>
      <c r="AZ513">
        <v>3</v>
      </c>
      <c r="BA513">
        <v>3</v>
      </c>
      <c r="BB513">
        <v>27</v>
      </c>
      <c r="BC513">
        <v>27</v>
      </c>
      <c r="BD513">
        <v>23.56</v>
      </c>
      <c r="BE513">
        <v>116</v>
      </c>
      <c r="BF513">
        <v>87.3</v>
      </c>
      <c r="BG513">
        <v>27</v>
      </c>
      <c r="BH513">
        <v>27</v>
      </c>
      <c r="BI513">
        <v>23.56</v>
      </c>
      <c r="BJ513">
        <v>116</v>
      </c>
      <c r="BK513">
        <v>87.3</v>
      </c>
      <c r="BL513">
        <v>116</v>
      </c>
      <c r="BM513">
        <v>10.692299999999999</v>
      </c>
    </row>
    <row r="514" spans="1:65" x14ac:dyDescent="0.25">
      <c r="A514" t="s">
        <v>577</v>
      </c>
      <c r="B514" t="s">
        <v>1559</v>
      </c>
      <c r="C514" t="s">
        <v>2160</v>
      </c>
      <c r="D514" s="1">
        <v>45591</v>
      </c>
      <c r="E514" s="1">
        <v>45615</v>
      </c>
      <c r="F514" s="1">
        <v>45674</v>
      </c>
      <c r="G514" t="s">
        <v>2163</v>
      </c>
      <c r="I514" t="s">
        <v>2175</v>
      </c>
      <c r="J514">
        <v>27658</v>
      </c>
      <c r="K514">
        <v>829</v>
      </c>
      <c r="L514">
        <v>17.2</v>
      </c>
      <c r="M514">
        <v>5.5</v>
      </c>
      <c r="N514">
        <v>7</v>
      </c>
      <c r="O514">
        <v>14293</v>
      </c>
      <c r="P514" t="s">
        <v>2178</v>
      </c>
      <c r="Q514">
        <v>13</v>
      </c>
      <c r="R514">
        <v>23</v>
      </c>
      <c r="S514">
        <v>24</v>
      </c>
      <c r="T514">
        <v>460</v>
      </c>
      <c r="U514" t="s">
        <v>2163</v>
      </c>
      <c r="W514" t="s">
        <v>2208</v>
      </c>
      <c r="X514" t="s">
        <v>2210</v>
      </c>
      <c r="Y514" t="s">
        <v>2212</v>
      </c>
      <c r="Z514" s="1">
        <v>45675</v>
      </c>
      <c r="AA514" s="1">
        <v>45692</v>
      </c>
      <c r="AB514" t="s">
        <v>2215</v>
      </c>
      <c r="AC514" t="s">
        <v>2208</v>
      </c>
      <c r="AD514" t="s">
        <v>2216</v>
      </c>
      <c r="AE514" t="s">
        <v>2163</v>
      </c>
      <c r="AG514" t="s">
        <v>2220</v>
      </c>
      <c r="AH514">
        <v>60</v>
      </c>
      <c r="AI514">
        <v>77</v>
      </c>
      <c r="AJ514">
        <v>17</v>
      </c>
      <c r="AK514">
        <v>11</v>
      </c>
      <c r="AL514" t="s">
        <v>2231</v>
      </c>
      <c r="AM514">
        <v>1</v>
      </c>
      <c r="AN514" t="s">
        <v>2175</v>
      </c>
      <c r="AO514" t="s">
        <v>2175</v>
      </c>
      <c r="AP514" t="s">
        <v>2177</v>
      </c>
      <c r="AQ514">
        <v>94.6</v>
      </c>
      <c r="AR514">
        <v>3</v>
      </c>
      <c r="AS514">
        <v>3</v>
      </c>
      <c r="AT514">
        <v>3</v>
      </c>
      <c r="AU514">
        <v>2</v>
      </c>
      <c r="AV514">
        <v>2.666666666666667</v>
      </c>
      <c r="AW514">
        <v>4.4000000000000004</v>
      </c>
      <c r="AY514">
        <v>4.4000000000000004</v>
      </c>
      <c r="AZ514">
        <v>1</v>
      </c>
      <c r="BA514">
        <v>3</v>
      </c>
      <c r="BB514">
        <v>39</v>
      </c>
      <c r="BC514">
        <v>25</v>
      </c>
      <c r="BD514">
        <v>34.08</v>
      </c>
      <c r="BE514">
        <v>161</v>
      </c>
      <c r="BF514">
        <v>87.4</v>
      </c>
      <c r="BG514">
        <v>39</v>
      </c>
      <c r="BH514">
        <v>25</v>
      </c>
      <c r="BI514">
        <v>34.08</v>
      </c>
      <c r="BJ514">
        <v>161</v>
      </c>
      <c r="BK514">
        <v>87.4</v>
      </c>
      <c r="BL514">
        <v>161</v>
      </c>
      <c r="BM514">
        <v>6.8697999999999997</v>
      </c>
    </row>
    <row r="515" spans="1:65" x14ac:dyDescent="0.25">
      <c r="A515" t="s">
        <v>578</v>
      </c>
      <c r="B515" t="s">
        <v>1560</v>
      </c>
      <c r="C515" t="s">
        <v>2159</v>
      </c>
      <c r="D515" s="1">
        <v>45536</v>
      </c>
      <c r="E515" s="1">
        <v>45578</v>
      </c>
      <c r="F515" s="1">
        <v>45698</v>
      </c>
      <c r="G515" t="s">
        <v>2166</v>
      </c>
      <c r="I515" t="s">
        <v>2175</v>
      </c>
      <c r="J515">
        <v>43997</v>
      </c>
      <c r="K515">
        <v>1319</v>
      </c>
      <c r="L515">
        <v>5.2</v>
      </c>
      <c r="M515">
        <v>9.1999999999999993</v>
      </c>
      <c r="N515">
        <v>5</v>
      </c>
      <c r="O515">
        <v>15342</v>
      </c>
      <c r="P515" t="s">
        <v>2178</v>
      </c>
      <c r="Q515">
        <v>26</v>
      </c>
      <c r="R515">
        <v>37</v>
      </c>
      <c r="S515">
        <v>52</v>
      </c>
      <c r="T515">
        <v>382</v>
      </c>
      <c r="U515" t="s">
        <v>2166</v>
      </c>
      <c r="W515" t="s">
        <v>2208</v>
      </c>
      <c r="X515" t="s">
        <v>2210</v>
      </c>
      <c r="Y515" t="s">
        <v>2212</v>
      </c>
      <c r="Z515" s="1">
        <v>45693</v>
      </c>
      <c r="AA515" s="1">
        <v>45713</v>
      </c>
      <c r="AB515" t="s">
        <v>2215</v>
      </c>
      <c r="AC515" t="s">
        <v>2208</v>
      </c>
      <c r="AD515" t="s">
        <v>2216</v>
      </c>
      <c r="AE515" t="s">
        <v>2166</v>
      </c>
      <c r="AG515" t="s">
        <v>2220</v>
      </c>
      <c r="AH515">
        <v>115</v>
      </c>
      <c r="AI515">
        <v>135</v>
      </c>
      <c r="AJ515">
        <v>20</v>
      </c>
      <c r="AK515">
        <v>10</v>
      </c>
      <c r="AL515" t="s">
        <v>2230</v>
      </c>
      <c r="AM515">
        <v>1</v>
      </c>
      <c r="AN515" t="s">
        <v>2177</v>
      </c>
      <c r="AO515" t="s">
        <v>2177</v>
      </c>
      <c r="AP515" t="s">
        <v>2175</v>
      </c>
      <c r="AQ515">
        <v>47.84</v>
      </c>
      <c r="AR515">
        <v>3</v>
      </c>
      <c r="AS515">
        <v>2</v>
      </c>
      <c r="AT515">
        <v>2</v>
      </c>
      <c r="AU515">
        <v>3</v>
      </c>
      <c r="AV515">
        <v>2.333333333333333</v>
      </c>
      <c r="AW515">
        <v>4.8</v>
      </c>
      <c r="AY515">
        <v>4.8</v>
      </c>
      <c r="AZ515">
        <v>0</v>
      </c>
      <c r="BA515">
        <v>3</v>
      </c>
      <c r="BB515">
        <v>50</v>
      </c>
      <c r="BC515">
        <v>27</v>
      </c>
      <c r="BD515">
        <v>42.44</v>
      </c>
      <c r="BE515">
        <v>220</v>
      </c>
      <c r="BF515">
        <v>84.9</v>
      </c>
      <c r="BG515">
        <v>50</v>
      </c>
      <c r="BH515">
        <v>27</v>
      </c>
      <c r="BI515">
        <v>42.44</v>
      </c>
      <c r="BJ515">
        <v>220</v>
      </c>
      <c r="BK515">
        <v>84.9</v>
      </c>
      <c r="BL515">
        <v>220</v>
      </c>
      <c r="BM515">
        <v>7.4057000000000004</v>
      </c>
    </row>
    <row r="516" spans="1:65" x14ac:dyDescent="0.25">
      <c r="A516" t="s">
        <v>579</v>
      </c>
      <c r="B516" t="s">
        <v>1561</v>
      </c>
      <c r="C516" t="s">
        <v>2157</v>
      </c>
      <c r="D516" s="1">
        <v>45548</v>
      </c>
      <c r="E516" s="1">
        <v>45599</v>
      </c>
      <c r="F516" s="1">
        <v>45662</v>
      </c>
      <c r="G516" t="s">
        <v>2162</v>
      </c>
      <c r="I516" t="s">
        <v>2173</v>
      </c>
      <c r="J516">
        <v>22115</v>
      </c>
      <c r="K516">
        <v>663</v>
      </c>
      <c r="L516">
        <v>17.2</v>
      </c>
      <c r="M516">
        <v>14.5</v>
      </c>
      <c r="N516">
        <v>6</v>
      </c>
      <c r="O516">
        <v>19556</v>
      </c>
      <c r="P516" t="s">
        <v>2178</v>
      </c>
      <c r="Q516">
        <v>13</v>
      </c>
      <c r="R516">
        <v>16</v>
      </c>
      <c r="S516">
        <v>24</v>
      </c>
      <c r="T516">
        <v>417</v>
      </c>
      <c r="U516" t="s">
        <v>2162</v>
      </c>
      <c r="W516" t="s">
        <v>2208</v>
      </c>
      <c r="X516" t="s">
        <v>2210</v>
      </c>
      <c r="Y516" t="s">
        <v>2212</v>
      </c>
      <c r="Z516" s="1">
        <v>45652</v>
      </c>
      <c r="AA516" s="1">
        <v>45665</v>
      </c>
      <c r="AB516" t="s">
        <v>2215</v>
      </c>
      <c r="AC516" t="s">
        <v>2208</v>
      </c>
      <c r="AD516" t="s">
        <v>2216</v>
      </c>
      <c r="AE516" t="s">
        <v>2162</v>
      </c>
      <c r="AG516" t="s">
        <v>2220</v>
      </c>
      <c r="AH516">
        <v>53</v>
      </c>
      <c r="AI516">
        <v>66</v>
      </c>
      <c r="AJ516">
        <v>13</v>
      </c>
      <c r="AK516">
        <v>11</v>
      </c>
      <c r="AL516" t="s">
        <v>2231</v>
      </c>
      <c r="AM516">
        <v>1</v>
      </c>
      <c r="AN516" t="s">
        <v>2175</v>
      </c>
      <c r="AO516" t="s">
        <v>2177</v>
      </c>
      <c r="AP516" t="s">
        <v>2175</v>
      </c>
      <c r="AQ516">
        <v>249.4</v>
      </c>
      <c r="AR516">
        <v>3</v>
      </c>
      <c r="AS516">
        <v>3</v>
      </c>
      <c r="AT516">
        <v>2</v>
      </c>
      <c r="AU516">
        <v>3</v>
      </c>
      <c r="AV516">
        <v>2.666666666666667</v>
      </c>
      <c r="AW516">
        <v>4.2</v>
      </c>
      <c r="AY516">
        <v>4.2</v>
      </c>
      <c r="AZ516">
        <v>3</v>
      </c>
      <c r="BA516">
        <v>2</v>
      </c>
      <c r="BB516">
        <v>32</v>
      </c>
      <c r="BC516">
        <v>25</v>
      </c>
      <c r="BD516">
        <v>28.2</v>
      </c>
      <c r="BE516">
        <v>131</v>
      </c>
      <c r="BF516">
        <v>88.1</v>
      </c>
      <c r="BG516">
        <v>32</v>
      </c>
      <c r="BH516">
        <v>25</v>
      </c>
      <c r="BI516">
        <v>28.2</v>
      </c>
      <c r="BJ516">
        <v>131</v>
      </c>
      <c r="BK516">
        <v>88.1</v>
      </c>
      <c r="BL516">
        <v>131</v>
      </c>
      <c r="BM516">
        <v>6.7506000000000004</v>
      </c>
    </row>
    <row r="517" spans="1:65" x14ac:dyDescent="0.25">
      <c r="A517" t="s">
        <v>580</v>
      </c>
      <c r="B517" t="s">
        <v>1562</v>
      </c>
      <c r="C517" t="s">
        <v>2160</v>
      </c>
      <c r="D517" s="1">
        <v>45608</v>
      </c>
      <c r="E517" s="1">
        <v>45631</v>
      </c>
      <c r="F517" s="1">
        <v>45785</v>
      </c>
      <c r="G517" t="s">
        <v>2161</v>
      </c>
      <c r="I517" t="s">
        <v>2173</v>
      </c>
      <c r="J517">
        <v>48006</v>
      </c>
      <c r="K517">
        <v>1440</v>
      </c>
      <c r="L517">
        <v>13</v>
      </c>
      <c r="M517">
        <v>16.3</v>
      </c>
      <c r="N517">
        <v>5</v>
      </c>
      <c r="O517">
        <v>10986</v>
      </c>
      <c r="P517" t="s">
        <v>2178</v>
      </c>
      <c r="Q517">
        <v>29</v>
      </c>
      <c r="R517">
        <v>46</v>
      </c>
      <c r="S517">
        <v>67</v>
      </c>
      <c r="T517">
        <v>338</v>
      </c>
      <c r="U517" t="s">
        <v>2161</v>
      </c>
      <c r="W517" t="s">
        <v>2208</v>
      </c>
      <c r="X517" t="s">
        <v>2210</v>
      </c>
      <c r="Y517" t="s">
        <v>2212</v>
      </c>
      <c r="Z517" s="1">
        <v>45773</v>
      </c>
      <c r="AA517" s="1">
        <v>45793</v>
      </c>
      <c r="AB517" t="s">
        <v>2215</v>
      </c>
      <c r="AC517" t="s">
        <v>2208</v>
      </c>
      <c r="AD517" t="s">
        <v>2216</v>
      </c>
      <c r="AE517" t="s">
        <v>2161</v>
      </c>
      <c r="AG517" t="s">
        <v>2220</v>
      </c>
      <c r="AH517">
        <v>142</v>
      </c>
      <c r="AI517">
        <v>162</v>
      </c>
      <c r="AJ517">
        <v>20</v>
      </c>
      <c r="AK517">
        <v>12</v>
      </c>
      <c r="AL517" t="s">
        <v>2229</v>
      </c>
      <c r="AM517">
        <v>1</v>
      </c>
      <c r="AN517" t="s">
        <v>2175</v>
      </c>
      <c r="AO517" t="s">
        <v>2177</v>
      </c>
      <c r="AP517" t="s">
        <v>2177</v>
      </c>
      <c r="AQ517">
        <v>211.9</v>
      </c>
      <c r="AR517">
        <v>3</v>
      </c>
      <c r="AS517">
        <v>3</v>
      </c>
      <c r="AT517">
        <v>2</v>
      </c>
      <c r="AU517">
        <v>2</v>
      </c>
      <c r="AV517">
        <v>2.333333333333333</v>
      </c>
      <c r="AW517">
        <v>4.3</v>
      </c>
      <c r="AY517">
        <v>4.3</v>
      </c>
      <c r="AZ517">
        <v>1</v>
      </c>
      <c r="BA517">
        <v>2</v>
      </c>
      <c r="BB517">
        <v>36</v>
      </c>
      <c r="BC517">
        <v>27</v>
      </c>
      <c r="BD517">
        <v>31.85</v>
      </c>
      <c r="BE517">
        <v>158</v>
      </c>
      <c r="BF517">
        <v>88.5</v>
      </c>
      <c r="BG517">
        <v>36</v>
      </c>
      <c r="BH517">
        <v>27</v>
      </c>
      <c r="BI517">
        <v>31.85</v>
      </c>
      <c r="BJ517">
        <v>158</v>
      </c>
      <c r="BK517">
        <v>88.5</v>
      </c>
      <c r="BL517">
        <v>158</v>
      </c>
      <c r="BM517">
        <v>11.250500000000001</v>
      </c>
    </row>
    <row r="518" spans="1:65" x14ac:dyDescent="0.25">
      <c r="A518" t="s">
        <v>581</v>
      </c>
      <c r="B518" t="s">
        <v>1563</v>
      </c>
      <c r="C518" t="s">
        <v>2159</v>
      </c>
      <c r="D518" s="1">
        <v>45607</v>
      </c>
      <c r="E518" s="1">
        <v>45635</v>
      </c>
      <c r="F518" s="1">
        <v>45731</v>
      </c>
      <c r="G518" t="s">
        <v>2166</v>
      </c>
      <c r="I518" t="s">
        <v>2173</v>
      </c>
      <c r="J518">
        <v>41890</v>
      </c>
      <c r="K518">
        <v>1256</v>
      </c>
      <c r="L518">
        <v>12.5</v>
      </c>
      <c r="M518">
        <v>9.5</v>
      </c>
      <c r="N518">
        <v>6</v>
      </c>
      <c r="O518">
        <v>10703</v>
      </c>
      <c r="P518" t="s">
        <v>2178</v>
      </c>
      <c r="Q518">
        <v>19</v>
      </c>
      <c r="R518">
        <v>32</v>
      </c>
      <c r="S518">
        <v>46</v>
      </c>
      <c r="T518">
        <v>431</v>
      </c>
      <c r="U518" t="s">
        <v>2166</v>
      </c>
      <c r="W518" t="s">
        <v>2208</v>
      </c>
      <c r="X518" t="s">
        <v>2210</v>
      </c>
      <c r="Y518" t="s">
        <v>2212</v>
      </c>
      <c r="Z518" s="1">
        <v>45732</v>
      </c>
      <c r="AA518" s="1">
        <v>45750</v>
      </c>
      <c r="AB518" t="s">
        <v>2215</v>
      </c>
      <c r="AC518" t="s">
        <v>2208</v>
      </c>
      <c r="AD518" t="s">
        <v>2216</v>
      </c>
      <c r="AE518" t="s">
        <v>2166</v>
      </c>
      <c r="AG518" t="s">
        <v>2220</v>
      </c>
      <c r="AH518">
        <v>97</v>
      </c>
      <c r="AI518">
        <v>115</v>
      </c>
      <c r="AJ518">
        <v>18</v>
      </c>
      <c r="AK518">
        <v>12</v>
      </c>
      <c r="AL518" t="s">
        <v>2229</v>
      </c>
      <c r="AM518">
        <v>1</v>
      </c>
      <c r="AN518" t="s">
        <v>2177</v>
      </c>
      <c r="AO518" t="s">
        <v>2177</v>
      </c>
      <c r="AP518" t="s">
        <v>2177</v>
      </c>
      <c r="AQ518">
        <v>118.75</v>
      </c>
      <c r="AR518">
        <v>3</v>
      </c>
      <c r="AS518">
        <v>2</v>
      </c>
      <c r="AT518">
        <v>2</v>
      </c>
      <c r="AU518">
        <v>2</v>
      </c>
      <c r="AV518">
        <v>2</v>
      </c>
      <c r="AW518">
        <v>4.8</v>
      </c>
      <c r="AY518">
        <v>4.8</v>
      </c>
      <c r="AZ518">
        <v>0</v>
      </c>
      <c r="BA518">
        <v>2</v>
      </c>
      <c r="BB518">
        <v>47</v>
      </c>
      <c r="BC518">
        <v>27</v>
      </c>
      <c r="BD518">
        <v>40.89</v>
      </c>
      <c r="BE518">
        <v>208</v>
      </c>
      <c r="BF518">
        <v>87</v>
      </c>
      <c r="BG518">
        <v>47</v>
      </c>
      <c r="BH518">
        <v>27</v>
      </c>
      <c r="BI518">
        <v>40.89</v>
      </c>
      <c r="BJ518">
        <v>208</v>
      </c>
      <c r="BK518">
        <v>87</v>
      </c>
      <c r="BL518">
        <v>208</v>
      </c>
      <c r="BM518">
        <v>7.4577</v>
      </c>
    </row>
    <row r="519" spans="1:65" x14ac:dyDescent="0.25">
      <c r="A519" t="s">
        <v>582</v>
      </c>
      <c r="B519" t="s">
        <v>1564</v>
      </c>
      <c r="C519" t="s">
        <v>2159</v>
      </c>
      <c r="D519" s="1">
        <v>45572</v>
      </c>
      <c r="E519" s="1">
        <v>45597</v>
      </c>
      <c r="F519" s="1">
        <v>45679</v>
      </c>
      <c r="G519" t="s">
        <v>2166</v>
      </c>
      <c r="I519" t="s">
        <v>2173</v>
      </c>
      <c r="J519">
        <v>31592</v>
      </c>
      <c r="K519">
        <v>947</v>
      </c>
      <c r="L519">
        <v>6.4</v>
      </c>
      <c r="M519">
        <v>13.5</v>
      </c>
      <c r="N519">
        <v>6</v>
      </c>
      <c r="O519">
        <v>11667</v>
      </c>
      <c r="P519" t="s">
        <v>2178</v>
      </c>
      <c r="Q519">
        <v>17</v>
      </c>
      <c r="R519">
        <v>21</v>
      </c>
      <c r="S519">
        <v>41</v>
      </c>
      <c r="T519">
        <v>399</v>
      </c>
      <c r="U519" t="s">
        <v>2166</v>
      </c>
      <c r="W519" t="s">
        <v>2208</v>
      </c>
      <c r="X519" t="s">
        <v>2210</v>
      </c>
      <c r="Y519" t="s">
        <v>2212</v>
      </c>
      <c r="Z519" s="1">
        <v>45676</v>
      </c>
      <c r="AA519" s="1">
        <v>45694</v>
      </c>
      <c r="AB519" t="s">
        <v>2215</v>
      </c>
      <c r="AC519" t="s">
        <v>2208</v>
      </c>
      <c r="AD519" t="s">
        <v>2216</v>
      </c>
      <c r="AE519" t="s">
        <v>2166</v>
      </c>
      <c r="AG519" t="s">
        <v>2220</v>
      </c>
      <c r="AH519">
        <v>79</v>
      </c>
      <c r="AI519">
        <v>97</v>
      </c>
      <c r="AJ519">
        <v>18</v>
      </c>
      <c r="AK519">
        <v>11</v>
      </c>
      <c r="AL519" t="s">
        <v>2231</v>
      </c>
      <c r="AM519">
        <v>1</v>
      </c>
      <c r="AN519" t="s">
        <v>2177</v>
      </c>
      <c r="AO519" t="s">
        <v>2177</v>
      </c>
      <c r="AP519" t="s">
        <v>2177</v>
      </c>
      <c r="AQ519">
        <v>86.4</v>
      </c>
      <c r="AR519">
        <v>3</v>
      </c>
      <c r="AS519">
        <v>2</v>
      </c>
      <c r="AT519">
        <v>2</v>
      </c>
      <c r="AU519">
        <v>2</v>
      </c>
      <c r="AV519">
        <v>2</v>
      </c>
      <c r="AW519">
        <v>4.8</v>
      </c>
      <c r="AY519">
        <v>4.8</v>
      </c>
      <c r="AZ519">
        <v>0</v>
      </c>
      <c r="BA519">
        <v>2</v>
      </c>
      <c r="BB519">
        <v>50</v>
      </c>
      <c r="BC519">
        <v>25</v>
      </c>
      <c r="BD519">
        <v>43.92</v>
      </c>
      <c r="BE519">
        <v>212</v>
      </c>
      <c r="BF519">
        <v>87.8</v>
      </c>
      <c r="BG519">
        <v>50</v>
      </c>
      <c r="BH519">
        <v>25</v>
      </c>
      <c r="BI519">
        <v>43.92</v>
      </c>
      <c r="BJ519">
        <v>212</v>
      </c>
      <c r="BK519">
        <v>87.8</v>
      </c>
      <c r="BL519">
        <v>212</v>
      </c>
      <c r="BM519">
        <v>5.9596</v>
      </c>
    </row>
    <row r="520" spans="1:65" x14ac:dyDescent="0.25">
      <c r="A520" t="s">
        <v>583</v>
      </c>
      <c r="B520" t="s">
        <v>1565</v>
      </c>
      <c r="C520" t="s">
        <v>2160</v>
      </c>
      <c r="D520" s="1">
        <v>45551</v>
      </c>
      <c r="E520" s="1">
        <v>45599</v>
      </c>
      <c r="F520" s="1">
        <v>45687</v>
      </c>
      <c r="G520" t="s">
        <v>2165</v>
      </c>
      <c r="I520" t="s">
        <v>2173</v>
      </c>
      <c r="J520">
        <v>41116</v>
      </c>
      <c r="K520">
        <v>1233</v>
      </c>
      <c r="L520">
        <v>5.0999999999999996</v>
      </c>
      <c r="M520">
        <v>9.1999999999999993</v>
      </c>
      <c r="N520">
        <v>6</v>
      </c>
      <c r="O520">
        <v>14806</v>
      </c>
      <c r="P520" t="s">
        <v>2178</v>
      </c>
      <c r="Q520">
        <v>20</v>
      </c>
      <c r="R520">
        <v>34</v>
      </c>
      <c r="S520">
        <v>33</v>
      </c>
      <c r="T520">
        <v>472</v>
      </c>
      <c r="U520" t="s">
        <v>2165</v>
      </c>
      <c r="W520" t="s">
        <v>2208</v>
      </c>
      <c r="X520" t="s">
        <v>2210</v>
      </c>
      <c r="Y520" t="s">
        <v>2212</v>
      </c>
      <c r="Z520" s="1">
        <v>45686</v>
      </c>
      <c r="AA520" s="1">
        <v>45703</v>
      </c>
      <c r="AB520" t="s">
        <v>2215</v>
      </c>
      <c r="AC520" t="s">
        <v>2208</v>
      </c>
      <c r="AD520" t="s">
        <v>2216</v>
      </c>
      <c r="AE520" t="s">
        <v>2165</v>
      </c>
      <c r="AG520" t="s">
        <v>2220</v>
      </c>
      <c r="AH520">
        <v>87</v>
      </c>
      <c r="AI520">
        <v>104</v>
      </c>
      <c r="AJ520">
        <v>17</v>
      </c>
      <c r="AK520">
        <v>11</v>
      </c>
      <c r="AL520" t="s">
        <v>2231</v>
      </c>
      <c r="AM520">
        <v>1</v>
      </c>
      <c r="AN520" t="s">
        <v>2177</v>
      </c>
      <c r="AO520" t="s">
        <v>2177</v>
      </c>
      <c r="AP520" t="s">
        <v>2177</v>
      </c>
      <c r="AQ520">
        <v>46.919999999999987</v>
      </c>
      <c r="AR520">
        <v>3</v>
      </c>
      <c r="AS520">
        <v>2</v>
      </c>
      <c r="AT520">
        <v>2</v>
      </c>
      <c r="AU520">
        <v>2</v>
      </c>
      <c r="AV520">
        <v>2</v>
      </c>
      <c r="AW520">
        <v>4.5999999999999996</v>
      </c>
      <c r="AY520">
        <v>4.5999999999999996</v>
      </c>
      <c r="AZ520">
        <v>1</v>
      </c>
      <c r="BA520">
        <v>2</v>
      </c>
      <c r="BB520">
        <v>41</v>
      </c>
      <c r="BC520">
        <v>25</v>
      </c>
      <c r="BD520">
        <v>36.520000000000003</v>
      </c>
      <c r="BE520">
        <v>172</v>
      </c>
      <c r="BF520">
        <v>89.1</v>
      </c>
      <c r="BG520">
        <v>41</v>
      </c>
      <c r="BH520">
        <v>25</v>
      </c>
      <c r="BI520">
        <v>36.520000000000003</v>
      </c>
      <c r="BJ520">
        <v>172</v>
      </c>
      <c r="BK520">
        <v>89.1</v>
      </c>
      <c r="BL520">
        <v>172</v>
      </c>
      <c r="BM520">
        <v>9.5595999999999997</v>
      </c>
    </row>
    <row r="521" spans="1:65" x14ac:dyDescent="0.25">
      <c r="A521" t="s">
        <v>584</v>
      </c>
      <c r="B521" t="s">
        <v>1566</v>
      </c>
      <c r="C521" t="s">
        <v>2159</v>
      </c>
      <c r="D521" s="1">
        <v>45606</v>
      </c>
      <c r="E521" s="1">
        <v>45627</v>
      </c>
      <c r="F521" s="1">
        <v>45662</v>
      </c>
      <c r="G521" t="s">
        <v>2166</v>
      </c>
      <c r="I521" t="s">
        <v>2173</v>
      </c>
      <c r="J521">
        <v>18927</v>
      </c>
      <c r="K521">
        <v>567</v>
      </c>
      <c r="L521">
        <v>7.2</v>
      </c>
      <c r="M521">
        <v>13.4</v>
      </c>
      <c r="N521">
        <v>6</v>
      </c>
      <c r="O521">
        <v>19218</v>
      </c>
      <c r="P521" t="s">
        <v>2178</v>
      </c>
      <c r="Q521">
        <v>8</v>
      </c>
      <c r="R521">
        <v>9</v>
      </c>
      <c r="S521">
        <v>21</v>
      </c>
      <c r="T521">
        <v>498</v>
      </c>
      <c r="U521" t="s">
        <v>2166</v>
      </c>
      <c r="W521" t="s">
        <v>2208</v>
      </c>
      <c r="X521" t="s">
        <v>2210</v>
      </c>
      <c r="Y521" t="s">
        <v>2212</v>
      </c>
      <c r="Z521" s="1">
        <v>45665</v>
      </c>
      <c r="AA521" s="1">
        <v>45682</v>
      </c>
      <c r="AB521" t="s">
        <v>2215</v>
      </c>
      <c r="AC521" t="s">
        <v>2208</v>
      </c>
      <c r="AD521" t="s">
        <v>2216</v>
      </c>
      <c r="AE521" t="s">
        <v>2166</v>
      </c>
      <c r="AG521" t="s">
        <v>2220</v>
      </c>
      <c r="AH521">
        <v>38</v>
      </c>
      <c r="AI521">
        <v>55</v>
      </c>
      <c r="AJ521">
        <v>17</v>
      </c>
      <c r="AK521">
        <v>12</v>
      </c>
      <c r="AL521" t="s">
        <v>2229</v>
      </c>
      <c r="AM521">
        <v>1</v>
      </c>
      <c r="AN521" t="s">
        <v>2177</v>
      </c>
      <c r="AO521" t="s">
        <v>2177</v>
      </c>
      <c r="AP521" t="s">
        <v>2175</v>
      </c>
      <c r="AQ521">
        <v>96.48</v>
      </c>
      <c r="AR521">
        <v>3</v>
      </c>
      <c r="AS521">
        <v>2</v>
      </c>
      <c r="AT521">
        <v>2</v>
      </c>
      <c r="AU521">
        <v>3</v>
      </c>
      <c r="AV521">
        <v>2.333333333333333</v>
      </c>
      <c r="AW521">
        <v>4.8</v>
      </c>
      <c r="AY521">
        <v>4.8</v>
      </c>
      <c r="AZ521">
        <v>0</v>
      </c>
      <c r="BA521">
        <v>2</v>
      </c>
      <c r="BB521">
        <v>47</v>
      </c>
      <c r="BC521">
        <v>27</v>
      </c>
      <c r="BD521">
        <v>40.89</v>
      </c>
      <c r="BE521">
        <v>208</v>
      </c>
      <c r="BF521">
        <v>87</v>
      </c>
      <c r="BG521">
        <v>47</v>
      </c>
      <c r="BH521">
        <v>27</v>
      </c>
      <c r="BI521">
        <v>40.89</v>
      </c>
      <c r="BJ521">
        <v>208</v>
      </c>
      <c r="BK521">
        <v>87</v>
      </c>
      <c r="BL521">
        <v>208</v>
      </c>
      <c r="BM521">
        <v>3.3696000000000002</v>
      </c>
    </row>
    <row r="522" spans="1:65" x14ac:dyDescent="0.25">
      <c r="A522" t="s">
        <v>585</v>
      </c>
      <c r="B522" t="s">
        <v>1567</v>
      </c>
      <c r="C522" t="s">
        <v>2160</v>
      </c>
      <c r="D522" s="1">
        <v>45384</v>
      </c>
      <c r="E522" s="1">
        <v>45424</v>
      </c>
      <c r="F522" s="1">
        <v>45637</v>
      </c>
      <c r="G522" t="s">
        <v>2164</v>
      </c>
      <c r="I522" t="s">
        <v>2175</v>
      </c>
      <c r="J522">
        <v>56177</v>
      </c>
      <c r="K522">
        <v>1685</v>
      </c>
      <c r="L522">
        <v>10.5</v>
      </c>
      <c r="M522">
        <v>12.8</v>
      </c>
      <c r="N522">
        <v>8</v>
      </c>
      <c r="O522">
        <v>17445</v>
      </c>
      <c r="P522" t="s">
        <v>2178</v>
      </c>
      <c r="Q522">
        <v>55</v>
      </c>
      <c r="R522">
        <v>75</v>
      </c>
      <c r="S522">
        <v>69</v>
      </c>
      <c r="T522">
        <v>282</v>
      </c>
      <c r="U522" t="s">
        <v>2182</v>
      </c>
      <c r="W522" t="s">
        <v>2209</v>
      </c>
      <c r="X522" t="s">
        <v>2211</v>
      </c>
      <c r="Y522" t="s">
        <v>2213</v>
      </c>
      <c r="Z522" s="1">
        <v>45623</v>
      </c>
      <c r="AA522" s="1">
        <v>45651</v>
      </c>
      <c r="AB522" t="s">
        <v>2214</v>
      </c>
      <c r="AC522" t="s">
        <v>2209</v>
      </c>
      <c r="AD522" t="s">
        <v>2219</v>
      </c>
      <c r="AE522" t="s">
        <v>2166</v>
      </c>
      <c r="AF522" t="s">
        <v>2162</v>
      </c>
      <c r="AG522" t="s">
        <v>2222</v>
      </c>
      <c r="AH522">
        <v>199</v>
      </c>
      <c r="AI522">
        <v>227</v>
      </c>
      <c r="AJ522">
        <v>28</v>
      </c>
      <c r="AK522">
        <v>5</v>
      </c>
      <c r="AL522" t="s">
        <v>2224</v>
      </c>
      <c r="AM522">
        <v>0</v>
      </c>
      <c r="AN522" t="s">
        <v>2175</v>
      </c>
      <c r="AO522" t="s">
        <v>2175</v>
      </c>
      <c r="AP522" t="s">
        <v>2175</v>
      </c>
      <c r="AQ522">
        <v>134.4</v>
      </c>
      <c r="AR522">
        <v>3</v>
      </c>
      <c r="AS522">
        <v>3</v>
      </c>
      <c r="AT522">
        <v>3</v>
      </c>
      <c r="AU522">
        <v>3</v>
      </c>
      <c r="AV522">
        <v>3</v>
      </c>
      <c r="AW522">
        <v>4.8</v>
      </c>
      <c r="AX522">
        <v>4.2</v>
      </c>
      <c r="AY522">
        <v>4.5</v>
      </c>
      <c r="AZ522">
        <v>1</v>
      </c>
      <c r="BA522">
        <v>3</v>
      </c>
      <c r="BB522">
        <v>43</v>
      </c>
      <c r="BC522">
        <v>27</v>
      </c>
      <c r="BD522">
        <v>37.299999999999997</v>
      </c>
      <c r="BE522">
        <v>193</v>
      </c>
      <c r="BF522">
        <v>86.7</v>
      </c>
      <c r="BG522">
        <v>35</v>
      </c>
      <c r="BH522">
        <v>27</v>
      </c>
      <c r="BI522">
        <v>30.96</v>
      </c>
      <c r="BJ522">
        <v>158</v>
      </c>
      <c r="BK522">
        <v>88.5</v>
      </c>
      <c r="BL522">
        <v>301</v>
      </c>
      <c r="BM522">
        <v>10.7784</v>
      </c>
    </row>
    <row r="523" spans="1:65" x14ac:dyDescent="0.25">
      <c r="A523" t="s">
        <v>586</v>
      </c>
      <c r="B523" t="s">
        <v>1568</v>
      </c>
      <c r="C523" t="s">
        <v>2158</v>
      </c>
      <c r="D523" s="1">
        <v>45307</v>
      </c>
      <c r="E523" s="1">
        <v>45353</v>
      </c>
      <c r="F523" s="1">
        <v>45626</v>
      </c>
      <c r="G523" t="s">
        <v>2164</v>
      </c>
      <c r="I523" t="s">
        <v>2175</v>
      </c>
      <c r="J523">
        <v>76627</v>
      </c>
      <c r="K523">
        <v>2298</v>
      </c>
      <c r="L523">
        <v>10</v>
      </c>
      <c r="M523">
        <v>12.8</v>
      </c>
      <c r="N523">
        <v>7</v>
      </c>
      <c r="O523">
        <v>17453</v>
      </c>
      <c r="P523" t="s">
        <v>2178</v>
      </c>
      <c r="Q523">
        <v>42</v>
      </c>
      <c r="R523">
        <v>68</v>
      </c>
      <c r="S523">
        <v>139</v>
      </c>
      <c r="T523">
        <v>307</v>
      </c>
      <c r="U523" t="s">
        <v>2184</v>
      </c>
      <c r="W523" t="s">
        <v>2209</v>
      </c>
      <c r="X523" t="s">
        <v>2211</v>
      </c>
      <c r="Y523" t="s">
        <v>2213</v>
      </c>
      <c r="Z523" s="1">
        <v>45602</v>
      </c>
      <c r="AA523" s="1">
        <v>45629</v>
      </c>
      <c r="AB523" t="s">
        <v>2214</v>
      </c>
      <c r="AC523" t="s">
        <v>2209</v>
      </c>
      <c r="AD523" t="s">
        <v>2219</v>
      </c>
      <c r="AE523" t="s">
        <v>2163</v>
      </c>
      <c r="AF523" t="s">
        <v>2162</v>
      </c>
      <c r="AG523" t="s">
        <v>2222</v>
      </c>
      <c r="AH523">
        <v>249</v>
      </c>
      <c r="AI523">
        <v>276</v>
      </c>
      <c r="AJ523">
        <v>27</v>
      </c>
      <c r="AK523">
        <v>3</v>
      </c>
      <c r="AL523" t="s">
        <v>2227</v>
      </c>
      <c r="AM523">
        <v>0</v>
      </c>
      <c r="AN523" t="s">
        <v>2177</v>
      </c>
      <c r="AO523" t="s">
        <v>2175</v>
      </c>
      <c r="AP523" t="s">
        <v>2175</v>
      </c>
      <c r="AQ523">
        <v>128</v>
      </c>
      <c r="AR523">
        <v>3</v>
      </c>
      <c r="AS523">
        <v>2</v>
      </c>
      <c r="AT523">
        <v>3</v>
      </c>
      <c r="AU523">
        <v>3</v>
      </c>
      <c r="AV523">
        <v>2.666666666666667</v>
      </c>
      <c r="AW523">
        <v>4.4000000000000004</v>
      </c>
      <c r="AX523">
        <v>4.2</v>
      </c>
      <c r="AY523">
        <v>4.5</v>
      </c>
      <c r="AZ523">
        <v>2</v>
      </c>
      <c r="BA523">
        <v>3</v>
      </c>
      <c r="BB523">
        <v>35</v>
      </c>
      <c r="BC523">
        <v>26</v>
      </c>
      <c r="BD523">
        <v>31.08</v>
      </c>
      <c r="BE523">
        <v>149</v>
      </c>
      <c r="BF523">
        <v>88.8</v>
      </c>
      <c r="BG523">
        <v>30</v>
      </c>
      <c r="BH523">
        <v>26</v>
      </c>
      <c r="BI523">
        <v>26.31</v>
      </c>
      <c r="BJ523">
        <v>128</v>
      </c>
      <c r="BK523">
        <v>87.7</v>
      </c>
      <c r="BL523">
        <v>279</v>
      </c>
      <c r="BM523">
        <v>19.774699999999999</v>
      </c>
    </row>
    <row r="524" spans="1:65" x14ac:dyDescent="0.25">
      <c r="A524" t="s">
        <v>587</v>
      </c>
      <c r="B524" t="s">
        <v>1569</v>
      </c>
      <c r="C524" t="s">
        <v>2159</v>
      </c>
      <c r="D524" s="1">
        <v>45283</v>
      </c>
      <c r="E524" s="1">
        <v>45333</v>
      </c>
      <c r="F524" s="1">
        <v>45608</v>
      </c>
      <c r="G524" t="s">
        <v>2165</v>
      </c>
      <c r="I524" t="s">
        <v>2175</v>
      </c>
      <c r="J524">
        <v>86010</v>
      </c>
      <c r="K524">
        <v>2580</v>
      </c>
      <c r="L524">
        <v>12</v>
      </c>
      <c r="M524">
        <v>17.8</v>
      </c>
      <c r="N524">
        <v>6</v>
      </c>
      <c r="O524">
        <v>16445</v>
      </c>
      <c r="P524" t="s">
        <v>2178</v>
      </c>
      <c r="Q524">
        <v>75</v>
      </c>
      <c r="R524">
        <v>100</v>
      </c>
      <c r="S524">
        <v>73</v>
      </c>
      <c r="T524">
        <v>346</v>
      </c>
      <c r="U524" t="s">
        <v>2185</v>
      </c>
      <c r="W524" t="s">
        <v>2209</v>
      </c>
      <c r="X524" t="s">
        <v>2211</v>
      </c>
      <c r="Y524" t="s">
        <v>2213</v>
      </c>
      <c r="Z524" s="1">
        <v>45581</v>
      </c>
      <c r="AA524" s="1">
        <v>45606</v>
      </c>
      <c r="AB524" t="s">
        <v>2214</v>
      </c>
      <c r="AC524" t="s">
        <v>2209</v>
      </c>
      <c r="AD524" t="s">
        <v>2219</v>
      </c>
      <c r="AE524" t="s">
        <v>2163</v>
      </c>
      <c r="AF524" t="s">
        <v>2161</v>
      </c>
      <c r="AG524" t="s">
        <v>2222</v>
      </c>
      <c r="AH524">
        <v>248</v>
      </c>
      <c r="AI524">
        <v>273</v>
      </c>
      <c r="AJ524">
        <v>25</v>
      </c>
      <c r="AK524">
        <v>2</v>
      </c>
      <c r="AL524" t="s">
        <v>2228</v>
      </c>
      <c r="AM524">
        <v>0</v>
      </c>
      <c r="AN524" t="s">
        <v>2175</v>
      </c>
      <c r="AO524" t="s">
        <v>2177</v>
      </c>
      <c r="AP524" t="s">
        <v>2175</v>
      </c>
      <c r="AQ524">
        <v>213.6</v>
      </c>
      <c r="AR524">
        <v>3</v>
      </c>
      <c r="AS524">
        <v>3</v>
      </c>
      <c r="AT524">
        <v>2</v>
      </c>
      <c r="AU524">
        <v>3</v>
      </c>
      <c r="AV524">
        <v>2.666666666666667</v>
      </c>
      <c r="AW524">
        <v>4.4000000000000004</v>
      </c>
      <c r="AX524">
        <v>4.3</v>
      </c>
      <c r="AY524">
        <v>4.5999999999999996</v>
      </c>
      <c r="AZ524">
        <v>0</v>
      </c>
      <c r="BA524">
        <v>3</v>
      </c>
      <c r="BB524">
        <v>30</v>
      </c>
      <c r="BC524">
        <v>24</v>
      </c>
      <c r="BD524">
        <v>26.21</v>
      </c>
      <c r="BE524">
        <v>116</v>
      </c>
      <c r="BF524">
        <v>87.4</v>
      </c>
      <c r="BG524">
        <v>36</v>
      </c>
      <c r="BH524">
        <v>24</v>
      </c>
      <c r="BI524">
        <v>31.79</v>
      </c>
      <c r="BJ524">
        <v>142</v>
      </c>
      <c r="BK524">
        <v>88.3</v>
      </c>
      <c r="BL524">
        <v>250</v>
      </c>
      <c r="BM524">
        <v>30.883299999999998</v>
      </c>
    </row>
    <row r="525" spans="1:65" x14ac:dyDescent="0.25">
      <c r="A525" t="s">
        <v>588</v>
      </c>
      <c r="B525" t="s">
        <v>1570</v>
      </c>
      <c r="C525" t="s">
        <v>2157</v>
      </c>
      <c r="D525" s="1">
        <v>45526</v>
      </c>
      <c r="E525" s="1">
        <v>45567</v>
      </c>
      <c r="F525" s="1">
        <v>45774</v>
      </c>
      <c r="G525" t="s">
        <v>2162</v>
      </c>
      <c r="I525" t="s">
        <v>2175</v>
      </c>
      <c r="J525">
        <v>58654</v>
      </c>
      <c r="K525">
        <v>1759</v>
      </c>
      <c r="L525">
        <v>12.2</v>
      </c>
      <c r="M525">
        <v>8.9</v>
      </c>
      <c r="N525">
        <v>6</v>
      </c>
      <c r="O525">
        <v>17291</v>
      </c>
      <c r="P525" t="s">
        <v>2178</v>
      </c>
      <c r="Q525">
        <v>47</v>
      </c>
      <c r="R525">
        <v>74</v>
      </c>
      <c r="S525">
        <v>73</v>
      </c>
      <c r="T525">
        <v>302</v>
      </c>
      <c r="U525" t="s">
        <v>2179</v>
      </c>
      <c r="W525" t="s">
        <v>2209</v>
      </c>
      <c r="X525" t="s">
        <v>2211</v>
      </c>
      <c r="Y525" t="s">
        <v>2213</v>
      </c>
      <c r="Z525" s="1">
        <v>45761</v>
      </c>
      <c r="AA525" s="1">
        <v>45783</v>
      </c>
      <c r="AB525" t="s">
        <v>2214</v>
      </c>
      <c r="AC525" t="s">
        <v>2209</v>
      </c>
      <c r="AD525" t="s">
        <v>2219</v>
      </c>
      <c r="AE525" t="s">
        <v>2165</v>
      </c>
      <c r="AF525" t="s">
        <v>2162</v>
      </c>
      <c r="AG525" t="s">
        <v>2222</v>
      </c>
      <c r="AH525">
        <v>194</v>
      </c>
      <c r="AI525">
        <v>216</v>
      </c>
      <c r="AJ525">
        <v>22</v>
      </c>
      <c r="AK525">
        <v>10</v>
      </c>
      <c r="AL525" t="s">
        <v>2230</v>
      </c>
      <c r="AM525">
        <v>1</v>
      </c>
      <c r="AN525" t="s">
        <v>2177</v>
      </c>
      <c r="AO525" t="s">
        <v>2177</v>
      </c>
      <c r="AP525" t="s">
        <v>2175</v>
      </c>
      <c r="AQ525">
        <v>108.58</v>
      </c>
      <c r="AR525">
        <v>3</v>
      </c>
      <c r="AS525">
        <v>2</v>
      </c>
      <c r="AT525">
        <v>2</v>
      </c>
      <c r="AU525">
        <v>3</v>
      </c>
      <c r="AV525">
        <v>2.333333333333333</v>
      </c>
      <c r="AW525">
        <v>4.5999999999999996</v>
      </c>
      <c r="AX525">
        <v>4.2</v>
      </c>
      <c r="AY525">
        <v>4.2</v>
      </c>
      <c r="AZ525">
        <v>3</v>
      </c>
      <c r="BA525">
        <v>3</v>
      </c>
      <c r="BB525">
        <v>43</v>
      </c>
      <c r="BC525">
        <v>27</v>
      </c>
      <c r="BD525">
        <v>37.33</v>
      </c>
      <c r="BE525">
        <v>194</v>
      </c>
      <c r="BF525">
        <v>86.8</v>
      </c>
      <c r="BG525">
        <v>25</v>
      </c>
      <c r="BH525">
        <v>27</v>
      </c>
      <c r="BI525">
        <v>21.89</v>
      </c>
      <c r="BJ525">
        <v>108</v>
      </c>
      <c r="BK525">
        <v>87.6</v>
      </c>
      <c r="BL525">
        <v>302</v>
      </c>
      <c r="BM525">
        <v>11.195600000000001</v>
      </c>
    </row>
    <row r="526" spans="1:65" x14ac:dyDescent="0.25">
      <c r="A526" t="s">
        <v>589</v>
      </c>
      <c r="B526" t="s">
        <v>1571</v>
      </c>
      <c r="C526" t="s">
        <v>2160</v>
      </c>
      <c r="D526" s="1">
        <v>45377</v>
      </c>
      <c r="E526" s="1">
        <v>45415</v>
      </c>
      <c r="F526" s="1">
        <v>45670</v>
      </c>
      <c r="G526" t="s">
        <v>2165</v>
      </c>
      <c r="I526" t="s">
        <v>2175</v>
      </c>
      <c r="J526">
        <v>83552</v>
      </c>
      <c r="K526">
        <v>2506</v>
      </c>
      <c r="L526">
        <v>17</v>
      </c>
      <c r="M526">
        <v>11.5</v>
      </c>
      <c r="N526">
        <v>8</v>
      </c>
      <c r="O526">
        <v>13316</v>
      </c>
      <c r="P526" t="s">
        <v>2178</v>
      </c>
      <c r="Q526">
        <v>54</v>
      </c>
      <c r="R526">
        <v>87</v>
      </c>
      <c r="S526">
        <v>95</v>
      </c>
      <c r="T526">
        <v>354</v>
      </c>
      <c r="U526" t="s">
        <v>2198</v>
      </c>
      <c r="W526" t="s">
        <v>2209</v>
      </c>
      <c r="X526" t="s">
        <v>2211</v>
      </c>
      <c r="Y526" t="s">
        <v>2213</v>
      </c>
      <c r="Z526" s="1">
        <v>45651</v>
      </c>
      <c r="AA526" s="1">
        <v>45669</v>
      </c>
      <c r="AB526" t="s">
        <v>2214</v>
      </c>
      <c r="AC526" t="s">
        <v>2209</v>
      </c>
      <c r="AD526" t="s">
        <v>2219</v>
      </c>
      <c r="AE526" t="s">
        <v>2166</v>
      </c>
      <c r="AF526" t="s">
        <v>2161</v>
      </c>
      <c r="AG526" t="s">
        <v>2222</v>
      </c>
      <c r="AH526">
        <v>236</v>
      </c>
      <c r="AI526">
        <v>254</v>
      </c>
      <c r="AJ526">
        <v>18</v>
      </c>
      <c r="AK526">
        <v>5</v>
      </c>
      <c r="AL526" t="s">
        <v>2224</v>
      </c>
      <c r="AM526">
        <v>0</v>
      </c>
      <c r="AN526" t="s">
        <v>2175</v>
      </c>
      <c r="AO526" t="s">
        <v>2175</v>
      </c>
      <c r="AP526" t="s">
        <v>2177</v>
      </c>
      <c r="AQ526">
        <v>195.5</v>
      </c>
      <c r="AR526">
        <v>3</v>
      </c>
      <c r="AS526">
        <v>3</v>
      </c>
      <c r="AT526">
        <v>3</v>
      </c>
      <c r="AU526">
        <v>2</v>
      </c>
      <c r="AV526">
        <v>2.666666666666667</v>
      </c>
      <c r="AW526">
        <v>4.8</v>
      </c>
      <c r="AX526">
        <v>4.3</v>
      </c>
      <c r="AY526">
        <v>4.5999999999999996</v>
      </c>
      <c r="AZ526">
        <v>1</v>
      </c>
      <c r="BA526">
        <v>3</v>
      </c>
      <c r="BB526">
        <v>43</v>
      </c>
      <c r="BC526">
        <v>27</v>
      </c>
      <c r="BD526">
        <v>37.299999999999997</v>
      </c>
      <c r="BE526">
        <v>193</v>
      </c>
      <c r="BF526">
        <v>86.7</v>
      </c>
      <c r="BG526">
        <v>36</v>
      </c>
      <c r="BH526">
        <v>27</v>
      </c>
      <c r="BI526">
        <v>31.37</v>
      </c>
      <c r="BJ526">
        <v>158</v>
      </c>
      <c r="BK526">
        <v>87.1</v>
      </c>
      <c r="BL526">
        <v>340</v>
      </c>
      <c r="BM526">
        <v>16.0307</v>
      </c>
    </row>
    <row r="527" spans="1:65" x14ac:dyDescent="0.25">
      <c r="A527" t="s">
        <v>590</v>
      </c>
      <c r="B527" t="s">
        <v>1572</v>
      </c>
      <c r="C527" t="s">
        <v>2157</v>
      </c>
      <c r="D527" s="1">
        <v>45307</v>
      </c>
      <c r="E527" s="1">
        <v>45363</v>
      </c>
      <c r="F527" s="1">
        <v>45577</v>
      </c>
      <c r="G527" t="s">
        <v>2163</v>
      </c>
      <c r="I527" t="s">
        <v>2175</v>
      </c>
      <c r="J527">
        <v>78384</v>
      </c>
      <c r="K527">
        <v>2351</v>
      </c>
      <c r="L527">
        <v>9.5</v>
      </c>
      <c r="M527">
        <v>10.4</v>
      </c>
      <c r="N527">
        <v>7</v>
      </c>
      <c r="O527">
        <v>16768</v>
      </c>
      <c r="P527" t="s">
        <v>2178</v>
      </c>
      <c r="Q527">
        <v>40</v>
      </c>
      <c r="R527">
        <v>64</v>
      </c>
      <c r="S527">
        <v>83</v>
      </c>
      <c r="T527">
        <v>419</v>
      </c>
      <c r="U527" t="s">
        <v>2180</v>
      </c>
      <c r="W527" t="s">
        <v>2209</v>
      </c>
      <c r="X527" t="s">
        <v>2211</v>
      </c>
      <c r="Y527" t="s">
        <v>2213</v>
      </c>
      <c r="Z527" s="1">
        <v>45550</v>
      </c>
      <c r="AA527" s="1">
        <v>45571</v>
      </c>
      <c r="AB527" t="s">
        <v>2214</v>
      </c>
      <c r="AC527" t="s">
        <v>2209</v>
      </c>
      <c r="AD527" t="s">
        <v>2219</v>
      </c>
      <c r="AE527" t="s">
        <v>2163</v>
      </c>
      <c r="AF527" t="s">
        <v>2165</v>
      </c>
      <c r="AG527" t="s">
        <v>2222</v>
      </c>
      <c r="AH527">
        <v>187</v>
      </c>
      <c r="AI527">
        <v>208</v>
      </c>
      <c r="AJ527">
        <v>21</v>
      </c>
      <c r="AK527">
        <v>3</v>
      </c>
      <c r="AL527" t="s">
        <v>2227</v>
      </c>
      <c r="AM527">
        <v>0</v>
      </c>
      <c r="AN527" t="s">
        <v>2177</v>
      </c>
      <c r="AO527" t="s">
        <v>2175</v>
      </c>
      <c r="AP527" t="s">
        <v>2175</v>
      </c>
      <c r="AQ527">
        <v>98.8</v>
      </c>
      <c r="AR527">
        <v>3</v>
      </c>
      <c r="AS527">
        <v>2</v>
      </c>
      <c r="AT527">
        <v>3</v>
      </c>
      <c r="AU527">
        <v>3</v>
      </c>
      <c r="AV527">
        <v>2.666666666666667</v>
      </c>
      <c r="AW527">
        <v>4.4000000000000004</v>
      </c>
      <c r="AX527">
        <v>4.5999999999999996</v>
      </c>
      <c r="AY527">
        <v>4.4000000000000004</v>
      </c>
      <c r="AZ527">
        <v>3</v>
      </c>
      <c r="BA527">
        <v>3</v>
      </c>
      <c r="BB527">
        <v>35</v>
      </c>
      <c r="BC527">
        <v>26</v>
      </c>
      <c r="BD527">
        <v>31.08</v>
      </c>
      <c r="BE527">
        <v>149</v>
      </c>
      <c r="BF527">
        <v>88.8</v>
      </c>
      <c r="BG527">
        <v>35</v>
      </c>
      <c r="BH527">
        <v>26</v>
      </c>
      <c r="BI527">
        <v>31.08</v>
      </c>
      <c r="BJ527">
        <v>149</v>
      </c>
      <c r="BK527">
        <v>88.8</v>
      </c>
      <c r="BL527">
        <v>361</v>
      </c>
      <c r="BM527">
        <v>20.228100000000001</v>
      </c>
    </row>
    <row r="528" spans="1:65" x14ac:dyDescent="0.25">
      <c r="A528" t="s">
        <v>591</v>
      </c>
      <c r="B528" t="s">
        <v>1573</v>
      </c>
      <c r="C528" t="s">
        <v>2158</v>
      </c>
      <c r="D528" s="1">
        <v>45267</v>
      </c>
      <c r="E528" s="1">
        <v>45325</v>
      </c>
      <c r="F528" s="1">
        <v>45586</v>
      </c>
      <c r="G528" t="s">
        <v>2165</v>
      </c>
      <c r="I528" t="s">
        <v>2175</v>
      </c>
      <c r="J528">
        <v>78711</v>
      </c>
      <c r="K528">
        <v>2361</v>
      </c>
      <c r="L528">
        <v>10.7</v>
      </c>
      <c r="M528">
        <v>14</v>
      </c>
      <c r="N528">
        <v>8</v>
      </c>
      <c r="O528">
        <v>13577</v>
      </c>
      <c r="P528" t="s">
        <v>2178</v>
      </c>
      <c r="Q528">
        <v>47</v>
      </c>
      <c r="R528">
        <v>67</v>
      </c>
      <c r="S528">
        <v>136</v>
      </c>
      <c r="T528">
        <v>314</v>
      </c>
      <c r="U528" t="s">
        <v>2185</v>
      </c>
      <c r="W528" t="s">
        <v>2209</v>
      </c>
      <c r="X528" t="s">
        <v>2211</v>
      </c>
      <c r="Y528" t="s">
        <v>2213</v>
      </c>
      <c r="Z528" s="1">
        <v>45575</v>
      </c>
      <c r="AA528" s="1">
        <v>45595</v>
      </c>
      <c r="AB528" t="s">
        <v>2215</v>
      </c>
      <c r="AC528" t="s">
        <v>2208</v>
      </c>
      <c r="AD528" t="s">
        <v>2219</v>
      </c>
      <c r="AE528" t="s">
        <v>2163</v>
      </c>
      <c r="AF528" t="s">
        <v>2161</v>
      </c>
      <c r="AG528" t="s">
        <v>2222</v>
      </c>
      <c r="AH528">
        <v>250</v>
      </c>
      <c r="AI528">
        <v>270</v>
      </c>
      <c r="AJ528">
        <v>20</v>
      </c>
      <c r="AK528">
        <v>2</v>
      </c>
      <c r="AL528" t="s">
        <v>2228</v>
      </c>
      <c r="AM528">
        <v>0</v>
      </c>
      <c r="AN528" t="s">
        <v>2175</v>
      </c>
      <c r="AO528" t="s">
        <v>2175</v>
      </c>
      <c r="AP528" t="s">
        <v>2177</v>
      </c>
      <c r="AQ528">
        <v>149.80000000000001</v>
      </c>
      <c r="AR528">
        <v>3</v>
      </c>
      <c r="AS528">
        <v>3</v>
      </c>
      <c r="AT528">
        <v>3</v>
      </c>
      <c r="AU528">
        <v>2</v>
      </c>
      <c r="AV528">
        <v>2.666666666666667</v>
      </c>
      <c r="AW528">
        <v>4.4000000000000004</v>
      </c>
      <c r="AX528">
        <v>4.3</v>
      </c>
      <c r="AY528">
        <v>4.5999999999999996</v>
      </c>
      <c r="AZ528">
        <v>2</v>
      </c>
      <c r="BA528">
        <v>3</v>
      </c>
      <c r="BB528">
        <v>30</v>
      </c>
      <c r="BC528">
        <v>24</v>
      </c>
      <c r="BD528">
        <v>26.21</v>
      </c>
      <c r="BE528">
        <v>116</v>
      </c>
      <c r="BF528">
        <v>87.4</v>
      </c>
      <c r="BG528">
        <v>36</v>
      </c>
      <c r="BH528">
        <v>24</v>
      </c>
      <c r="BI528">
        <v>31.79</v>
      </c>
      <c r="BJ528">
        <v>142</v>
      </c>
      <c r="BK528">
        <v>88.3</v>
      </c>
      <c r="BL528">
        <v>250</v>
      </c>
      <c r="BM528">
        <v>28.262499999999999</v>
      </c>
    </row>
    <row r="529" spans="1:65" x14ac:dyDescent="0.25">
      <c r="A529" t="s">
        <v>592</v>
      </c>
      <c r="B529" t="s">
        <v>1574</v>
      </c>
      <c r="C529" t="s">
        <v>2159</v>
      </c>
      <c r="D529" s="1">
        <v>45481</v>
      </c>
      <c r="E529" s="1">
        <v>45508</v>
      </c>
      <c r="F529" s="1">
        <v>45810</v>
      </c>
      <c r="G529" t="s">
        <v>2163</v>
      </c>
      <c r="I529" t="s">
        <v>2175</v>
      </c>
      <c r="J529">
        <v>84371</v>
      </c>
      <c r="K529">
        <v>2531</v>
      </c>
      <c r="L529">
        <v>17.100000000000001</v>
      </c>
      <c r="M529">
        <v>15.7</v>
      </c>
      <c r="N529">
        <v>6</v>
      </c>
      <c r="O529">
        <v>16448</v>
      </c>
      <c r="P529" t="s">
        <v>2178</v>
      </c>
      <c r="Q529">
        <v>55</v>
      </c>
      <c r="R529">
        <v>88</v>
      </c>
      <c r="S529">
        <v>140</v>
      </c>
      <c r="T529">
        <v>298</v>
      </c>
      <c r="U529" t="s">
        <v>2181</v>
      </c>
      <c r="W529" t="s">
        <v>2209</v>
      </c>
      <c r="X529" t="s">
        <v>2211</v>
      </c>
      <c r="Y529" t="s">
        <v>2213</v>
      </c>
      <c r="Z529" s="1">
        <v>45791</v>
      </c>
      <c r="AA529" s="1">
        <v>45809</v>
      </c>
      <c r="AB529" t="s">
        <v>2214</v>
      </c>
      <c r="AC529" t="s">
        <v>2209</v>
      </c>
      <c r="AD529" t="s">
        <v>2219</v>
      </c>
      <c r="AE529" t="s">
        <v>2166</v>
      </c>
      <c r="AF529" t="s">
        <v>2163</v>
      </c>
      <c r="AG529" t="s">
        <v>2222</v>
      </c>
      <c r="AH529">
        <v>283</v>
      </c>
      <c r="AI529">
        <v>301</v>
      </c>
      <c r="AJ529">
        <v>18</v>
      </c>
      <c r="AK529">
        <v>8</v>
      </c>
      <c r="AL529" t="s">
        <v>2232</v>
      </c>
      <c r="AM529">
        <v>0</v>
      </c>
      <c r="AN529" t="s">
        <v>2175</v>
      </c>
      <c r="AO529" t="s">
        <v>2177</v>
      </c>
      <c r="AP529" t="s">
        <v>2175</v>
      </c>
      <c r="AQ529">
        <v>268.47000000000003</v>
      </c>
      <c r="AR529">
        <v>3</v>
      </c>
      <c r="AS529">
        <v>3</v>
      </c>
      <c r="AT529">
        <v>2</v>
      </c>
      <c r="AU529">
        <v>3</v>
      </c>
      <c r="AV529">
        <v>2.666666666666667</v>
      </c>
      <c r="AW529">
        <v>4.8</v>
      </c>
      <c r="AX529">
        <v>4.4000000000000004</v>
      </c>
      <c r="AY529">
        <v>4.4000000000000004</v>
      </c>
      <c r="AZ529">
        <v>0</v>
      </c>
      <c r="BA529">
        <v>3</v>
      </c>
      <c r="BB529">
        <v>41</v>
      </c>
      <c r="BC529">
        <v>26</v>
      </c>
      <c r="BD529">
        <v>36.15</v>
      </c>
      <c r="BE529">
        <v>176</v>
      </c>
      <c r="BF529">
        <v>88.2</v>
      </c>
      <c r="BG529">
        <v>37</v>
      </c>
      <c r="BH529">
        <v>26</v>
      </c>
      <c r="BI529">
        <v>32.880000000000003</v>
      </c>
      <c r="BJ529">
        <v>161</v>
      </c>
      <c r="BK529">
        <v>88.9</v>
      </c>
      <c r="BL529">
        <v>337</v>
      </c>
      <c r="BM529">
        <v>18.433700000000002</v>
      </c>
    </row>
    <row r="530" spans="1:65" x14ac:dyDescent="0.25">
      <c r="A530" t="s">
        <v>593</v>
      </c>
      <c r="B530" t="s">
        <v>1575</v>
      </c>
      <c r="C530" t="s">
        <v>2159</v>
      </c>
      <c r="D530" s="1">
        <v>45556</v>
      </c>
      <c r="E530" s="1">
        <v>45581</v>
      </c>
      <c r="F530" s="1">
        <v>45761</v>
      </c>
      <c r="G530" t="s">
        <v>2162</v>
      </c>
      <c r="I530" t="s">
        <v>2175</v>
      </c>
      <c r="J530">
        <v>61704</v>
      </c>
      <c r="K530">
        <v>1851</v>
      </c>
      <c r="L530">
        <v>16.8</v>
      </c>
      <c r="M530">
        <v>14.5</v>
      </c>
      <c r="N530">
        <v>6</v>
      </c>
      <c r="O530">
        <v>16153</v>
      </c>
      <c r="P530" t="s">
        <v>2178</v>
      </c>
      <c r="Q530">
        <v>37</v>
      </c>
      <c r="R530">
        <v>60</v>
      </c>
      <c r="S530">
        <v>66</v>
      </c>
      <c r="T530">
        <v>378</v>
      </c>
      <c r="U530" t="s">
        <v>2202</v>
      </c>
      <c r="W530" t="s">
        <v>2209</v>
      </c>
      <c r="X530" t="s">
        <v>2211</v>
      </c>
      <c r="Y530" t="s">
        <v>2213</v>
      </c>
      <c r="Z530" s="1">
        <v>45744</v>
      </c>
      <c r="AA530" s="1">
        <v>45761</v>
      </c>
      <c r="AB530" t="s">
        <v>2214</v>
      </c>
      <c r="AC530" t="s">
        <v>2209</v>
      </c>
      <c r="AD530" t="s">
        <v>2219</v>
      </c>
      <c r="AE530" t="s">
        <v>2163</v>
      </c>
      <c r="AF530" t="s">
        <v>2166</v>
      </c>
      <c r="AG530" t="s">
        <v>2222</v>
      </c>
      <c r="AH530">
        <v>163</v>
      </c>
      <c r="AI530">
        <v>180</v>
      </c>
      <c r="AJ530">
        <v>17</v>
      </c>
      <c r="AK530">
        <v>10</v>
      </c>
      <c r="AL530" t="s">
        <v>2230</v>
      </c>
      <c r="AM530">
        <v>1</v>
      </c>
      <c r="AN530" t="s">
        <v>2175</v>
      </c>
      <c r="AO530" t="s">
        <v>2177</v>
      </c>
      <c r="AP530" t="s">
        <v>2175</v>
      </c>
      <c r="AQ530">
        <v>243.6</v>
      </c>
      <c r="AR530">
        <v>3</v>
      </c>
      <c r="AS530">
        <v>3</v>
      </c>
      <c r="AT530">
        <v>2</v>
      </c>
      <c r="AU530">
        <v>3</v>
      </c>
      <c r="AV530">
        <v>2.666666666666667</v>
      </c>
      <c r="AW530">
        <v>4.4000000000000004</v>
      </c>
      <c r="AX530">
        <v>4.8</v>
      </c>
      <c r="AY530">
        <v>4.2</v>
      </c>
      <c r="AZ530">
        <v>0</v>
      </c>
      <c r="BA530">
        <v>3</v>
      </c>
      <c r="BB530">
        <v>37</v>
      </c>
      <c r="BC530">
        <v>27</v>
      </c>
      <c r="BD530">
        <v>32.81</v>
      </c>
      <c r="BE530">
        <v>165</v>
      </c>
      <c r="BF530">
        <v>88.7</v>
      </c>
      <c r="BG530">
        <v>25</v>
      </c>
      <c r="BH530">
        <v>27</v>
      </c>
      <c r="BI530">
        <v>21.89</v>
      </c>
      <c r="BJ530">
        <v>108</v>
      </c>
      <c r="BK530">
        <v>87.6</v>
      </c>
      <c r="BL530">
        <v>385</v>
      </c>
      <c r="BM530">
        <v>13.8474</v>
      </c>
    </row>
    <row r="531" spans="1:65" x14ac:dyDescent="0.25">
      <c r="A531" t="s">
        <v>594</v>
      </c>
      <c r="B531" t="s">
        <v>1576</v>
      </c>
      <c r="C531" t="s">
        <v>2160</v>
      </c>
      <c r="D531" s="1">
        <v>45453</v>
      </c>
      <c r="E531" s="1">
        <v>45488</v>
      </c>
      <c r="F531" s="1">
        <v>45763</v>
      </c>
      <c r="G531" t="s">
        <v>2163</v>
      </c>
      <c r="I531" t="s">
        <v>2175</v>
      </c>
      <c r="J531">
        <v>74201</v>
      </c>
      <c r="K531">
        <v>2226</v>
      </c>
      <c r="L531">
        <v>8.6</v>
      </c>
      <c r="M531">
        <v>13.6</v>
      </c>
      <c r="N531">
        <v>6</v>
      </c>
      <c r="O531">
        <v>13868</v>
      </c>
      <c r="P531" t="s">
        <v>2178</v>
      </c>
      <c r="Q531">
        <v>61</v>
      </c>
      <c r="R531">
        <v>109</v>
      </c>
      <c r="S531">
        <v>76</v>
      </c>
      <c r="T531">
        <v>301</v>
      </c>
      <c r="U531" t="s">
        <v>2185</v>
      </c>
      <c r="W531" t="s">
        <v>2209</v>
      </c>
      <c r="X531" t="s">
        <v>2211</v>
      </c>
      <c r="Y531" t="s">
        <v>2213</v>
      </c>
      <c r="Z531" s="1">
        <v>45734</v>
      </c>
      <c r="AA531" s="1">
        <v>45761</v>
      </c>
      <c r="AB531" t="s">
        <v>2214</v>
      </c>
      <c r="AC531" t="s">
        <v>2209</v>
      </c>
      <c r="AD531" t="s">
        <v>2219</v>
      </c>
      <c r="AE531" t="s">
        <v>2163</v>
      </c>
      <c r="AF531" t="s">
        <v>2161</v>
      </c>
      <c r="AG531" t="s">
        <v>2222</v>
      </c>
      <c r="AH531">
        <v>246</v>
      </c>
      <c r="AI531">
        <v>273</v>
      </c>
      <c r="AJ531">
        <v>27</v>
      </c>
      <c r="AK531">
        <v>7</v>
      </c>
      <c r="AL531" t="s">
        <v>2226</v>
      </c>
      <c r="AM531">
        <v>0</v>
      </c>
      <c r="AN531" t="s">
        <v>2177</v>
      </c>
      <c r="AO531" t="s">
        <v>2177</v>
      </c>
      <c r="AP531" t="s">
        <v>2177</v>
      </c>
      <c r="AQ531">
        <v>116.96</v>
      </c>
      <c r="AR531">
        <v>3</v>
      </c>
      <c r="AS531">
        <v>2</v>
      </c>
      <c r="AT531">
        <v>2</v>
      </c>
      <c r="AU531">
        <v>2</v>
      </c>
      <c r="AV531">
        <v>2</v>
      </c>
      <c r="AW531">
        <v>4.4000000000000004</v>
      </c>
      <c r="AX531">
        <v>4.3</v>
      </c>
      <c r="AY531">
        <v>4.4000000000000004</v>
      </c>
      <c r="AZ531">
        <v>1</v>
      </c>
      <c r="BA531">
        <v>3</v>
      </c>
      <c r="BB531">
        <v>33</v>
      </c>
      <c r="BC531">
        <v>27</v>
      </c>
      <c r="BD531">
        <v>28.89</v>
      </c>
      <c r="BE531">
        <v>145</v>
      </c>
      <c r="BF531">
        <v>87.5</v>
      </c>
      <c r="BG531">
        <v>33</v>
      </c>
      <c r="BH531">
        <v>27</v>
      </c>
      <c r="BI531">
        <v>28.89</v>
      </c>
      <c r="BJ531">
        <v>145</v>
      </c>
      <c r="BK531">
        <v>87.5</v>
      </c>
      <c r="BL531">
        <v>274</v>
      </c>
      <c r="BM531">
        <v>18.9482</v>
      </c>
    </row>
    <row r="532" spans="1:65" x14ac:dyDescent="0.25">
      <c r="A532" t="s">
        <v>595</v>
      </c>
      <c r="B532" t="s">
        <v>1577</v>
      </c>
      <c r="C532" t="s">
        <v>2160</v>
      </c>
      <c r="D532" s="1">
        <v>45343</v>
      </c>
      <c r="E532" s="1">
        <v>45363</v>
      </c>
      <c r="F532" s="1">
        <v>45552</v>
      </c>
      <c r="G532" t="s">
        <v>2164</v>
      </c>
      <c r="I532" t="s">
        <v>2175</v>
      </c>
      <c r="J532">
        <v>58083</v>
      </c>
      <c r="K532">
        <v>1742</v>
      </c>
      <c r="L532">
        <v>11.8</v>
      </c>
      <c r="M532">
        <v>9.1999999999999993</v>
      </c>
      <c r="N532">
        <v>7</v>
      </c>
      <c r="O532">
        <v>13540</v>
      </c>
      <c r="P532" t="s">
        <v>2178</v>
      </c>
      <c r="Q532">
        <v>41</v>
      </c>
      <c r="R532">
        <v>66</v>
      </c>
      <c r="S532">
        <v>57</v>
      </c>
      <c r="T532">
        <v>354</v>
      </c>
      <c r="U532" t="s">
        <v>2189</v>
      </c>
      <c r="W532" t="s">
        <v>2209</v>
      </c>
      <c r="X532" t="s">
        <v>2211</v>
      </c>
      <c r="Y532" t="s">
        <v>2213</v>
      </c>
      <c r="Z532" s="1">
        <v>45527</v>
      </c>
      <c r="AA532" s="1">
        <v>45545</v>
      </c>
      <c r="AB532" t="s">
        <v>2214</v>
      </c>
      <c r="AC532" t="s">
        <v>2209</v>
      </c>
      <c r="AD532" t="s">
        <v>2219</v>
      </c>
      <c r="AE532" t="s">
        <v>2165</v>
      </c>
      <c r="AF532" t="s">
        <v>2166</v>
      </c>
      <c r="AG532" t="s">
        <v>2222</v>
      </c>
      <c r="AH532">
        <v>164</v>
      </c>
      <c r="AI532">
        <v>182</v>
      </c>
      <c r="AJ532">
        <v>18</v>
      </c>
      <c r="AK532">
        <v>3</v>
      </c>
      <c r="AL532" t="s">
        <v>2227</v>
      </c>
      <c r="AM532">
        <v>0</v>
      </c>
      <c r="AN532" t="s">
        <v>2177</v>
      </c>
      <c r="AO532" t="s">
        <v>2175</v>
      </c>
      <c r="AP532" t="s">
        <v>2177</v>
      </c>
      <c r="AQ532">
        <v>108.56</v>
      </c>
      <c r="AR532">
        <v>3</v>
      </c>
      <c r="AS532">
        <v>2</v>
      </c>
      <c r="AT532">
        <v>3</v>
      </c>
      <c r="AU532">
        <v>2</v>
      </c>
      <c r="AV532">
        <v>2.333333333333333</v>
      </c>
      <c r="AW532">
        <v>4.5999999999999996</v>
      </c>
      <c r="AX532">
        <v>4.8</v>
      </c>
      <c r="AY532">
        <v>4.5</v>
      </c>
      <c r="AZ532">
        <v>1</v>
      </c>
      <c r="BA532">
        <v>3</v>
      </c>
      <c r="BB532">
        <v>48</v>
      </c>
      <c r="BC532">
        <v>26</v>
      </c>
      <c r="BD532">
        <v>42.38</v>
      </c>
      <c r="BE532">
        <v>212</v>
      </c>
      <c r="BF532">
        <v>88.3</v>
      </c>
      <c r="BG532">
        <v>30</v>
      </c>
      <c r="BH532">
        <v>26</v>
      </c>
      <c r="BI532">
        <v>26.31</v>
      </c>
      <c r="BJ532">
        <v>128</v>
      </c>
      <c r="BK532">
        <v>87.7</v>
      </c>
      <c r="BL532">
        <v>428</v>
      </c>
      <c r="BM532">
        <v>10.535600000000001</v>
      </c>
    </row>
    <row r="533" spans="1:65" x14ac:dyDescent="0.25">
      <c r="A533" t="s">
        <v>596</v>
      </c>
      <c r="B533" t="s">
        <v>1578</v>
      </c>
      <c r="C533" t="s">
        <v>2159</v>
      </c>
      <c r="D533" s="1">
        <v>45289</v>
      </c>
      <c r="E533" s="1">
        <v>45310</v>
      </c>
      <c r="F533" s="1">
        <v>45550</v>
      </c>
      <c r="G533" t="s">
        <v>2161</v>
      </c>
      <c r="I533" t="s">
        <v>2175</v>
      </c>
      <c r="J533">
        <v>68395</v>
      </c>
      <c r="K533">
        <v>2051</v>
      </c>
      <c r="L533">
        <v>13.1</v>
      </c>
      <c r="M533">
        <v>9.6</v>
      </c>
      <c r="N533">
        <v>7</v>
      </c>
      <c r="O533">
        <v>19971</v>
      </c>
      <c r="P533" t="s">
        <v>2178</v>
      </c>
      <c r="Q533">
        <v>48</v>
      </c>
      <c r="R533">
        <v>64</v>
      </c>
      <c r="S533">
        <v>103</v>
      </c>
      <c r="T533">
        <v>318</v>
      </c>
      <c r="U533" t="s">
        <v>2179</v>
      </c>
      <c r="W533" t="s">
        <v>2209</v>
      </c>
      <c r="X533" t="s">
        <v>2211</v>
      </c>
      <c r="Y533" t="s">
        <v>2213</v>
      </c>
      <c r="Z533" s="1">
        <v>45525</v>
      </c>
      <c r="AA533" s="1">
        <v>45540</v>
      </c>
      <c r="AB533" t="s">
        <v>2214</v>
      </c>
      <c r="AC533" t="s">
        <v>2209</v>
      </c>
      <c r="AD533" t="s">
        <v>2219</v>
      </c>
      <c r="AE533" t="s">
        <v>2165</v>
      </c>
      <c r="AF533" t="s">
        <v>2162</v>
      </c>
      <c r="AG533" t="s">
        <v>2222</v>
      </c>
      <c r="AH533">
        <v>215</v>
      </c>
      <c r="AI533">
        <v>230</v>
      </c>
      <c r="AJ533">
        <v>15</v>
      </c>
      <c r="AK533">
        <v>1</v>
      </c>
      <c r="AL533" t="s">
        <v>2233</v>
      </c>
      <c r="AM533">
        <v>0</v>
      </c>
      <c r="AN533" t="s">
        <v>2177</v>
      </c>
      <c r="AO533" t="s">
        <v>2175</v>
      </c>
      <c r="AP533" t="s">
        <v>2175</v>
      </c>
      <c r="AQ533">
        <v>125.76</v>
      </c>
      <c r="AR533">
        <v>3</v>
      </c>
      <c r="AS533">
        <v>2</v>
      </c>
      <c r="AT533">
        <v>3</v>
      </c>
      <c r="AU533">
        <v>3</v>
      </c>
      <c r="AV533">
        <v>2.666666666666667</v>
      </c>
      <c r="AW533">
        <v>4.5999999999999996</v>
      </c>
      <c r="AX533">
        <v>4.2</v>
      </c>
      <c r="AY533">
        <v>4.3</v>
      </c>
      <c r="AZ533">
        <v>0</v>
      </c>
      <c r="BA533">
        <v>3</v>
      </c>
      <c r="BB533">
        <v>43</v>
      </c>
      <c r="BC533">
        <v>27</v>
      </c>
      <c r="BD533">
        <v>38.299999999999997</v>
      </c>
      <c r="BE533">
        <v>197</v>
      </c>
      <c r="BF533">
        <v>89.1</v>
      </c>
      <c r="BG533">
        <v>33</v>
      </c>
      <c r="BH533">
        <v>27</v>
      </c>
      <c r="BI533">
        <v>28.81</v>
      </c>
      <c r="BJ533">
        <v>146</v>
      </c>
      <c r="BK533">
        <v>87.3</v>
      </c>
      <c r="BL533">
        <v>310</v>
      </c>
      <c r="BM533">
        <v>12.856199999999999</v>
      </c>
    </row>
    <row r="534" spans="1:65" x14ac:dyDescent="0.25">
      <c r="A534" t="s">
        <v>597</v>
      </c>
      <c r="B534" t="s">
        <v>1579</v>
      </c>
      <c r="C534" t="s">
        <v>2159</v>
      </c>
      <c r="D534" s="1">
        <v>45519</v>
      </c>
      <c r="E534" s="1">
        <v>45575</v>
      </c>
      <c r="F534" s="1">
        <v>45823</v>
      </c>
      <c r="G534" t="s">
        <v>2162</v>
      </c>
      <c r="I534" t="s">
        <v>2175</v>
      </c>
      <c r="J534">
        <v>85682</v>
      </c>
      <c r="K534">
        <v>2570</v>
      </c>
      <c r="L534">
        <v>16.7</v>
      </c>
      <c r="M534">
        <v>9.6</v>
      </c>
      <c r="N534">
        <v>8</v>
      </c>
      <c r="O534">
        <v>14190</v>
      </c>
      <c r="P534" t="s">
        <v>2178</v>
      </c>
      <c r="Q534">
        <v>43</v>
      </c>
      <c r="R534">
        <v>66</v>
      </c>
      <c r="S534">
        <v>126</v>
      </c>
      <c r="T534">
        <v>364</v>
      </c>
      <c r="U534" t="s">
        <v>2204</v>
      </c>
      <c r="W534" t="s">
        <v>2209</v>
      </c>
      <c r="X534" t="s">
        <v>2211</v>
      </c>
      <c r="Y534" t="s">
        <v>2213</v>
      </c>
      <c r="Z534" s="1">
        <v>45810</v>
      </c>
      <c r="AA534" s="1">
        <v>45830</v>
      </c>
      <c r="AB534" t="s">
        <v>2214</v>
      </c>
      <c r="AC534" t="s">
        <v>2209</v>
      </c>
      <c r="AD534" t="s">
        <v>2219</v>
      </c>
      <c r="AE534" t="s">
        <v>2166</v>
      </c>
      <c r="AF534" t="s">
        <v>2164</v>
      </c>
      <c r="AG534" t="s">
        <v>2222</v>
      </c>
      <c r="AH534">
        <v>235</v>
      </c>
      <c r="AI534">
        <v>255</v>
      </c>
      <c r="AJ534">
        <v>20</v>
      </c>
      <c r="AK534">
        <v>10</v>
      </c>
      <c r="AL534" t="s">
        <v>2230</v>
      </c>
      <c r="AM534">
        <v>1</v>
      </c>
      <c r="AN534" t="s">
        <v>2175</v>
      </c>
      <c r="AO534" t="s">
        <v>2175</v>
      </c>
      <c r="AP534" t="s">
        <v>2177</v>
      </c>
      <c r="AQ534">
        <v>160.32</v>
      </c>
      <c r="AR534">
        <v>3</v>
      </c>
      <c r="AS534">
        <v>3</v>
      </c>
      <c r="AT534">
        <v>3</v>
      </c>
      <c r="AU534">
        <v>2</v>
      </c>
      <c r="AV534">
        <v>2.666666666666667</v>
      </c>
      <c r="AW534">
        <v>4.8</v>
      </c>
      <c r="AX534">
        <v>4.5</v>
      </c>
      <c r="AY534">
        <v>4.2</v>
      </c>
      <c r="AZ534">
        <v>0</v>
      </c>
      <c r="BA534">
        <v>3</v>
      </c>
      <c r="BB534">
        <v>50</v>
      </c>
      <c r="BC534">
        <v>27</v>
      </c>
      <c r="BD534">
        <v>42.44</v>
      </c>
      <c r="BE534">
        <v>220</v>
      </c>
      <c r="BF534">
        <v>84.9</v>
      </c>
      <c r="BG534">
        <v>25</v>
      </c>
      <c r="BH534">
        <v>27</v>
      </c>
      <c r="BI534">
        <v>21.89</v>
      </c>
      <c r="BJ534">
        <v>108</v>
      </c>
      <c r="BK534">
        <v>87.6</v>
      </c>
      <c r="BL534">
        <v>336</v>
      </c>
      <c r="BM534">
        <v>14.4222</v>
      </c>
    </row>
    <row r="535" spans="1:65" x14ac:dyDescent="0.25">
      <c r="A535" t="s">
        <v>598</v>
      </c>
      <c r="B535" t="s">
        <v>1580</v>
      </c>
      <c r="C535" t="s">
        <v>2157</v>
      </c>
      <c r="D535" s="1">
        <v>45511</v>
      </c>
      <c r="E535" s="1">
        <v>45539</v>
      </c>
      <c r="F535" s="1">
        <v>45857</v>
      </c>
      <c r="G535" t="s">
        <v>2162</v>
      </c>
      <c r="I535" t="s">
        <v>2175</v>
      </c>
      <c r="J535">
        <v>86982</v>
      </c>
      <c r="K535">
        <v>2609</v>
      </c>
      <c r="L535">
        <v>14.7</v>
      </c>
      <c r="M535">
        <v>13.3</v>
      </c>
      <c r="N535">
        <v>7</v>
      </c>
      <c r="O535">
        <v>15138</v>
      </c>
      <c r="P535" t="s">
        <v>2178</v>
      </c>
      <c r="Q535">
        <v>83</v>
      </c>
      <c r="R535">
        <v>130</v>
      </c>
      <c r="S535">
        <v>93</v>
      </c>
      <c r="T535">
        <v>284</v>
      </c>
      <c r="U535" t="s">
        <v>2201</v>
      </c>
      <c r="W535" t="s">
        <v>2209</v>
      </c>
      <c r="X535" t="s">
        <v>2211</v>
      </c>
      <c r="Y535" t="s">
        <v>2213</v>
      </c>
      <c r="Z535" s="1">
        <v>45845</v>
      </c>
      <c r="AA535" s="1">
        <v>45866</v>
      </c>
      <c r="AB535" t="s">
        <v>2215</v>
      </c>
      <c r="AC535" t="s">
        <v>2208</v>
      </c>
      <c r="AD535" t="s">
        <v>2219</v>
      </c>
      <c r="AE535" t="s">
        <v>2165</v>
      </c>
      <c r="AF535" t="s">
        <v>2161</v>
      </c>
      <c r="AG535" t="s">
        <v>2222</v>
      </c>
      <c r="AH535">
        <v>306</v>
      </c>
      <c r="AI535">
        <v>327</v>
      </c>
      <c r="AJ535">
        <v>21</v>
      </c>
      <c r="AK535">
        <v>9</v>
      </c>
      <c r="AL535" t="s">
        <v>2234</v>
      </c>
      <c r="AM535">
        <v>0</v>
      </c>
      <c r="AN535" t="s">
        <v>2175</v>
      </c>
      <c r="AO535" t="s">
        <v>2175</v>
      </c>
      <c r="AP535" t="s">
        <v>2175</v>
      </c>
      <c r="AQ535">
        <v>195.51</v>
      </c>
      <c r="AR535">
        <v>3</v>
      </c>
      <c r="AS535">
        <v>3</v>
      </c>
      <c r="AT535">
        <v>3</v>
      </c>
      <c r="AU535">
        <v>3</v>
      </c>
      <c r="AV535">
        <v>3</v>
      </c>
      <c r="AW535">
        <v>4.5999999999999996</v>
      </c>
      <c r="AX535">
        <v>4.3</v>
      </c>
      <c r="AY535">
        <v>4.2</v>
      </c>
      <c r="AZ535">
        <v>3</v>
      </c>
      <c r="BA535">
        <v>3</v>
      </c>
      <c r="BB535">
        <v>45</v>
      </c>
      <c r="BC535">
        <v>26</v>
      </c>
      <c r="BD535">
        <v>39.85</v>
      </c>
      <c r="BE535">
        <v>196</v>
      </c>
      <c r="BF535">
        <v>88.6</v>
      </c>
      <c r="BG535">
        <v>30</v>
      </c>
      <c r="BH535">
        <v>26</v>
      </c>
      <c r="BI535">
        <v>26.54</v>
      </c>
      <c r="BJ535">
        <v>129</v>
      </c>
      <c r="BK535">
        <v>88.5</v>
      </c>
      <c r="BL535">
        <v>315</v>
      </c>
      <c r="BM535">
        <v>17.065300000000001</v>
      </c>
    </row>
    <row r="536" spans="1:65" x14ac:dyDescent="0.25">
      <c r="A536" t="s">
        <v>599</v>
      </c>
      <c r="B536" t="s">
        <v>1581</v>
      </c>
      <c r="C536" t="s">
        <v>2158</v>
      </c>
      <c r="D536" s="1">
        <v>45367</v>
      </c>
      <c r="E536" s="1">
        <v>45417</v>
      </c>
      <c r="F536" s="1">
        <v>45663</v>
      </c>
      <c r="G536" t="s">
        <v>2165</v>
      </c>
      <c r="I536" t="s">
        <v>2175</v>
      </c>
      <c r="J536">
        <v>61721</v>
      </c>
      <c r="K536">
        <v>1851</v>
      </c>
      <c r="L536">
        <v>13.7</v>
      </c>
      <c r="M536">
        <v>17.3</v>
      </c>
      <c r="N536">
        <v>6</v>
      </c>
      <c r="O536">
        <v>18396</v>
      </c>
      <c r="P536" t="s">
        <v>2178</v>
      </c>
      <c r="Q536">
        <v>54</v>
      </c>
      <c r="R536">
        <v>76</v>
      </c>
      <c r="S536">
        <v>87</v>
      </c>
      <c r="T536">
        <v>284</v>
      </c>
      <c r="U536" t="s">
        <v>2181</v>
      </c>
      <c r="W536" t="s">
        <v>2209</v>
      </c>
      <c r="X536" t="s">
        <v>2211</v>
      </c>
      <c r="Y536" t="s">
        <v>2213</v>
      </c>
      <c r="Z536" s="1">
        <v>45634</v>
      </c>
      <c r="AA536" s="1">
        <v>45654</v>
      </c>
      <c r="AB536" t="s">
        <v>2214</v>
      </c>
      <c r="AC536" t="s">
        <v>2209</v>
      </c>
      <c r="AD536" t="s">
        <v>2219</v>
      </c>
      <c r="AE536" t="s">
        <v>2166</v>
      </c>
      <c r="AF536" t="s">
        <v>2163</v>
      </c>
      <c r="AG536" t="s">
        <v>2222</v>
      </c>
      <c r="AH536">
        <v>217</v>
      </c>
      <c r="AI536">
        <v>237</v>
      </c>
      <c r="AJ536">
        <v>20</v>
      </c>
      <c r="AK536">
        <v>5</v>
      </c>
      <c r="AL536" t="s">
        <v>2224</v>
      </c>
      <c r="AM536">
        <v>0</v>
      </c>
      <c r="AN536" t="s">
        <v>2175</v>
      </c>
      <c r="AO536" t="s">
        <v>2177</v>
      </c>
      <c r="AP536" t="s">
        <v>2175</v>
      </c>
      <c r="AQ536">
        <v>237.01</v>
      </c>
      <c r="AR536">
        <v>3</v>
      </c>
      <c r="AS536">
        <v>3</v>
      </c>
      <c r="AT536">
        <v>2</v>
      </c>
      <c r="AU536">
        <v>3</v>
      </c>
      <c r="AV536">
        <v>2.666666666666667</v>
      </c>
      <c r="AW536">
        <v>4.8</v>
      </c>
      <c r="AX536">
        <v>4.4000000000000004</v>
      </c>
      <c r="AY536">
        <v>4.5999999999999996</v>
      </c>
      <c r="AZ536">
        <v>2</v>
      </c>
      <c r="BA536">
        <v>3</v>
      </c>
      <c r="BB536">
        <v>43</v>
      </c>
      <c r="BC536">
        <v>27</v>
      </c>
      <c r="BD536">
        <v>37.299999999999997</v>
      </c>
      <c r="BE536">
        <v>193</v>
      </c>
      <c r="BF536">
        <v>86.7</v>
      </c>
      <c r="BG536">
        <v>36</v>
      </c>
      <c r="BH536">
        <v>27</v>
      </c>
      <c r="BI536">
        <v>31.37</v>
      </c>
      <c r="BJ536">
        <v>158</v>
      </c>
      <c r="BK536">
        <v>87.1</v>
      </c>
      <c r="BL536">
        <v>364</v>
      </c>
      <c r="BM536">
        <v>11.8421</v>
      </c>
    </row>
    <row r="537" spans="1:65" x14ac:dyDescent="0.25">
      <c r="A537" t="s">
        <v>600</v>
      </c>
      <c r="B537" t="s">
        <v>1582</v>
      </c>
      <c r="C537" t="s">
        <v>2160</v>
      </c>
      <c r="D537" s="1">
        <v>45410</v>
      </c>
      <c r="E537" s="1">
        <v>45461</v>
      </c>
      <c r="F537" s="1">
        <v>45621</v>
      </c>
      <c r="G537" t="s">
        <v>2166</v>
      </c>
      <c r="I537" t="s">
        <v>2175</v>
      </c>
      <c r="J537">
        <v>66138</v>
      </c>
      <c r="K537">
        <v>1984</v>
      </c>
      <c r="L537">
        <v>8.6999999999999993</v>
      </c>
      <c r="M537">
        <v>8.3000000000000007</v>
      </c>
      <c r="N537">
        <v>8</v>
      </c>
      <c r="O537">
        <v>17699</v>
      </c>
      <c r="P537" t="s">
        <v>2178</v>
      </c>
      <c r="Q537">
        <v>34</v>
      </c>
      <c r="R537">
        <v>58</v>
      </c>
      <c r="S537">
        <v>57</v>
      </c>
      <c r="T537">
        <v>443</v>
      </c>
      <c r="U537" t="s">
        <v>2182</v>
      </c>
      <c r="W537" t="s">
        <v>2209</v>
      </c>
      <c r="X537" t="s">
        <v>2211</v>
      </c>
      <c r="Y537" t="s">
        <v>2213</v>
      </c>
      <c r="Z537" s="1">
        <v>45610</v>
      </c>
      <c r="AA537" s="1">
        <v>45637</v>
      </c>
      <c r="AB537" t="s">
        <v>2215</v>
      </c>
      <c r="AC537" t="s">
        <v>2208</v>
      </c>
      <c r="AD537" t="s">
        <v>2219</v>
      </c>
      <c r="AE537" t="s">
        <v>2166</v>
      </c>
      <c r="AF537" t="s">
        <v>2162</v>
      </c>
      <c r="AG537" t="s">
        <v>2222</v>
      </c>
      <c r="AH537">
        <v>149</v>
      </c>
      <c r="AI537">
        <v>176</v>
      </c>
      <c r="AJ537">
        <v>27</v>
      </c>
      <c r="AK537">
        <v>6</v>
      </c>
      <c r="AL537" t="s">
        <v>2223</v>
      </c>
      <c r="AM537">
        <v>0</v>
      </c>
      <c r="AN537" t="s">
        <v>2177</v>
      </c>
      <c r="AO537" t="s">
        <v>2175</v>
      </c>
      <c r="AP537" t="s">
        <v>2175</v>
      </c>
      <c r="AQ537">
        <v>72.209999999999994</v>
      </c>
      <c r="AR537">
        <v>3</v>
      </c>
      <c r="AS537">
        <v>2</v>
      </c>
      <c r="AT537">
        <v>3</v>
      </c>
      <c r="AU537">
        <v>3</v>
      </c>
      <c r="AV537">
        <v>2.666666666666667</v>
      </c>
      <c r="AW537">
        <v>4.8</v>
      </c>
      <c r="AX537">
        <v>4.2</v>
      </c>
      <c r="AY537">
        <v>4.8</v>
      </c>
      <c r="AZ537">
        <v>1</v>
      </c>
      <c r="BA537">
        <v>3</v>
      </c>
      <c r="BB537">
        <v>45</v>
      </c>
      <c r="BC537">
        <v>25</v>
      </c>
      <c r="BD537">
        <v>39.200000000000003</v>
      </c>
      <c r="BE537">
        <v>186</v>
      </c>
      <c r="BF537">
        <v>87.1</v>
      </c>
      <c r="BG537">
        <v>45</v>
      </c>
      <c r="BH537">
        <v>25</v>
      </c>
      <c r="BI537">
        <v>39.200000000000003</v>
      </c>
      <c r="BJ537">
        <v>186</v>
      </c>
      <c r="BK537">
        <v>87.1</v>
      </c>
      <c r="BL537">
        <v>303</v>
      </c>
      <c r="BM537">
        <v>14.2202</v>
      </c>
    </row>
    <row r="538" spans="1:65" x14ac:dyDescent="0.25">
      <c r="A538" t="s">
        <v>601</v>
      </c>
      <c r="B538" t="s">
        <v>1583</v>
      </c>
      <c r="C538" t="s">
        <v>2157</v>
      </c>
      <c r="D538" s="1">
        <v>45431</v>
      </c>
      <c r="E538" s="1">
        <v>45461</v>
      </c>
      <c r="F538" s="1">
        <v>45679</v>
      </c>
      <c r="G538" t="s">
        <v>2165</v>
      </c>
      <c r="I538" t="s">
        <v>2175</v>
      </c>
      <c r="J538">
        <v>67677</v>
      </c>
      <c r="K538">
        <v>2030</v>
      </c>
      <c r="L538">
        <v>11.9</v>
      </c>
      <c r="M538">
        <v>13.6</v>
      </c>
      <c r="N538">
        <v>7</v>
      </c>
      <c r="O538">
        <v>18488</v>
      </c>
      <c r="P538" t="s">
        <v>2178</v>
      </c>
      <c r="Q538">
        <v>36</v>
      </c>
      <c r="R538">
        <v>47</v>
      </c>
      <c r="S538">
        <v>107</v>
      </c>
      <c r="T538">
        <v>356</v>
      </c>
      <c r="U538" t="s">
        <v>2198</v>
      </c>
      <c r="W538" t="s">
        <v>2209</v>
      </c>
      <c r="X538" t="s">
        <v>2211</v>
      </c>
      <c r="Y538" t="s">
        <v>2213</v>
      </c>
      <c r="Z538" s="1">
        <v>45651</v>
      </c>
      <c r="AA538" s="1">
        <v>45667</v>
      </c>
      <c r="AB538" t="s">
        <v>2214</v>
      </c>
      <c r="AC538" t="s">
        <v>2209</v>
      </c>
      <c r="AD538" t="s">
        <v>2219</v>
      </c>
      <c r="AE538" t="s">
        <v>2166</v>
      </c>
      <c r="AF538" t="s">
        <v>2161</v>
      </c>
      <c r="AG538" t="s">
        <v>2222</v>
      </c>
      <c r="AH538">
        <v>190</v>
      </c>
      <c r="AI538">
        <v>206</v>
      </c>
      <c r="AJ538">
        <v>16</v>
      </c>
      <c r="AK538">
        <v>6</v>
      </c>
      <c r="AL538" t="s">
        <v>2223</v>
      </c>
      <c r="AM538">
        <v>0</v>
      </c>
      <c r="AN538" t="s">
        <v>2175</v>
      </c>
      <c r="AO538" t="s">
        <v>2175</v>
      </c>
      <c r="AP538" t="s">
        <v>2175</v>
      </c>
      <c r="AQ538">
        <v>161.84</v>
      </c>
      <c r="AR538">
        <v>3</v>
      </c>
      <c r="AS538">
        <v>3</v>
      </c>
      <c r="AT538">
        <v>3</v>
      </c>
      <c r="AU538">
        <v>3</v>
      </c>
      <c r="AV538">
        <v>3</v>
      </c>
      <c r="AW538">
        <v>4.8</v>
      </c>
      <c r="AX538">
        <v>4.3</v>
      </c>
      <c r="AY538">
        <v>4.5999999999999996</v>
      </c>
      <c r="AZ538">
        <v>3</v>
      </c>
      <c r="BA538">
        <v>3</v>
      </c>
      <c r="BB538">
        <v>45</v>
      </c>
      <c r="BC538">
        <v>25</v>
      </c>
      <c r="BD538">
        <v>39.200000000000003</v>
      </c>
      <c r="BE538">
        <v>186</v>
      </c>
      <c r="BF538">
        <v>87.1</v>
      </c>
      <c r="BG538">
        <v>40</v>
      </c>
      <c r="BH538">
        <v>25</v>
      </c>
      <c r="BI538">
        <v>34.72</v>
      </c>
      <c r="BJ538">
        <v>161</v>
      </c>
      <c r="BK538">
        <v>86.8</v>
      </c>
      <c r="BL538">
        <v>335</v>
      </c>
      <c r="BM538">
        <v>14.5511</v>
      </c>
    </row>
    <row r="539" spans="1:65" x14ac:dyDescent="0.25">
      <c r="A539" t="s">
        <v>602</v>
      </c>
      <c r="B539" t="s">
        <v>1584</v>
      </c>
      <c r="C539" t="s">
        <v>2160</v>
      </c>
      <c r="D539" s="1">
        <v>45350</v>
      </c>
      <c r="E539" s="1">
        <v>45398</v>
      </c>
      <c r="F539" s="1">
        <v>45680</v>
      </c>
      <c r="G539" t="s">
        <v>2166</v>
      </c>
      <c r="I539" t="s">
        <v>2175</v>
      </c>
      <c r="J539">
        <v>84794</v>
      </c>
      <c r="K539">
        <v>2543</v>
      </c>
      <c r="L539">
        <v>9.8000000000000007</v>
      </c>
      <c r="M539">
        <v>14.9</v>
      </c>
      <c r="N539">
        <v>8</v>
      </c>
      <c r="O539">
        <v>17671</v>
      </c>
      <c r="P539" t="s">
        <v>2178</v>
      </c>
      <c r="Q539">
        <v>63</v>
      </c>
      <c r="R539">
        <v>106</v>
      </c>
      <c r="S539">
        <v>85</v>
      </c>
      <c r="T539">
        <v>333</v>
      </c>
      <c r="U539" t="s">
        <v>2194</v>
      </c>
      <c r="W539" t="s">
        <v>2209</v>
      </c>
      <c r="X539" t="s">
        <v>2211</v>
      </c>
      <c r="Y539" t="s">
        <v>2213</v>
      </c>
      <c r="Z539" s="1">
        <v>45652</v>
      </c>
      <c r="AA539" s="1">
        <v>45667</v>
      </c>
      <c r="AB539" t="s">
        <v>2214</v>
      </c>
      <c r="AC539" t="s">
        <v>2209</v>
      </c>
      <c r="AD539" t="s">
        <v>2219</v>
      </c>
      <c r="AE539" t="s">
        <v>2166</v>
      </c>
      <c r="AF539" t="s">
        <v>2165</v>
      </c>
      <c r="AG539" t="s">
        <v>2222</v>
      </c>
      <c r="AH539">
        <v>254</v>
      </c>
      <c r="AI539">
        <v>269</v>
      </c>
      <c r="AJ539">
        <v>15</v>
      </c>
      <c r="AK539">
        <v>4</v>
      </c>
      <c r="AL539" t="s">
        <v>2225</v>
      </c>
      <c r="AM539">
        <v>0</v>
      </c>
      <c r="AN539" t="s">
        <v>2177</v>
      </c>
      <c r="AO539" t="s">
        <v>2175</v>
      </c>
      <c r="AP539" t="s">
        <v>2175</v>
      </c>
      <c r="AQ539">
        <v>146.02000000000001</v>
      </c>
      <c r="AR539">
        <v>3</v>
      </c>
      <c r="AS539">
        <v>2</v>
      </c>
      <c r="AT539">
        <v>3</v>
      </c>
      <c r="AU539">
        <v>3</v>
      </c>
      <c r="AV539">
        <v>2.666666666666667</v>
      </c>
      <c r="AW539">
        <v>4.8</v>
      </c>
      <c r="AX539">
        <v>4.5999999999999996</v>
      </c>
      <c r="AY539">
        <v>4.8</v>
      </c>
      <c r="AZ539">
        <v>1</v>
      </c>
      <c r="BA539">
        <v>3</v>
      </c>
      <c r="BB539">
        <v>45</v>
      </c>
      <c r="BC539">
        <v>26</v>
      </c>
      <c r="BD539">
        <v>40.270000000000003</v>
      </c>
      <c r="BE539">
        <v>199</v>
      </c>
      <c r="BF539">
        <v>89.5</v>
      </c>
      <c r="BG539">
        <v>45</v>
      </c>
      <c r="BH539">
        <v>26</v>
      </c>
      <c r="BI539">
        <v>40.270000000000003</v>
      </c>
      <c r="BJ539">
        <v>199</v>
      </c>
      <c r="BK539">
        <v>89.5</v>
      </c>
      <c r="BL539">
        <v>402</v>
      </c>
      <c r="BM539">
        <v>16.385300000000001</v>
      </c>
    </row>
    <row r="540" spans="1:65" x14ac:dyDescent="0.25">
      <c r="A540" t="s">
        <v>603</v>
      </c>
      <c r="B540" t="s">
        <v>1585</v>
      </c>
      <c r="C540" t="s">
        <v>2157</v>
      </c>
      <c r="D540" s="1">
        <v>45429</v>
      </c>
      <c r="E540" s="1">
        <v>45475</v>
      </c>
      <c r="F540" s="1">
        <v>45669</v>
      </c>
      <c r="G540" t="s">
        <v>2161</v>
      </c>
      <c r="I540" t="s">
        <v>2175</v>
      </c>
      <c r="J540">
        <v>70422</v>
      </c>
      <c r="K540">
        <v>2112</v>
      </c>
      <c r="L540">
        <v>13.3</v>
      </c>
      <c r="M540">
        <v>12.8</v>
      </c>
      <c r="N540">
        <v>6</v>
      </c>
      <c r="O540">
        <v>14645</v>
      </c>
      <c r="P540" t="s">
        <v>2178</v>
      </c>
      <c r="Q540">
        <v>43</v>
      </c>
      <c r="R540">
        <v>64</v>
      </c>
      <c r="S540">
        <v>71</v>
      </c>
      <c r="T540">
        <v>395</v>
      </c>
      <c r="U540" t="s">
        <v>2205</v>
      </c>
      <c r="W540" t="s">
        <v>2209</v>
      </c>
      <c r="X540" t="s">
        <v>2211</v>
      </c>
      <c r="Y540" t="s">
        <v>2213</v>
      </c>
      <c r="Z540" s="1">
        <v>45653</v>
      </c>
      <c r="AA540" s="1">
        <v>45672</v>
      </c>
      <c r="AB540" t="s">
        <v>2214</v>
      </c>
      <c r="AC540" t="s">
        <v>2209</v>
      </c>
      <c r="AD540" t="s">
        <v>2219</v>
      </c>
      <c r="AE540" t="s">
        <v>2165</v>
      </c>
      <c r="AF540" t="s">
        <v>2164</v>
      </c>
      <c r="AG540" t="s">
        <v>2222</v>
      </c>
      <c r="AH540">
        <v>178</v>
      </c>
      <c r="AI540">
        <v>197</v>
      </c>
      <c r="AJ540">
        <v>19</v>
      </c>
      <c r="AK540">
        <v>7</v>
      </c>
      <c r="AL540" t="s">
        <v>2226</v>
      </c>
      <c r="AM540">
        <v>0</v>
      </c>
      <c r="AN540" t="s">
        <v>2175</v>
      </c>
      <c r="AO540" t="s">
        <v>2177</v>
      </c>
      <c r="AP540" t="s">
        <v>2177</v>
      </c>
      <c r="AQ540">
        <v>170.24</v>
      </c>
      <c r="AR540">
        <v>3</v>
      </c>
      <c r="AS540">
        <v>3</v>
      </c>
      <c r="AT540">
        <v>2</v>
      </c>
      <c r="AU540">
        <v>2</v>
      </c>
      <c r="AV540">
        <v>2.333333333333333</v>
      </c>
      <c r="AW540">
        <v>4.5999999999999996</v>
      </c>
      <c r="AX540">
        <v>4.5</v>
      </c>
      <c r="AY540">
        <v>4.3</v>
      </c>
      <c r="AZ540">
        <v>3</v>
      </c>
      <c r="BA540">
        <v>3</v>
      </c>
      <c r="BB540">
        <v>38</v>
      </c>
      <c r="BC540">
        <v>27</v>
      </c>
      <c r="BD540">
        <v>34</v>
      </c>
      <c r="BE540">
        <v>174</v>
      </c>
      <c r="BF540">
        <v>89.5</v>
      </c>
      <c r="BG540">
        <v>28</v>
      </c>
      <c r="BH540">
        <v>27</v>
      </c>
      <c r="BI540">
        <v>25.26</v>
      </c>
      <c r="BJ540">
        <v>129</v>
      </c>
      <c r="BK540">
        <v>90.2</v>
      </c>
      <c r="BL540">
        <v>304</v>
      </c>
      <c r="BM540">
        <v>14.986599999999999</v>
      </c>
    </row>
    <row r="541" spans="1:65" x14ac:dyDescent="0.25">
      <c r="A541" t="s">
        <v>604</v>
      </c>
      <c r="B541" t="s">
        <v>1586</v>
      </c>
      <c r="C541" t="s">
        <v>2159</v>
      </c>
      <c r="D541" s="1">
        <v>45346</v>
      </c>
      <c r="E541" s="1">
        <v>45397</v>
      </c>
      <c r="F541" s="1">
        <v>45657</v>
      </c>
      <c r="G541" t="s">
        <v>2161</v>
      </c>
      <c r="I541" t="s">
        <v>2175</v>
      </c>
      <c r="J541">
        <v>78177</v>
      </c>
      <c r="K541">
        <v>2345</v>
      </c>
      <c r="L541">
        <v>8.1</v>
      </c>
      <c r="M541">
        <v>10.4</v>
      </c>
      <c r="N541">
        <v>6</v>
      </c>
      <c r="O541">
        <v>14385</v>
      </c>
      <c r="P541" t="s">
        <v>2178</v>
      </c>
      <c r="Q541">
        <v>42</v>
      </c>
      <c r="R541">
        <v>58</v>
      </c>
      <c r="S541">
        <v>138</v>
      </c>
      <c r="T541">
        <v>328</v>
      </c>
      <c r="U541" t="s">
        <v>2179</v>
      </c>
      <c r="W541" t="s">
        <v>2209</v>
      </c>
      <c r="X541" t="s">
        <v>2211</v>
      </c>
      <c r="Y541" t="s">
        <v>2213</v>
      </c>
      <c r="Z541" s="1">
        <v>45635</v>
      </c>
      <c r="AA541" s="1">
        <v>45654</v>
      </c>
      <c r="AB541" t="s">
        <v>2214</v>
      </c>
      <c r="AC541" t="s">
        <v>2209</v>
      </c>
      <c r="AD541" t="s">
        <v>2219</v>
      </c>
      <c r="AE541" t="s">
        <v>2165</v>
      </c>
      <c r="AF541" t="s">
        <v>2162</v>
      </c>
      <c r="AG541" t="s">
        <v>2222</v>
      </c>
      <c r="AH541">
        <v>238</v>
      </c>
      <c r="AI541">
        <v>257</v>
      </c>
      <c r="AJ541">
        <v>19</v>
      </c>
      <c r="AK541">
        <v>4</v>
      </c>
      <c r="AL541" t="s">
        <v>2225</v>
      </c>
      <c r="AM541">
        <v>0</v>
      </c>
      <c r="AN541" t="s">
        <v>2177</v>
      </c>
      <c r="AO541" t="s">
        <v>2177</v>
      </c>
      <c r="AP541" t="s">
        <v>2177</v>
      </c>
      <c r="AQ541">
        <v>84.24</v>
      </c>
      <c r="AR541">
        <v>3</v>
      </c>
      <c r="AS541">
        <v>2</v>
      </c>
      <c r="AT541">
        <v>2</v>
      </c>
      <c r="AU541">
        <v>2</v>
      </c>
      <c r="AV541">
        <v>2</v>
      </c>
      <c r="AW541">
        <v>4.5999999999999996</v>
      </c>
      <c r="AX541">
        <v>4.2</v>
      </c>
      <c r="AY541">
        <v>4.3</v>
      </c>
      <c r="AZ541">
        <v>0</v>
      </c>
      <c r="BA541">
        <v>3</v>
      </c>
      <c r="BB541">
        <v>46</v>
      </c>
      <c r="BC541">
        <v>26</v>
      </c>
      <c r="BD541">
        <v>40.729999999999997</v>
      </c>
      <c r="BE541">
        <v>203</v>
      </c>
      <c r="BF541">
        <v>88.5</v>
      </c>
      <c r="BG541">
        <v>32</v>
      </c>
      <c r="BH541">
        <v>26</v>
      </c>
      <c r="BI541">
        <v>28.46</v>
      </c>
      <c r="BJ541">
        <v>138</v>
      </c>
      <c r="BK541">
        <v>88.9</v>
      </c>
      <c r="BL541">
        <v>307</v>
      </c>
      <c r="BM541">
        <v>14.809100000000001</v>
      </c>
    </row>
    <row r="542" spans="1:65" x14ac:dyDescent="0.25">
      <c r="A542" t="s">
        <v>605</v>
      </c>
      <c r="B542" t="s">
        <v>1587</v>
      </c>
      <c r="C542" t="s">
        <v>2157</v>
      </c>
      <c r="D542" s="1">
        <v>45285</v>
      </c>
      <c r="E542" s="1">
        <v>45325</v>
      </c>
      <c r="F542" s="1">
        <v>45514</v>
      </c>
      <c r="G542" t="s">
        <v>2165</v>
      </c>
      <c r="I542" t="s">
        <v>2175</v>
      </c>
      <c r="J542">
        <v>59795</v>
      </c>
      <c r="K542">
        <v>1793</v>
      </c>
      <c r="L542">
        <v>16.600000000000001</v>
      </c>
      <c r="M542">
        <v>10.4</v>
      </c>
      <c r="N542">
        <v>8</v>
      </c>
      <c r="O542">
        <v>17864</v>
      </c>
      <c r="P542" t="s">
        <v>2178</v>
      </c>
      <c r="Q542">
        <v>35</v>
      </c>
      <c r="R542">
        <v>54</v>
      </c>
      <c r="S542">
        <v>87</v>
      </c>
      <c r="T542">
        <v>339</v>
      </c>
      <c r="U542" t="s">
        <v>2181</v>
      </c>
      <c r="W542" t="s">
        <v>2209</v>
      </c>
      <c r="X542" t="s">
        <v>2211</v>
      </c>
      <c r="Y542" t="s">
        <v>2213</v>
      </c>
      <c r="Z542" s="1">
        <v>45501</v>
      </c>
      <c r="AA542" s="1">
        <v>45528</v>
      </c>
      <c r="AB542" t="s">
        <v>2214</v>
      </c>
      <c r="AC542" t="s">
        <v>2209</v>
      </c>
      <c r="AD542" t="s">
        <v>2219</v>
      </c>
      <c r="AE542" t="s">
        <v>2166</v>
      </c>
      <c r="AF542" t="s">
        <v>2163</v>
      </c>
      <c r="AG542" t="s">
        <v>2222</v>
      </c>
      <c r="AH542">
        <v>176</v>
      </c>
      <c r="AI542">
        <v>203</v>
      </c>
      <c r="AJ542">
        <v>27</v>
      </c>
      <c r="AK542">
        <v>2</v>
      </c>
      <c r="AL542" t="s">
        <v>2228</v>
      </c>
      <c r="AM542">
        <v>0</v>
      </c>
      <c r="AN542" t="s">
        <v>2175</v>
      </c>
      <c r="AO542" t="s">
        <v>2175</v>
      </c>
      <c r="AP542" t="s">
        <v>2175</v>
      </c>
      <c r="AQ542">
        <v>172.64</v>
      </c>
      <c r="AR542">
        <v>3</v>
      </c>
      <c r="AS542">
        <v>3</v>
      </c>
      <c r="AT542">
        <v>3</v>
      </c>
      <c r="AU542">
        <v>3</v>
      </c>
      <c r="AV542">
        <v>3</v>
      </c>
      <c r="AW542">
        <v>4.8</v>
      </c>
      <c r="AX542">
        <v>4.4000000000000004</v>
      </c>
      <c r="AY542">
        <v>4.5999999999999996</v>
      </c>
      <c r="AZ542">
        <v>3</v>
      </c>
      <c r="BA542">
        <v>3</v>
      </c>
      <c r="BB542">
        <v>40</v>
      </c>
      <c r="BC542">
        <v>24</v>
      </c>
      <c r="BD542">
        <v>35.54</v>
      </c>
      <c r="BE542">
        <v>160</v>
      </c>
      <c r="BF542">
        <v>88.8</v>
      </c>
      <c r="BG542">
        <v>36</v>
      </c>
      <c r="BH542">
        <v>24</v>
      </c>
      <c r="BI542">
        <v>31.79</v>
      </c>
      <c r="BJ542">
        <v>142</v>
      </c>
      <c r="BK542">
        <v>88.3</v>
      </c>
      <c r="BL542">
        <v>276</v>
      </c>
      <c r="BM542">
        <v>15.567600000000001</v>
      </c>
    </row>
    <row r="543" spans="1:65" x14ac:dyDescent="0.25">
      <c r="A543" t="s">
        <v>606</v>
      </c>
      <c r="B543" t="s">
        <v>1588</v>
      </c>
      <c r="C543" t="s">
        <v>2160</v>
      </c>
      <c r="D543" s="1">
        <v>45323</v>
      </c>
      <c r="E543" s="1">
        <v>45363</v>
      </c>
      <c r="F543" s="1">
        <v>45696</v>
      </c>
      <c r="G543" t="s">
        <v>2165</v>
      </c>
      <c r="I543" t="s">
        <v>2175</v>
      </c>
      <c r="J543">
        <v>85911</v>
      </c>
      <c r="K543">
        <v>2577</v>
      </c>
      <c r="L543">
        <v>12.4</v>
      </c>
      <c r="M543">
        <v>10.5</v>
      </c>
      <c r="N543">
        <v>7</v>
      </c>
      <c r="O543">
        <v>15897</v>
      </c>
      <c r="P543" t="s">
        <v>2178</v>
      </c>
      <c r="Q543">
        <v>76</v>
      </c>
      <c r="R543">
        <v>110</v>
      </c>
      <c r="S543">
        <v>136</v>
      </c>
      <c r="T543">
        <v>266</v>
      </c>
      <c r="U543" t="s">
        <v>2194</v>
      </c>
      <c r="W543" t="s">
        <v>2209</v>
      </c>
      <c r="X543" t="s">
        <v>2211</v>
      </c>
      <c r="Y543" t="s">
        <v>2213</v>
      </c>
      <c r="Z543" s="1">
        <v>45685</v>
      </c>
      <c r="AA543" s="1">
        <v>45711</v>
      </c>
      <c r="AB543" t="s">
        <v>2215</v>
      </c>
      <c r="AC543" t="s">
        <v>2208</v>
      </c>
      <c r="AD543" t="s">
        <v>2219</v>
      </c>
      <c r="AE543" t="s">
        <v>2166</v>
      </c>
      <c r="AF543" t="s">
        <v>2165</v>
      </c>
      <c r="AG543" t="s">
        <v>2222</v>
      </c>
      <c r="AH543">
        <v>322</v>
      </c>
      <c r="AI543">
        <v>348</v>
      </c>
      <c r="AJ543">
        <v>26</v>
      </c>
      <c r="AK543">
        <v>3</v>
      </c>
      <c r="AL543" t="s">
        <v>2227</v>
      </c>
      <c r="AM543">
        <v>0</v>
      </c>
      <c r="AN543" t="s">
        <v>2175</v>
      </c>
      <c r="AO543" t="s">
        <v>2175</v>
      </c>
      <c r="AP543" t="s">
        <v>2175</v>
      </c>
      <c r="AQ543">
        <v>130.19999999999999</v>
      </c>
      <c r="AR543">
        <v>3</v>
      </c>
      <c r="AS543">
        <v>3</v>
      </c>
      <c r="AT543">
        <v>3</v>
      </c>
      <c r="AU543">
        <v>3</v>
      </c>
      <c r="AV543">
        <v>3</v>
      </c>
      <c r="AW543">
        <v>4.8</v>
      </c>
      <c r="AX543">
        <v>4.5999999999999996</v>
      </c>
      <c r="AY543">
        <v>4.5999999999999996</v>
      </c>
      <c r="AZ543">
        <v>1</v>
      </c>
      <c r="BA543">
        <v>3</v>
      </c>
      <c r="BB543">
        <v>49</v>
      </c>
      <c r="BC543">
        <v>26</v>
      </c>
      <c r="BD543">
        <v>43.12</v>
      </c>
      <c r="BE543">
        <v>216</v>
      </c>
      <c r="BF543">
        <v>88</v>
      </c>
      <c r="BG543">
        <v>48</v>
      </c>
      <c r="BH543">
        <v>26</v>
      </c>
      <c r="BI543">
        <v>42.38</v>
      </c>
      <c r="BJ543">
        <v>212</v>
      </c>
      <c r="BK543">
        <v>88.3</v>
      </c>
      <c r="BL543">
        <v>428</v>
      </c>
      <c r="BM543">
        <v>15.2948</v>
      </c>
    </row>
    <row r="544" spans="1:65" x14ac:dyDescent="0.25">
      <c r="A544" t="s">
        <v>607</v>
      </c>
      <c r="B544" t="s">
        <v>1589</v>
      </c>
      <c r="C544" t="s">
        <v>2157</v>
      </c>
      <c r="D544" s="1">
        <v>45354</v>
      </c>
      <c r="E544" s="1">
        <v>45397</v>
      </c>
      <c r="F544" s="1">
        <v>45715</v>
      </c>
      <c r="G544" t="s">
        <v>2161</v>
      </c>
      <c r="I544" t="s">
        <v>2175</v>
      </c>
      <c r="J544">
        <v>83602</v>
      </c>
      <c r="K544">
        <v>2508</v>
      </c>
      <c r="L544">
        <v>9.1</v>
      </c>
      <c r="M544">
        <v>17.899999999999999</v>
      </c>
      <c r="N544">
        <v>6</v>
      </c>
      <c r="O544">
        <v>15271</v>
      </c>
      <c r="P544" t="s">
        <v>2178</v>
      </c>
      <c r="Q544">
        <v>69</v>
      </c>
      <c r="R544">
        <v>97</v>
      </c>
      <c r="S544">
        <v>124</v>
      </c>
      <c r="T544">
        <v>288</v>
      </c>
      <c r="U544" t="s">
        <v>2180</v>
      </c>
      <c r="W544" t="s">
        <v>2209</v>
      </c>
      <c r="X544" t="s">
        <v>2211</v>
      </c>
      <c r="Y544" t="s">
        <v>2213</v>
      </c>
      <c r="Z544" s="1">
        <v>45687</v>
      </c>
      <c r="AA544" s="1">
        <v>45710</v>
      </c>
      <c r="AB544" t="s">
        <v>2214</v>
      </c>
      <c r="AC544" t="s">
        <v>2209</v>
      </c>
      <c r="AD544" t="s">
        <v>2219</v>
      </c>
      <c r="AE544" t="s">
        <v>2163</v>
      </c>
      <c r="AF544" t="s">
        <v>2165</v>
      </c>
      <c r="AG544" t="s">
        <v>2222</v>
      </c>
      <c r="AH544">
        <v>290</v>
      </c>
      <c r="AI544">
        <v>313</v>
      </c>
      <c r="AJ544">
        <v>23</v>
      </c>
      <c r="AK544">
        <v>4</v>
      </c>
      <c r="AL544" t="s">
        <v>2225</v>
      </c>
      <c r="AM544">
        <v>0</v>
      </c>
      <c r="AN544" t="s">
        <v>2175</v>
      </c>
      <c r="AO544" t="s">
        <v>2177</v>
      </c>
      <c r="AP544" t="s">
        <v>2175</v>
      </c>
      <c r="AQ544">
        <v>162.88999999999999</v>
      </c>
      <c r="AR544">
        <v>3</v>
      </c>
      <c r="AS544">
        <v>3</v>
      </c>
      <c r="AT544">
        <v>2</v>
      </c>
      <c r="AU544">
        <v>3</v>
      </c>
      <c r="AV544">
        <v>2.666666666666667</v>
      </c>
      <c r="AW544">
        <v>4.4000000000000004</v>
      </c>
      <c r="AX544">
        <v>4.5999999999999996</v>
      </c>
      <c r="AY544">
        <v>4.3</v>
      </c>
      <c r="AZ544">
        <v>3</v>
      </c>
      <c r="BA544">
        <v>3</v>
      </c>
      <c r="BB544">
        <v>31</v>
      </c>
      <c r="BC544">
        <v>26</v>
      </c>
      <c r="BD544">
        <v>27.23</v>
      </c>
      <c r="BE544">
        <v>132</v>
      </c>
      <c r="BF544">
        <v>87.8</v>
      </c>
      <c r="BG544">
        <v>32</v>
      </c>
      <c r="BH544">
        <v>26</v>
      </c>
      <c r="BI544">
        <v>28.46</v>
      </c>
      <c r="BJ544">
        <v>138</v>
      </c>
      <c r="BK544">
        <v>88.9</v>
      </c>
      <c r="BL544">
        <v>335</v>
      </c>
      <c r="BM544">
        <v>24.352499999999999</v>
      </c>
    </row>
    <row r="545" spans="1:65" x14ac:dyDescent="0.25">
      <c r="A545" t="s">
        <v>608</v>
      </c>
      <c r="B545" t="s">
        <v>1590</v>
      </c>
      <c r="C545" t="s">
        <v>2158</v>
      </c>
      <c r="D545" s="1">
        <v>45349</v>
      </c>
      <c r="E545" s="1">
        <v>45398</v>
      </c>
      <c r="F545" s="1">
        <v>45636</v>
      </c>
      <c r="G545" t="s">
        <v>2164</v>
      </c>
      <c r="I545" t="s">
        <v>2175</v>
      </c>
      <c r="J545">
        <v>71531</v>
      </c>
      <c r="K545">
        <v>2145</v>
      </c>
      <c r="L545">
        <v>11.5</v>
      </c>
      <c r="M545">
        <v>15.7</v>
      </c>
      <c r="N545">
        <v>8</v>
      </c>
      <c r="O545">
        <v>15562</v>
      </c>
      <c r="P545" t="s">
        <v>2178</v>
      </c>
      <c r="Q545">
        <v>58</v>
      </c>
      <c r="R545">
        <v>85</v>
      </c>
      <c r="S545">
        <v>82</v>
      </c>
      <c r="T545">
        <v>317</v>
      </c>
      <c r="U545" t="s">
        <v>2182</v>
      </c>
      <c r="W545" t="s">
        <v>2209</v>
      </c>
      <c r="X545" t="s">
        <v>2211</v>
      </c>
      <c r="Y545" t="s">
        <v>2213</v>
      </c>
      <c r="Z545" s="1">
        <v>45623</v>
      </c>
      <c r="AA545" s="1">
        <v>45647</v>
      </c>
      <c r="AB545" t="s">
        <v>2214</v>
      </c>
      <c r="AC545" t="s">
        <v>2209</v>
      </c>
      <c r="AD545" t="s">
        <v>2219</v>
      </c>
      <c r="AE545" t="s">
        <v>2166</v>
      </c>
      <c r="AF545" t="s">
        <v>2162</v>
      </c>
      <c r="AG545" t="s">
        <v>2222</v>
      </c>
      <c r="AH545">
        <v>225</v>
      </c>
      <c r="AI545">
        <v>249</v>
      </c>
      <c r="AJ545">
        <v>24</v>
      </c>
      <c r="AK545">
        <v>4</v>
      </c>
      <c r="AL545" t="s">
        <v>2225</v>
      </c>
      <c r="AM545">
        <v>0</v>
      </c>
      <c r="AN545" t="s">
        <v>2175</v>
      </c>
      <c r="AO545" t="s">
        <v>2175</v>
      </c>
      <c r="AP545" t="s">
        <v>2175</v>
      </c>
      <c r="AQ545">
        <v>180.55</v>
      </c>
      <c r="AR545">
        <v>3</v>
      </c>
      <c r="AS545">
        <v>3</v>
      </c>
      <c r="AT545">
        <v>3</v>
      </c>
      <c r="AU545">
        <v>3</v>
      </c>
      <c r="AV545">
        <v>3</v>
      </c>
      <c r="AW545">
        <v>4.8</v>
      </c>
      <c r="AX545">
        <v>4.2</v>
      </c>
      <c r="AY545">
        <v>4.5</v>
      </c>
      <c r="AZ545">
        <v>2</v>
      </c>
      <c r="BA545">
        <v>3</v>
      </c>
      <c r="BB545">
        <v>45</v>
      </c>
      <c r="BC545">
        <v>26</v>
      </c>
      <c r="BD545">
        <v>40.270000000000003</v>
      </c>
      <c r="BE545">
        <v>199</v>
      </c>
      <c r="BF545">
        <v>89.5</v>
      </c>
      <c r="BG545">
        <v>30</v>
      </c>
      <c r="BH545">
        <v>26</v>
      </c>
      <c r="BI545">
        <v>26.42</v>
      </c>
      <c r="BJ545">
        <v>126</v>
      </c>
      <c r="BK545">
        <v>88.1</v>
      </c>
      <c r="BL545">
        <v>303</v>
      </c>
      <c r="BM545">
        <v>13.8224</v>
      </c>
    </row>
    <row r="546" spans="1:65" x14ac:dyDescent="0.25">
      <c r="A546" t="s">
        <v>609</v>
      </c>
      <c r="B546" t="s">
        <v>1591</v>
      </c>
      <c r="C546" t="s">
        <v>2160</v>
      </c>
      <c r="D546" s="1">
        <v>45421</v>
      </c>
      <c r="E546" s="1">
        <v>45450</v>
      </c>
      <c r="F546" s="1">
        <v>45682</v>
      </c>
      <c r="G546" t="s">
        <v>2163</v>
      </c>
      <c r="I546" t="s">
        <v>2175</v>
      </c>
      <c r="J546">
        <v>78888</v>
      </c>
      <c r="K546">
        <v>2366</v>
      </c>
      <c r="L546">
        <v>14.7</v>
      </c>
      <c r="M546">
        <v>8.1</v>
      </c>
      <c r="N546">
        <v>7</v>
      </c>
      <c r="O546">
        <v>18979</v>
      </c>
      <c r="P546" t="s">
        <v>2178</v>
      </c>
      <c r="Q546">
        <v>47</v>
      </c>
      <c r="R546">
        <v>79</v>
      </c>
      <c r="S546">
        <v>95</v>
      </c>
      <c r="T546">
        <v>356</v>
      </c>
      <c r="U546" t="s">
        <v>2201</v>
      </c>
      <c r="W546" t="s">
        <v>2209</v>
      </c>
      <c r="X546" t="s">
        <v>2211</v>
      </c>
      <c r="Y546" t="s">
        <v>2213</v>
      </c>
      <c r="Z546" s="1">
        <v>45671</v>
      </c>
      <c r="AA546" s="1">
        <v>45699</v>
      </c>
      <c r="AB546" t="s">
        <v>2215</v>
      </c>
      <c r="AC546" t="s">
        <v>2208</v>
      </c>
      <c r="AD546" t="s">
        <v>2219</v>
      </c>
      <c r="AE546" t="s">
        <v>2165</v>
      </c>
      <c r="AF546" t="s">
        <v>2161</v>
      </c>
      <c r="AG546" t="s">
        <v>2222</v>
      </c>
      <c r="AH546">
        <v>221</v>
      </c>
      <c r="AI546">
        <v>249</v>
      </c>
      <c r="AJ546">
        <v>28</v>
      </c>
      <c r="AK546">
        <v>6</v>
      </c>
      <c r="AL546" t="s">
        <v>2223</v>
      </c>
      <c r="AM546">
        <v>0</v>
      </c>
      <c r="AN546" t="s">
        <v>2177</v>
      </c>
      <c r="AO546" t="s">
        <v>2175</v>
      </c>
      <c r="AP546" t="s">
        <v>2175</v>
      </c>
      <c r="AQ546">
        <v>119.07</v>
      </c>
      <c r="AR546">
        <v>3</v>
      </c>
      <c r="AS546">
        <v>2</v>
      </c>
      <c r="AT546">
        <v>3</v>
      </c>
      <c r="AU546">
        <v>3</v>
      </c>
      <c r="AV546">
        <v>2.666666666666667</v>
      </c>
      <c r="AW546">
        <v>4.5999999999999996</v>
      </c>
      <c r="AX546">
        <v>4.3</v>
      </c>
      <c r="AY546">
        <v>4.4000000000000004</v>
      </c>
      <c r="AZ546">
        <v>1</v>
      </c>
      <c r="BA546">
        <v>3</v>
      </c>
      <c r="BB546">
        <v>40</v>
      </c>
      <c r="BC546">
        <v>25</v>
      </c>
      <c r="BD546">
        <v>34.72</v>
      </c>
      <c r="BE546">
        <v>161</v>
      </c>
      <c r="BF546">
        <v>86.8</v>
      </c>
      <c r="BG546">
        <v>30</v>
      </c>
      <c r="BH546">
        <v>25</v>
      </c>
      <c r="BI546">
        <v>26.48</v>
      </c>
      <c r="BJ546">
        <v>121</v>
      </c>
      <c r="BK546">
        <v>88.3</v>
      </c>
      <c r="BL546">
        <v>310</v>
      </c>
      <c r="BM546">
        <v>19.5946</v>
      </c>
    </row>
    <row r="547" spans="1:65" x14ac:dyDescent="0.25">
      <c r="A547" t="s">
        <v>610</v>
      </c>
      <c r="B547" t="s">
        <v>1592</v>
      </c>
      <c r="C547" t="s">
        <v>2159</v>
      </c>
      <c r="D547" s="1">
        <v>45506</v>
      </c>
      <c r="E547" s="1">
        <v>45539</v>
      </c>
      <c r="F547" s="1">
        <v>45865</v>
      </c>
      <c r="G547" t="s">
        <v>2165</v>
      </c>
      <c r="I547" t="s">
        <v>2175</v>
      </c>
      <c r="J547">
        <v>88548</v>
      </c>
      <c r="K547">
        <v>2656</v>
      </c>
      <c r="L547">
        <v>9.3000000000000007</v>
      </c>
      <c r="M547">
        <v>11.4</v>
      </c>
      <c r="N547">
        <v>8</v>
      </c>
      <c r="O547">
        <v>16040</v>
      </c>
      <c r="P547" t="s">
        <v>2178</v>
      </c>
      <c r="Q547">
        <v>76</v>
      </c>
      <c r="R547">
        <v>127</v>
      </c>
      <c r="S547">
        <v>112</v>
      </c>
      <c r="T547">
        <v>281</v>
      </c>
      <c r="U547" t="s">
        <v>2180</v>
      </c>
      <c r="W547" t="s">
        <v>2209</v>
      </c>
      <c r="X547" t="s">
        <v>2211</v>
      </c>
      <c r="Y547" t="s">
        <v>2213</v>
      </c>
      <c r="Z547" s="1">
        <v>45854</v>
      </c>
      <c r="AA547" s="1">
        <v>45877</v>
      </c>
      <c r="AB547" t="s">
        <v>2215</v>
      </c>
      <c r="AC547" t="s">
        <v>2208</v>
      </c>
      <c r="AD547" t="s">
        <v>2219</v>
      </c>
      <c r="AE547" t="s">
        <v>2163</v>
      </c>
      <c r="AF547" t="s">
        <v>2165</v>
      </c>
      <c r="AG547" t="s">
        <v>2222</v>
      </c>
      <c r="AH547">
        <v>315</v>
      </c>
      <c r="AI547">
        <v>338</v>
      </c>
      <c r="AJ547">
        <v>23</v>
      </c>
      <c r="AK547">
        <v>9</v>
      </c>
      <c r="AL547" t="s">
        <v>2234</v>
      </c>
      <c r="AM547">
        <v>0</v>
      </c>
      <c r="AN547" t="s">
        <v>2177</v>
      </c>
      <c r="AO547" t="s">
        <v>2175</v>
      </c>
      <c r="AP547" t="s">
        <v>2175</v>
      </c>
      <c r="AQ547">
        <v>106.02</v>
      </c>
      <c r="AR547">
        <v>3</v>
      </c>
      <c r="AS547">
        <v>2</v>
      </c>
      <c r="AT547">
        <v>3</v>
      </c>
      <c r="AU547">
        <v>3</v>
      </c>
      <c r="AV547">
        <v>2.666666666666667</v>
      </c>
      <c r="AW547">
        <v>4.4000000000000004</v>
      </c>
      <c r="AX547">
        <v>4.5999999999999996</v>
      </c>
      <c r="AY547">
        <v>4.5999999999999996</v>
      </c>
      <c r="AZ547">
        <v>0</v>
      </c>
      <c r="BA547">
        <v>3</v>
      </c>
      <c r="BB547">
        <v>30</v>
      </c>
      <c r="BC547">
        <v>26</v>
      </c>
      <c r="BD547">
        <v>26.15</v>
      </c>
      <c r="BE547">
        <v>126</v>
      </c>
      <c r="BF547">
        <v>87.2</v>
      </c>
      <c r="BG547">
        <v>45</v>
      </c>
      <c r="BH547">
        <v>26</v>
      </c>
      <c r="BI547">
        <v>39.85</v>
      </c>
      <c r="BJ547">
        <v>196</v>
      </c>
      <c r="BK547">
        <v>88.6</v>
      </c>
      <c r="BL547">
        <v>322</v>
      </c>
      <c r="BM547">
        <v>27.021100000000001</v>
      </c>
    </row>
    <row r="548" spans="1:65" x14ac:dyDescent="0.25">
      <c r="A548" t="s">
        <v>611</v>
      </c>
      <c r="B548" t="s">
        <v>1593</v>
      </c>
      <c r="C548" t="s">
        <v>2157</v>
      </c>
      <c r="D548" s="1">
        <v>45366</v>
      </c>
      <c r="E548" s="1">
        <v>45397</v>
      </c>
      <c r="F548" s="1">
        <v>45653</v>
      </c>
      <c r="G548" t="s">
        <v>2164</v>
      </c>
      <c r="I548" t="s">
        <v>2175</v>
      </c>
      <c r="J548">
        <v>66889</v>
      </c>
      <c r="K548">
        <v>2006</v>
      </c>
      <c r="L548">
        <v>16.899999999999999</v>
      </c>
      <c r="M548">
        <v>14.5</v>
      </c>
      <c r="N548">
        <v>7</v>
      </c>
      <c r="O548">
        <v>13567</v>
      </c>
      <c r="P548" t="s">
        <v>2178</v>
      </c>
      <c r="Q548">
        <v>47</v>
      </c>
      <c r="R548">
        <v>82</v>
      </c>
      <c r="S548">
        <v>99</v>
      </c>
      <c r="T548">
        <v>293</v>
      </c>
      <c r="U548" t="s">
        <v>2189</v>
      </c>
      <c r="W548" t="s">
        <v>2209</v>
      </c>
      <c r="X548" t="s">
        <v>2211</v>
      </c>
      <c r="Y548" t="s">
        <v>2213</v>
      </c>
      <c r="Z548" s="1">
        <v>45625</v>
      </c>
      <c r="AA548" s="1">
        <v>45653</v>
      </c>
      <c r="AB548" t="s">
        <v>2214</v>
      </c>
      <c r="AC548" t="s">
        <v>2209</v>
      </c>
      <c r="AD548" t="s">
        <v>2219</v>
      </c>
      <c r="AE548" t="s">
        <v>2165</v>
      </c>
      <c r="AF548" t="s">
        <v>2166</v>
      </c>
      <c r="AG548" t="s">
        <v>2222</v>
      </c>
      <c r="AH548">
        <v>228</v>
      </c>
      <c r="AI548">
        <v>256</v>
      </c>
      <c r="AJ548">
        <v>28</v>
      </c>
      <c r="AK548">
        <v>4</v>
      </c>
      <c r="AL548" t="s">
        <v>2225</v>
      </c>
      <c r="AM548">
        <v>0</v>
      </c>
      <c r="AN548" t="s">
        <v>2175</v>
      </c>
      <c r="AO548" t="s">
        <v>2175</v>
      </c>
      <c r="AP548" t="s">
        <v>2177</v>
      </c>
      <c r="AQ548">
        <v>245.05</v>
      </c>
      <c r="AR548">
        <v>3</v>
      </c>
      <c r="AS548">
        <v>3</v>
      </c>
      <c r="AT548">
        <v>3</v>
      </c>
      <c r="AU548">
        <v>2</v>
      </c>
      <c r="AV548">
        <v>2.666666666666667</v>
      </c>
      <c r="AW548">
        <v>4.5999999999999996</v>
      </c>
      <c r="AX548">
        <v>4.8</v>
      </c>
      <c r="AY548">
        <v>4.5</v>
      </c>
      <c r="AZ548">
        <v>3</v>
      </c>
      <c r="BA548">
        <v>3</v>
      </c>
      <c r="BB548">
        <v>46</v>
      </c>
      <c r="BC548">
        <v>26</v>
      </c>
      <c r="BD548">
        <v>40.729999999999997</v>
      </c>
      <c r="BE548">
        <v>203</v>
      </c>
      <c r="BF548">
        <v>88.5</v>
      </c>
      <c r="BG548">
        <v>30</v>
      </c>
      <c r="BH548">
        <v>26</v>
      </c>
      <c r="BI548">
        <v>26.42</v>
      </c>
      <c r="BJ548">
        <v>126</v>
      </c>
      <c r="BK548">
        <v>88.1</v>
      </c>
      <c r="BL548">
        <v>402</v>
      </c>
      <c r="BM548">
        <v>12.6708</v>
      </c>
    </row>
    <row r="549" spans="1:65" x14ac:dyDescent="0.25">
      <c r="A549" t="s">
        <v>612</v>
      </c>
      <c r="B549" t="s">
        <v>1594</v>
      </c>
      <c r="C549" t="s">
        <v>2159</v>
      </c>
      <c r="D549" s="1">
        <v>45315</v>
      </c>
      <c r="E549" s="1">
        <v>45363</v>
      </c>
      <c r="F549" s="1">
        <v>45642</v>
      </c>
      <c r="G549" t="s">
        <v>2164</v>
      </c>
      <c r="I549" t="s">
        <v>2175</v>
      </c>
      <c r="J549">
        <v>89964</v>
      </c>
      <c r="K549">
        <v>2698</v>
      </c>
      <c r="L549">
        <v>13.6</v>
      </c>
      <c r="M549">
        <v>9.8000000000000007</v>
      </c>
      <c r="N549">
        <v>7</v>
      </c>
      <c r="O549">
        <v>12661</v>
      </c>
      <c r="P549" t="s">
        <v>2178</v>
      </c>
      <c r="Q549">
        <v>54</v>
      </c>
      <c r="R549">
        <v>96</v>
      </c>
      <c r="S549">
        <v>112</v>
      </c>
      <c r="T549">
        <v>343</v>
      </c>
      <c r="U549" t="s">
        <v>2180</v>
      </c>
      <c r="W549" t="s">
        <v>2209</v>
      </c>
      <c r="X549" t="s">
        <v>2211</v>
      </c>
      <c r="Y549" t="s">
        <v>2213</v>
      </c>
      <c r="Z549" s="1">
        <v>45625</v>
      </c>
      <c r="AA549" s="1">
        <v>45650</v>
      </c>
      <c r="AB549" t="s">
        <v>2214</v>
      </c>
      <c r="AC549" t="s">
        <v>2209</v>
      </c>
      <c r="AD549" t="s">
        <v>2219</v>
      </c>
      <c r="AE549" t="s">
        <v>2163</v>
      </c>
      <c r="AF549" t="s">
        <v>2165</v>
      </c>
      <c r="AG549" t="s">
        <v>2222</v>
      </c>
      <c r="AH549">
        <v>262</v>
      </c>
      <c r="AI549">
        <v>287</v>
      </c>
      <c r="AJ549">
        <v>25</v>
      </c>
      <c r="AK549">
        <v>3</v>
      </c>
      <c r="AL549" t="s">
        <v>2227</v>
      </c>
      <c r="AM549">
        <v>0</v>
      </c>
      <c r="AN549" t="s">
        <v>2177</v>
      </c>
      <c r="AO549" t="s">
        <v>2175</v>
      </c>
      <c r="AP549" t="s">
        <v>2177</v>
      </c>
      <c r="AQ549">
        <v>133.28</v>
      </c>
      <c r="AR549">
        <v>3</v>
      </c>
      <c r="AS549">
        <v>2</v>
      </c>
      <c r="AT549">
        <v>3</v>
      </c>
      <c r="AU549">
        <v>2</v>
      </c>
      <c r="AV549">
        <v>2.333333333333333</v>
      </c>
      <c r="AW549">
        <v>4.4000000000000004</v>
      </c>
      <c r="AX549">
        <v>4.5999999999999996</v>
      </c>
      <c r="AY549">
        <v>4.5</v>
      </c>
      <c r="AZ549">
        <v>0</v>
      </c>
      <c r="BA549">
        <v>3</v>
      </c>
      <c r="BB549">
        <v>35</v>
      </c>
      <c r="BC549">
        <v>26</v>
      </c>
      <c r="BD549">
        <v>31.08</v>
      </c>
      <c r="BE549">
        <v>149</v>
      </c>
      <c r="BF549">
        <v>88.8</v>
      </c>
      <c r="BG549">
        <v>30</v>
      </c>
      <c r="BH549">
        <v>26</v>
      </c>
      <c r="BI549">
        <v>26.31</v>
      </c>
      <c r="BJ549">
        <v>128</v>
      </c>
      <c r="BK549">
        <v>87.7</v>
      </c>
      <c r="BL549">
        <v>361</v>
      </c>
      <c r="BM549">
        <v>23.2165</v>
      </c>
    </row>
    <row r="550" spans="1:65" x14ac:dyDescent="0.25">
      <c r="A550" t="s">
        <v>613</v>
      </c>
      <c r="B550" t="s">
        <v>1595</v>
      </c>
      <c r="C550" t="s">
        <v>2159</v>
      </c>
      <c r="D550" s="1">
        <v>45499</v>
      </c>
      <c r="E550" s="1">
        <v>45537</v>
      </c>
      <c r="F550" s="1">
        <v>45770</v>
      </c>
      <c r="G550" t="s">
        <v>2161</v>
      </c>
      <c r="I550" t="s">
        <v>2175</v>
      </c>
      <c r="J550">
        <v>79858</v>
      </c>
      <c r="K550">
        <v>2395</v>
      </c>
      <c r="L550">
        <v>15.3</v>
      </c>
      <c r="M550">
        <v>13.4</v>
      </c>
      <c r="N550">
        <v>6</v>
      </c>
      <c r="O550">
        <v>14743</v>
      </c>
      <c r="P550" t="s">
        <v>2178</v>
      </c>
      <c r="Q550">
        <v>49</v>
      </c>
      <c r="R550">
        <v>75</v>
      </c>
      <c r="S550">
        <v>88</v>
      </c>
      <c r="T550">
        <v>376</v>
      </c>
      <c r="U550" t="s">
        <v>2205</v>
      </c>
      <c r="W550" t="s">
        <v>2209</v>
      </c>
      <c r="X550" t="s">
        <v>2211</v>
      </c>
      <c r="Y550" t="s">
        <v>2213</v>
      </c>
      <c r="Z550" s="1">
        <v>45749</v>
      </c>
      <c r="AA550" s="1">
        <v>45766</v>
      </c>
      <c r="AB550" t="s">
        <v>2214</v>
      </c>
      <c r="AC550" t="s">
        <v>2209</v>
      </c>
      <c r="AD550" t="s">
        <v>2219</v>
      </c>
      <c r="AE550" t="s">
        <v>2165</v>
      </c>
      <c r="AF550" t="s">
        <v>2164</v>
      </c>
      <c r="AG550" t="s">
        <v>2222</v>
      </c>
      <c r="AH550">
        <v>212</v>
      </c>
      <c r="AI550">
        <v>229</v>
      </c>
      <c r="AJ550">
        <v>17</v>
      </c>
      <c r="AK550">
        <v>9</v>
      </c>
      <c r="AL550" t="s">
        <v>2234</v>
      </c>
      <c r="AM550">
        <v>0</v>
      </c>
      <c r="AN550" t="s">
        <v>2175</v>
      </c>
      <c r="AO550" t="s">
        <v>2177</v>
      </c>
      <c r="AP550" t="s">
        <v>2177</v>
      </c>
      <c r="AQ550">
        <v>205.02</v>
      </c>
      <c r="AR550">
        <v>3</v>
      </c>
      <c r="AS550">
        <v>3</v>
      </c>
      <c r="AT550">
        <v>2</v>
      </c>
      <c r="AU550">
        <v>2</v>
      </c>
      <c r="AV550">
        <v>2.333333333333333</v>
      </c>
      <c r="AW550">
        <v>4.5999999999999996</v>
      </c>
      <c r="AX550">
        <v>4.5</v>
      </c>
      <c r="AY550">
        <v>4.3</v>
      </c>
      <c r="AZ550">
        <v>0</v>
      </c>
      <c r="BA550">
        <v>3</v>
      </c>
      <c r="BB550">
        <v>45</v>
      </c>
      <c r="BC550">
        <v>26</v>
      </c>
      <c r="BD550">
        <v>39.85</v>
      </c>
      <c r="BE550">
        <v>196</v>
      </c>
      <c r="BF550">
        <v>88.6</v>
      </c>
      <c r="BG550">
        <v>28</v>
      </c>
      <c r="BH550">
        <v>26</v>
      </c>
      <c r="BI550">
        <v>24.77</v>
      </c>
      <c r="BJ550">
        <v>119</v>
      </c>
      <c r="BK550">
        <v>88.5</v>
      </c>
      <c r="BL550">
        <v>343</v>
      </c>
      <c r="BM550">
        <v>15.6676</v>
      </c>
    </row>
    <row r="551" spans="1:65" x14ac:dyDescent="0.25">
      <c r="A551" t="s">
        <v>614</v>
      </c>
      <c r="B551" t="s">
        <v>1538</v>
      </c>
      <c r="C551" t="s">
        <v>2158</v>
      </c>
      <c r="D551" s="1">
        <v>45422</v>
      </c>
      <c r="E551" s="1">
        <v>45475</v>
      </c>
      <c r="F551" s="1">
        <v>45732</v>
      </c>
      <c r="G551" t="s">
        <v>2164</v>
      </c>
      <c r="I551" t="s">
        <v>2175</v>
      </c>
      <c r="J551">
        <v>64496</v>
      </c>
      <c r="K551">
        <v>1934</v>
      </c>
      <c r="L551">
        <v>16.100000000000001</v>
      </c>
      <c r="M551">
        <v>15.4</v>
      </c>
      <c r="N551">
        <v>6</v>
      </c>
      <c r="O551">
        <v>18019</v>
      </c>
      <c r="P551" t="s">
        <v>2178</v>
      </c>
      <c r="Q551">
        <v>58</v>
      </c>
      <c r="R551">
        <v>80</v>
      </c>
      <c r="S551">
        <v>94</v>
      </c>
      <c r="T551">
        <v>278</v>
      </c>
      <c r="U551" t="s">
        <v>2198</v>
      </c>
      <c r="W551" t="s">
        <v>2209</v>
      </c>
      <c r="X551" t="s">
        <v>2211</v>
      </c>
      <c r="Y551" t="s">
        <v>2213</v>
      </c>
      <c r="Z551" s="1">
        <v>45707</v>
      </c>
      <c r="AA551" s="1">
        <v>45729</v>
      </c>
      <c r="AB551" t="s">
        <v>2214</v>
      </c>
      <c r="AC551" t="s">
        <v>2209</v>
      </c>
      <c r="AD551" t="s">
        <v>2219</v>
      </c>
      <c r="AE551" t="s">
        <v>2166</v>
      </c>
      <c r="AF551" t="s">
        <v>2161</v>
      </c>
      <c r="AG551" t="s">
        <v>2222</v>
      </c>
      <c r="AH551">
        <v>232</v>
      </c>
      <c r="AI551">
        <v>254</v>
      </c>
      <c r="AJ551">
        <v>22</v>
      </c>
      <c r="AK551">
        <v>7</v>
      </c>
      <c r="AL551" t="s">
        <v>2226</v>
      </c>
      <c r="AM551">
        <v>0</v>
      </c>
      <c r="AN551" t="s">
        <v>2175</v>
      </c>
      <c r="AO551" t="s">
        <v>2177</v>
      </c>
      <c r="AP551" t="s">
        <v>2175</v>
      </c>
      <c r="AQ551">
        <v>247.94</v>
      </c>
      <c r="AR551">
        <v>3</v>
      </c>
      <c r="AS551">
        <v>3</v>
      </c>
      <c r="AT551">
        <v>2</v>
      </c>
      <c r="AU551">
        <v>3</v>
      </c>
      <c r="AV551">
        <v>2.666666666666667</v>
      </c>
      <c r="AW551">
        <v>4.8</v>
      </c>
      <c r="AX551">
        <v>4.3</v>
      </c>
      <c r="AY551">
        <v>4.5</v>
      </c>
      <c r="AZ551">
        <v>2</v>
      </c>
      <c r="BA551">
        <v>3</v>
      </c>
      <c r="BB551">
        <v>48</v>
      </c>
      <c r="BC551">
        <v>27</v>
      </c>
      <c r="BD551">
        <v>42.33</v>
      </c>
      <c r="BE551">
        <v>216</v>
      </c>
      <c r="BF551">
        <v>88.2</v>
      </c>
      <c r="BG551">
        <v>29</v>
      </c>
      <c r="BH551">
        <v>27</v>
      </c>
      <c r="BI551">
        <v>25.96</v>
      </c>
      <c r="BJ551">
        <v>130</v>
      </c>
      <c r="BK551">
        <v>89.5</v>
      </c>
      <c r="BL551">
        <v>345</v>
      </c>
      <c r="BM551">
        <v>11.0571</v>
      </c>
    </row>
    <row r="552" spans="1:65" x14ac:dyDescent="0.25">
      <c r="A552" t="s">
        <v>615</v>
      </c>
      <c r="B552" t="s">
        <v>1596</v>
      </c>
      <c r="C552" t="s">
        <v>2158</v>
      </c>
      <c r="D552" s="1">
        <v>45477</v>
      </c>
      <c r="E552" s="1">
        <v>45508</v>
      </c>
      <c r="F552" s="1">
        <v>45870</v>
      </c>
      <c r="G552" t="s">
        <v>2163</v>
      </c>
      <c r="I552" t="s">
        <v>2175</v>
      </c>
      <c r="J552">
        <v>89196</v>
      </c>
      <c r="K552">
        <v>2675</v>
      </c>
      <c r="L552">
        <v>11.8</v>
      </c>
      <c r="M552">
        <v>13.4</v>
      </c>
      <c r="N552">
        <v>7</v>
      </c>
      <c r="O552">
        <v>14281</v>
      </c>
      <c r="P552" t="s">
        <v>2178</v>
      </c>
      <c r="Q552">
        <v>72</v>
      </c>
      <c r="R552">
        <v>115</v>
      </c>
      <c r="S552">
        <v>157</v>
      </c>
      <c r="T552">
        <v>259</v>
      </c>
      <c r="U552" t="s">
        <v>2204</v>
      </c>
      <c r="W552" t="s">
        <v>2209</v>
      </c>
      <c r="X552" t="s">
        <v>2211</v>
      </c>
      <c r="Y552" t="s">
        <v>2213</v>
      </c>
      <c r="Z552" s="1">
        <v>45852</v>
      </c>
      <c r="AA552" s="1">
        <v>45876</v>
      </c>
      <c r="AB552" t="s">
        <v>2214</v>
      </c>
      <c r="AC552" t="s">
        <v>2209</v>
      </c>
      <c r="AD552" t="s">
        <v>2219</v>
      </c>
      <c r="AE552" t="s">
        <v>2166</v>
      </c>
      <c r="AF552" t="s">
        <v>2164</v>
      </c>
      <c r="AG552" t="s">
        <v>2222</v>
      </c>
      <c r="AH552">
        <v>344</v>
      </c>
      <c r="AI552">
        <v>368</v>
      </c>
      <c r="AJ552">
        <v>24</v>
      </c>
      <c r="AK552">
        <v>8</v>
      </c>
      <c r="AL552" t="s">
        <v>2232</v>
      </c>
      <c r="AM552">
        <v>0</v>
      </c>
      <c r="AN552" t="s">
        <v>2175</v>
      </c>
      <c r="AO552" t="s">
        <v>2175</v>
      </c>
      <c r="AP552" t="s">
        <v>2177</v>
      </c>
      <c r="AQ552">
        <v>158.12</v>
      </c>
      <c r="AR552">
        <v>3</v>
      </c>
      <c r="AS552">
        <v>3</v>
      </c>
      <c r="AT552">
        <v>3</v>
      </c>
      <c r="AU552">
        <v>2</v>
      </c>
      <c r="AV552">
        <v>2.666666666666667</v>
      </c>
      <c r="AW552">
        <v>4.8</v>
      </c>
      <c r="AX552">
        <v>4.5</v>
      </c>
      <c r="AY552">
        <v>4.4000000000000004</v>
      </c>
      <c r="AZ552">
        <v>2</v>
      </c>
      <c r="BA552">
        <v>3</v>
      </c>
      <c r="BB552">
        <v>41</v>
      </c>
      <c r="BC552">
        <v>26</v>
      </c>
      <c r="BD552">
        <v>36.15</v>
      </c>
      <c r="BE552">
        <v>176</v>
      </c>
      <c r="BF552">
        <v>88.2</v>
      </c>
      <c r="BG552">
        <v>37</v>
      </c>
      <c r="BH552">
        <v>26</v>
      </c>
      <c r="BI552">
        <v>32.880000000000003</v>
      </c>
      <c r="BJ552">
        <v>161</v>
      </c>
      <c r="BK552">
        <v>88.9</v>
      </c>
      <c r="BL552">
        <v>288</v>
      </c>
      <c r="BM552">
        <v>19.4879</v>
      </c>
    </row>
    <row r="553" spans="1:65" x14ac:dyDescent="0.25">
      <c r="A553" t="s">
        <v>616</v>
      </c>
      <c r="B553" t="s">
        <v>1597</v>
      </c>
      <c r="C553" t="s">
        <v>2159</v>
      </c>
      <c r="D553" s="1">
        <v>45494</v>
      </c>
      <c r="E553" s="1">
        <v>45539</v>
      </c>
      <c r="F553" s="1">
        <v>45840</v>
      </c>
      <c r="G553" t="s">
        <v>2161</v>
      </c>
      <c r="I553" t="s">
        <v>2175</v>
      </c>
      <c r="J553">
        <v>74873</v>
      </c>
      <c r="K553">
        <v>2246</v>
      </c>
      <c r="L553">
        <v>18</v>
      </c>
      <c r="M553">
        <v>11.7</v>
      </c>
      <c r="N553">
        <v>7</v>
      </c>
      <c r="O553">
        <v>18679</v>
      </c>
      <c r="P553" t="s">
        <v>2178</v>
      </c>
      <c r="Q553">
        <v>54</v>
      </c>
      <c r="R553">
        <v>88</v>
      </c>
      <c r="S553">
        <v>131</v>
      </c>
      <c r="T553">
        <v>274</v>
      </c>
      <c r="U553" t="s">
        <v>2189</v>
      </c>
      <c r="W553" t="s">
        <v>2209</v>
      </c>
      <c r="X553" t="s">
        <v>2211</v>
      </c>
      <c r="Y553" t="s">
        <v>2213</v>
      </c>
      <c r="Z553" s="1">
        <v>45812</v>
      </c>
      <c r="AA553" s="1">
        <v>45832</v>
      </c>
      <c r="AB553" t="s">
        <v>2214</v>
      </c>
      <c r="AC553" t="s">
        <v>2209</v>
      </c>
      <c r="AD553" t="s">
        <v>2219</v>
      </c>
      <c r="AE553" t="s">
        <v>2165</v>
      </c>
      <c r="AF553" t="s">
        <v>2166</v>
      </c>
      <c r="AG553" t="s">
        <v>2222</v>
      </c>
      <c r="AH553">
        <v>273</v>
      </c>
      <c r="AI553">
        <v>293</v>
      </c>
      <c r="AJ553">
        <v>20</v>
      </c>
      <c r="AK553">
        <v>9</v>
      </c>
      <c r="AL553" t="s">
        <v>2234</v>
      </c>
      <c r="AM553">
        <v>0</v>
      </c>
      <c r="AN553" t="s">
        <v>2175</v>
      </c>
      <c r="AO553" t="s">
        <v>2175</v>
      </c>
      <c r="AP553" t="s">
        <v>2175</v>
      </c>
      <c r="AQ553">
        <v>210.6</v>
      </c>
      <c r="AR553">
        <v>3</v>
      </c>
      <c r="AS553">
        <v>3</v>
      </c>
      <c r="AT553">
        <v>3</v>
      </c>
      <c r="AU553">
        <v>3</v>
      </c>
      <c r="AV553">
        <v>3</v>
      </c>
      <c r="AW553">
        <v>4.5999999999999996</v>
      </c>
      <c r="AX553">
        <v>4.8</v>
      </c>
      <c r="AY553">
        <v>4.3</v>
      </c>
      <c r="AZ553">
        <v>0</v>
      </c>
      <c r="BA553">
        <v>3</v>
      </c>
      <c r="BB553">
        <v>45</v>
      </c>
      <c r="BC553">
        <v>26</v>
      </c>
      <c r="BD553">
        <v>39.85</v>
      </c>
      <c r="BE553">
        <v>196</v>
      </c>
      <c r="BF553">
        <v>88.6</v>
      </c>
      <c r="BG553">
        <v>28</v>
      </c>
      <c r="BH553">
        <v>26</v>
      </c>
      <c r="BI553">
        <v>24.77</v>
      </c>
      <c r="BJ553">
        <v>119</v>
      </c>
      <c r="BK553">
        <v>88.5</v>
      </c>
      <c r="BL553">
        <v>400</v>
      </c>
      <c r="BM553">
        <v>14.6896</v>
      </c>
    </row>
    <row r="554" spans="1:65" x14ac:dyDescent="0.25">
      <c r="A554" t="s">
        <v>617</v>
      </c>
      <c r="B554" t="s">
        <v>1598</v>
      </c>
      <c r="C554" t="s">
        <v>2159</v>
      </c>
      <c r="D554" s="1">
        <v>45437</v>
      </c>
      <c r="E554" s="1">
        <v>45485</v>
      </c>
      <c r="F554" s="1">
        <v>45716</v>
      </c>
      <c r="G554" t="s">
        <v>2163</v>
      </c>
      <c r="I554" t="s">
        <v>2175</v>
      </c>
      <c r="J554">
        <v>68109</v>
      </c>
      <c r="K554">
        <v>2043</v>
      </c>
      <c r="L554">
        <v>11.6</v>
      </c>
      <c r="M554">
        <v>15.9</v>
      </c>
      <c r="N554">
        <v>6</v>
      </c>
      <c r="O554">
        <v>15190</v>
      </c>
      <c r="P554" t="s">
        <v>2178</v>
      </c>
      <c r="Q554">
        <v>36</v>
      </c>
      <c r="R554">
        <v>46</v>
      </c>
      <c r="S554">
        <v>126</v>
      </c>
      <c r="T554">
        <v>327</v>
      </c>
      <c r="U554" t="s">
        <v>2179</v>
      </c>
      <c r="W554" t="s">
        <v>2209</v>
      </c>
      <c r="X554" t="s">
        <v>2211</v>
      </c>
      <c r="Y554" t="s">
        <v>2213</v>
      </c>
      <c r="Z554" s="1">
        <v>45693</v>
      </c>
      <c r="AA554" s="1">
        <v>45714</v>
      </c>
      <c r="AB554" t="s">
        <v>2214</v>
      </c>
      <c r="AC554" t="s">
        <v>2209</v>
      </c>
      <c r="AD554" t="s">
        <v>2219</v>
      </c>
      <c r="AE554" t="s">
        <v>2165</v>
      </c>
      <c r="AF554" t="s">
        <v>2162</v>
      </c>
      <c r="AG554" t="s">
        <v>2222</v>
      </c>
      <c r="AH554">
        <v>208</v>
      </c>
      <c r="AI554">
        <v>229</v>
      </c>
      <c r="AJ554">
        <v>21</v>
      </c>
      <c r="AK554">
        <v>7</v>
      </c>
      <c r="AL554" t="s">
        <v>2226</v>
      </c>
      <c r="AM554">
        <v>0</v>
      </c>
      <c r="AN554" t="s">
        <v>2175</v>
      </c>
      <c r="AO554" t="s">
        <v>2177</v>
      </c>
      <c r="AP554" t="s">
        <v>2175</v>
      </c>
      <c r="AQ554">
        <v>184.44</v>
      </c>
      <c r="AR554">
        <v>3</v>
      </c>
      <c r="AS554">
        <v>3</v>
      </c>
      <c r="AT554">
        <v>2</v>
      </c>
      <c r="AU554">
        <v>3</v>
      </c>
      <c r="AV554">
        <v>2.666666666666667</v>
      </c>
      <c r="AW554">
        <v>4.5999999999999996</v>
      </c>
      <c r="AX554">
        <v>4.2</v>
      </c>
      <c r="AY554">
        <v>4.4000000000000004</v>
      </c>
      <c r="AZ554">
        <v>0</v>
      </c>
      <c r="BA554">
        <v>3</v>
      </c>
      <c r="BB554">
        <v>38</v>
      </c>
      <c r="BC554">
        <v>27</v>
      </c>
      <c r="BD554">
        <v>34</v>
      </c>
      <c r="BE554">
        <v>174</v>
      </c>
      <c r="BF554">
        <v>89.5</v>
      </c>
      <c r="BG554">
        <v>33</v>
      </c>
      <c r="BH554">
        <v>27</v>
      </c>
      <c r="BI554">
        <v>28.89</v>
      </c>
      <c r="BJ554">
        <v>145</v>
      </c>
      <c r="BK554">
        <v>87.5</v>
      </c>
      <c r="BL554">
        <v>307</v>
      </c>
      <c r="BM554">
        <v>14.494400000000001</v>
      </c>
    </row>
    <row r="555" spans="1:65" x14ac:dyDescent="0.25">
      <c r="A555" t="s">
        <v>618</v>
      </c>
      <c r="B555" t="s">
        <v>1599</v>
      </c>
      <c r="C555" t="s">
        <v>2160</v>
      </c>
      <c r="D555" s="1">
        <v>45539</v>
      </c>
      <c r="E555" s="1">
        <v>45577</v>
      </c>
      <c r="F555" s="1">
        <v>45797</v>
      </c>
      <c r="G555" t="s">
        <v>2163</v>
      </c>
      <c r="I555" t="s">
        <v>2175</v>
      </c>
      <c r="J555">
        <v>78225</v>
      </c>
      <c r="K555">
        <v>2346</v>
      </c>
      <c r="L555">
        <v>14</v>
      </c>
      <c r="M555">
        <v>14</v>
      </c>
      <c r="N555">
        <v>8</v>
      </c>
      <c r="O555">
        <v>15888</v>
      </c>
      <c r="P555" t="s">
        <v>2178</v>
      </c>
      <c r="Q555">
        <v>52</v>
      </c>
      <c r="R555">
        <v>82</v>
      </c>
      <c r="S555">
        <v>75</v>
      </c>
      <c r="T555">
        <v>374</v>
      </c>
      <c r="U555" t="s">
        <v>2184</v>
      </c>
      <c r="W555" t="s">
        <v>2209</v>
      </c>
      <c r="X555" t="s">
        <v>2211</v>
      </c>
      <c r="Y555" t="s">
        <v>2213</v>
      </c>
      <c r="Z555" s="1">
        <v>45786</v>
      </c>
      <c r="AA555" s="1">
        <v>45815</v>
      </c>
      <c r="AB555" t="s">
        <v>2215</v>
      </c>
      <c r="AC555" t="s">
        <v>2208</v>
      </c>
      <c r="AD555" t="s">
        <v>2219</v>
      </c>
      <c r="AE555" t="s">
        <v>2163</v>
      </c>
      <c r="AF555" t="s">
        <v>2162</v>
      </c>
      <c r="AG555" t="s">
        <v>2222</v>
      </c>
      <c r="AH555">
        <v>209</v>
      </c>
      <c r="AI555">
        <v>238</v>
      </c>
      <c r="AJ555">
        <v>29</v>
      </c>
      <c r="AK555">
        <v>10</v>
      </c>
      <c r="AL555" t="s">
        <v>2230</v>
      </c>
      <c r="AM555">
        <v>1</v>
      </c>
      <c r="AN555" t="s">
        <v>2175</v>
      </c>
      <c r="AO555" t="s">
        <v>2175</v>
      </c>
      <c r="AP555" t="s">
        <v>2175</v>
      </c>
      <c r="AQ555">
        <v>196</v>
      </c>
      <c r="AR555">
        <v>3</v>
      </c>
      <c r="AS555">
        <v>3</v>
      </c>
      <c r="AT555">
        <v>3</v>
      </c>
      <c r="AU555">
        <v>3</v>
      </c>
      <c r="AV555">
        <v>3</v>
      </c>
      <c r="AW555">
        <v>4.4000000000000004</v>
      </c>
      <c r="AX555">
        <v>4.2</v>
      </c>
      <c r="AY555">
        <v>4.4000000000000004</v>
      </c>
      <c r="AZ555">
        <v>1</v>
      </c>
      <c r="BA555">
        <v>3</v>
      </c>
      <c r="BB555">
        <v>37</v>
      </c>
      <c r="BC555">
        <v>27</v>
      </c>
      <c r="BD555">
        <v>32.81</v>
      </c>
      <c r="BE555">
        <v>165</v>
      </c>
      <c r="BF555">
        <v>88.7</v>
      </c>
      <c r="BG555">
        <v>37</v>
      </c>
      <c r="BH555">
        <v>27</v>
      </c>
      <c r="BI555">
        <v>32.81</v>
      </c>
      <c r="BJ555">
        <v>165</v>
      </c>
      <c r="BK555">
        <v>88.7</v>
      </c>
      <c r="BL555">
        <v>273</v>
      </c>
      <c r="BM555">
        <v>17.555</v>
      </c>
    </row>
    <row r="556" spans="1:65" x14ac:dyDescent="0.25">
      <c r="A556" t="s">
        <v>619</v>
      </c>
      <c r="B556" t="s">
        <v>1600</v>
      </c>
      <c r="C556" t="s">
        <v>2160</v>
      </c>
      <c r="D556" s="1">
        <v>45522</v>
      </c>
      <c r="E556" s="1">
        <v>45569</v>
      </c>
      <c r="F556" s="1">
        <v>45765</v>
      </c>
      <c r="G556" t="s">
        <v>2166</v>
      </c>
      <c r="I556" t="s">
        <v>2175</v>
      </c>
      <c r="J556">
        <v>55541</v>
      </c>
      <c r="K556">
        <v>1666</v>
      </c>
      <c r="L556">
        <v>11.7</v>
      </c>
      <c r="M556">
        <v>9.1999999999999993</v>
      </c>
      <c r="N556">
        <v>8</v>
      </c>
      <c r="O556">
        <v>14528</v>
      </c>
      <c r="P556" t="s">
        <v>2178</v>
      </c>
      <c r="Q556">
        <v>27</v>
      </c>
      <c r="R556">
        <v>37</v>
      </c>
      <c r="S556">
        <v>107</v>
      </c>
      <c r="T556">
        <v>324</v>
      </c>
      <c r="U556" t="s">
        <v>2198</v>
      </c>
      <c r="W556" t="s">
        <v>2209</v>
      </c>
      <c r="X556" t="s">
        <v>2211</v>
      </c>
      <c r="Y556" t="s">
        <v>2213</v>
      </c>
      <c r="Z556" s="1">
        <v>45740</v>
      </c>
      <c r="AA556" s="1">
        <v>45756</v>
      </c>
      <c r="AB556" t="s">
        <v>2214</v>
      </c>
      <c r="AC556" t="s">
        <v>2209</v>
      </c>
      <c r="AD556" t="s">
        <v>2219</v>
      </c>
      <c r="AE556" t="s">
        <v>2166</v>
      </c>
      <c r="AF556" t="s">
        <v>2161</v>
      </c>
      <c r="AG556" t="s">
        <v>2222</v>
      </c>
      <c r="AH556">
        <v>171</v>
      </c>
      <c r="AI556">
        <v>187</v>
      </c>
      <c r="AJ556">
        <v>16</v>
      </c>
      <c r="AK556">
        <v>10</v>
      </c>
      <c r="AL556" t="s">
        <v>2230</v>
      </c>
      <c r="AM556">
        <v>1</v>
      </c>
      <c r="AN556" t="s">
        <v>2177</v>
      </c>
      <c r="AO556" t="s">
        <v>2175</v>
      </c>
      <c r="AP556" t="s">
        <v>2177</v>
      </c>
      <c r="AQ556">
        <v>107.64</v>
      </c>
      <c r="AR556">
        <v>3</v>
      </c>
      <c r="AS556">
        <v>2</v>
      </c>
      <c r="AT556">
        <v>3</v>
      </c>
      <c r="AU556">
        <v>2</v>
      </c>
      <c r="AV556">
        <v>2.333333333333333</v>
      </c>
      <c r="AW556">
        <v>4.8</v>
      </c>
      <c r="AX556">
        <v>4.3</v>
      </c>
      <c r="AY556">
        <v>4.8</v>
      </c>
      <c r="AZ556">
        <v>1</v>
      </c>
      <c r="BA556">
        <v>3</v>
      </c>
      <c r="BB556">
        <v>50</v>
      </c>
      <c r="BC556">
        <v>27</v>
      </c>
      <c r="BD556">
        <v>42.44</v>
      </c>
      <c r="BE556">
        <v>220</v>
      </c>
      <c r="BF556">
        <v>84.9</v>
      </c>
      <c r="BG556">
        <v>50</v>
      </c>
      <c r="BH556">
        <v>27</v>
      </c>
      <c r="BI556">
        <v>42.44</v>
      </c>
      <c r="BJ556">
        <v>220</v>
      </c>
      <c r="BK556">
        <v>84.9</v>
      </c>
      <c r="BL556">
        <v>369</v>
      </c>
      <c r="BM556">
        <v>9.3488000000000007</v>
      </c>
    </row>
    <row r="557" spans="1:65" x14ac:dyDescent="0.25">
      <c r="A557" t="s">
        <v>620</v>
      </c>
      <c r="B557" t="s">
        <v>1601</v>
      </c>
      <c r="C557" t="s">
        <v>2158</v>
      </c>
      <c r="D557" s="1">
        <v>45551</v>
      </c>
      <c r="E557" s="1">
        <v>45581</v>
      </c>
      <c r="F557" s="1">
        <v>45840</v>
      </c>
      <c r="G557" t="s">
        <v>2164</v>
      </c>
      <c r="I557" t="s">
        <v>2175</v>
      </c>
      <c r="J557">
        <v>71184</v>
      </c>
      <c r="K557">
        <v>2135</v>
      </c>
      <c r="L557">
        <v>14.4</v>
      </c>
      <c r="M557">
        <v>15.9</v>
      </c>
      <c r="N557">
        <v>8</v>
      </c>
      <c r="O557">
        <v>13733</v>
      </c>
      <c r="P557" t="s">
        <v>2178</v>
      </c>
      <c r="Q557">
        <v>63</v>
      </c>
      <c r="R557">
        <v>102</v>
      </c>
      <c r="S557">
        <v>79</v>
      </c>
      <c r="T557">
        <v>291</v>
      </c>
      <c r="U557" t="s">
        <v>2207</v>
      </c>
      <c r="W557" t="s">
        <v>2209</v>
      </c>
      <c r="X557" t="s">
        <v>2211</v>
      </c>
      <c r="Y557" t="s">
        <v>2213</v>
      </c>
      <c r="Z557" s="1">
        <v>45825</v>
      </c>
      <c r="AA557" s="1">
        <v>45854</v>
      </c>
      <c r="AB557" t="s">
        <v>2214</v>
      </c>
      <c r="AC557" t="s">
        <v>2209</v>
      </c>
      <c r="AD557" t="s">
        <v>2219</v>
      </c>
      <c r="AE557" t="s">
        <v>2163</v>
      </c>
      <c r="AF557" t="s">
        <v>2164</v>
      </c>
      <c r="AG557" t="s">
        <v>2222</v>
      </c>
      <c r="AH557">
        <v>244</v>
      </c>
      <c r="AI557">
        <v>273</v>
      </c>
      <c r="AJ557">
        <v>29</v>
      </c>
      <c r="AK557">
        <v>10</v>
      </c>
      <c r="AL557" t="s">
        <v>2230</v>
      </c>
      <c r="AM557">
        <v>1</v>
      </c>
      <c r="AN557" t="s">
        <v>2175</v>
      </c>
      <c r="AO557" t="s">
        <v>2175</v>
      </c>
      <c r="AP557" t="s">
        <v>2177</v>
      </c>
      <c r="AQ557">
        <v>228.96</v>
      </c>
      <c r="AR557">
        <v>3</v>
      </c>
      <c r="AS557">
        <v>3</v>
      </c>
      <c r="AT557">
        <v>3</v>
      </c>
      <c r="AU557">
        <v>2</v>
      </c>
      <c r="AV557">
        <v>2.666666666666667</v>
      </c>
      <c r="AW557">
        <v>4.4000000000000004</v>
      </c>
      <c r="AX557">
        <v>4.5</v>
      </c>
      <c r="AY557">
        <v>4.5</v>
      </c>
      <c r="AZ557">
        <v>2</v>
      </c>
      <c r="BA557">
        <v>3</v>
      </c>
      <c r="BB557">
        <v>37</v>
      </c>
      <c r="BC557">
        <v>27</v>
      </c>
      <c r="BD557">
        <v>32.81</v>
      </c>
      <c r="BE557">
        <v>165</v>
      </c>
      <c r="BF557">
        <v>88.7</v>
      </c>
      <c r="BG557">
        <v>27</v>
      </c>
      <c r="BH557">
        <v>27</v>
      </c>
      <c r="BI557">
        <v>23.56</v>
      </c>
      <c r="BJ557">
        <v>116</v>
      </c>
      <c r="BK557">
        <v>87.3</v>
      </c>
      <c r="BL557">
        <v>281</v>
      </c>
      <c r="BM557">
        <v>15.9749</v>
      </c>
    </row>
    <row r="558" spans="1:65" x14ac:dyDescent="0.25">
      <c r="A558" t="s">
        <v>621</v>
      </c>
      <c r="B558" t="s">
        <v>1602</v>
      </c>
      <c r="C558" t="s">
        <v>2158</v>
      </c>
      <c r="D558" s="1">
        <v>45262</v>
      </c>
      <c r="E558" s="1">
        <v>45298</v>
      </c>
      <c r="F558" s="1">
        <v>45514</v>
      </c>
      <c r="G558" t="s">
        <v>2162</v>
      </c>
      <c r="I558" t="s">
        <v>2175</v>
      </c>
      <c r="J558">
        <v>58471</v>
      </c>
      <c r="K558">
        <v>1754</v>
      </c>
      <c r="L558">
        <v>9.6999999999999993</v>
      </c>
      <c r="M558">
        <v>15</v>
      </c>
      <c r="N558">
        <v>7</v>
      </c>
      <c r="O558">
        <v>19797</v>
      </c>
      <c r="P558" t="s">
        <v>2178</v>
      </c>
      <c r="Q558">
        <v>38</v>
      </c>
      <c r="R558">
        <v>60</v>
      </c>
      <c r="S558">
        <v>91</v>
      </c>
      <c r="T558">
        <v>309</v>
      </c>
      <c r="U558" t="s">
        <v>2204</v>
      </c>
      <c r="W558" t="s">
        <v>2209</v>
      </c>
      <c r="X558" t="s">
        <v>2211</v>
      </c>
      <c r="Y558" t="s">
        <v>2213</v>
      </c>
      <c r="Z558" s="1">
        <v>45487</v>
      </c>
      <c r="AA558" s="1">
        <v>45514</v>
      </c>
      <c r="AB558" t="s">
        <v>2214</v>
      </c>
      <c r="AC558" t="s">
        <v>2209</v>
      </c>
      <c r="AD558" t="s">
        <v>2219</v>
      </c>
      <c r="AE558" t="s">
        <v>2166</v>
      </c>
      <c r="AF558" t="s">
        <v>2164</v>
      </c>
      <c r="AG558" t="s">
        <v>2222</v>
      </c>
      <c r="AH558">
        <v>189</v>
      </c>
      <c r="AI558">
        <v>216</v>
      </c>
      <c r="AJ558">
        <v>27</v>
      </c>
      <c r="AK558">
        <v>1</v>
      </c>
      <c r="AL558" t="s">
        <v>2233</v>
      </c>
      <c r="AM558">
        <v>0</v>
      </c>
      <c r="AN558" t="s">
        <v>2177</v>
      </c>
      <c r="AO558" t="s">
        <v>2175</v>
      </c>
      <c r="AP558" t="s">
        <v>2175</v>
      </c>
      <c r="AQ558">
        <v>145.5</v>
      </c>
      <c r="AR558">
        <v>3</v>
      </c>
      <c r="AS558">
        <v>2</v>
      </c>
      <c r="AT558">
        <v>3</v>
      </c>
      <c r="AU558">
        <v>3</v>
      </c>
      <c r="AV558">
        <v>2.666666666666667</v>
      </c>
      <c r="AW558">
        <v>4.8</v>
      </c>
      <c r="AX558">
        <v>4.5</v>
      </c>
      <c r="AY558">
        <v>4.2</v>
      </c>
      <c r="AZ558">
        <v>2</v>
      </c>
      <c r="BA558">
        <v>3</v>
      </c>
      <c r="BB558">
        <v>40</v>
      </c>
      <c r="BC558">
        <v>27</v>
      </c>
      <c r="BD558">
        <v>35.07</v>
      </c>
      <c r="BE558">
        <v>181</v>
      </c>
      <c r="BF558">
        <v>87.7</v>
      </c>
      <c r="BG558">
        <v>26</v>
      </c>
      <c r="BH558">
        <v>27</v>
      </c>
      <c r="BI558">
        <v>23.19</v>
      </c>
      <c r="BJ558">
        <v>113</v>
      </c>
      <c r="BK558">
        <v>89.2</v>
      </c>
      <c r="BL558">
        <v>313</v>
      </c>
      <c r="BM558">
        <v>11.962199999999999</v>
      </c>
    </row>
    <row r="559" spans="1:65" x14ac:dyDescent="0.25">
      <c r="A559" t="s">
        <v>622</v>
      </c>
      <c r="B559" t="s">
        <v>1603</v>
      </c>
      <c r="C559" t="s">
        <v>2158</v>
      </c>
      <c r="D559" s="1">
        <v>45345</v>
      </c>
      <c r="E559" s="1">
        <v>45399</v>
      </c>
      <c r="F559" s="1">
        <v>45632</v>
      </c>
      <c r="G559" t="s">
        <v>2161</v>
      </c>
      <c r="I559" t="s">
        <v>2175</v>
      </c>
      <c r="J559">
        <v>78284</v>
      </c>
      <c r="K559">
        <v>2348</v>
      </c>
      <c r="L559">
        <v>12.8</v>
      </c>
      <c r="M559">
        <v>12.4</v>
      </c>
      <c r="N559">
        <v>7</v>
      </c>
      <c r="O559">
        <v>13625</v>
      </c>
      <c r="P559" t="s">
        <v>2178</v>
      </c>
      <c r="Q559">
        <v>54</v>
      </c>
      <c r="R559">
        <v>93</v>
      </c>
      <c r="S559">
        <v>72</v>
      </c>
      <c r="T559">
        <v>357</v>
      </c>
      <c r="U559" t="s">
        <v>2181</v>
      </c>
      <c r="W559" t="s">
        <v>2209</v>
      </c>
      <c r="X559" t="s">
        <v>2211</v>
      </c>
      <c r="Y559" t="s">
        <v>2213</v>
      </c>
      <c r="Z559" s="1">
        <v>45618</v>
      </c>
      <c r="AA559" s="1">
        <v>45636</v>
      </c>
      <c r="AB559" t="s">
        <v>2214</v>
      </c>
      <c r="AC559" t="s">
        <v>2209</v>
      </c>
      <c r="AD559" t="s">
        <v>2219</v>
      </c>
      <c r="AE559" t="s">
        <v>2166</v>
      </c>
      <c r="AF559" t="s">
        <v>2163</v>
      </c>
      <c r="AG559" t="s">
        <v>2222</v>
      </c>
      <c r="AH559">
        <v>219</v>
      </c>
      <c r="AI559">
        <v>237</v>
      </c>
      <c r="AJ559">
        <v>18</v>
      </c>
      <c r="AK559">
        <v>4</v>
      </c>
      <c r="AL559" t="s">
        <v>2225</v>
      </c>
      <c r="AM559">
        <v>0</v>
      </c>
      <c r="AN559" t="s">
        <v>2175</v>
      </c>
      <c r="AO559" t="s">
        <v>2175</v>
      </c>
      <c r="AP559" t="s">
        <v>2177</v>
      </c>
      <c r="AQ559">
        <v>158.72</v>
      </c>
      <c r="AR559">
        <v>3</v>
      </c>
      <c r="AS559">
        <v>3</v>
      </c>
      <c r="AT559">
        <v>3</v>
      </c>
      <c r="AU559">
        <v>2</v>
      </c>
      <c r="AV559">
        <v>2.666666666666667</v>
      </c>
      <c r="AW559">
        <v>4.8</v>
      </c>
      <c r="AX559">
        <v>4.4000000000000004</v>
      </c>
      <c r="AY559">
        <v>4.3</v>
      </c>
      <c r="AZ559">
        <v>2</v>
      </c>
      <c r="BA559">
        <v>3</v>
      </c>
      <c r="BB559">
        <v>45</v>
      </c>
      <c r="BC559">
        <v>26</v>
      </c>
      <c r="BD559">
        <v>40.270000000000003</v>
      </c>
      <c r="BE559">
        <v>199</v>
      </c>
      <c r="BF559">
        <v>89.5</v>
      </c>
      <c r="BG559">
        <v>32</v>
      </c>
      <c r="BH559">
        <v>26</v>
      </c>
      <c r="BI559">
        <v>28.46</v>
      </c>
      <c r="BJ559">
        <v>138</v>
      </c>
      <c r="BK559">
        <v>88.9</v>
      </c>
      <c r="BL559">
        <v>331</v>
      </c>
      <c r="BM559">
        <v>15.1273</v>
      </c>
    </row>
    <row r="560" spans="1:65" x14ac:dyDescent="0.25">
      <c r="A560" t="s">
        <v>623</v>
      </c>
      <c r="B560" t="s">
        <v>1604</v>
      </c>
      <c r="C560" t="s">
        <v>2159</v>
      </c>
      <c r="D560" s="1">
        <v>45454</v>
      </c>
      <c r="E560" s="1">
        <v>45508</v>
      </c>
      <c r="F560" s="1">
        <v>45688</v>
      </c>
      <c r="G560" t="s">
        <v>2162</v>
      </c>
      <c r="I560" t="s">
        <v>2175</v>
      </c>
      <c r="J560">
        <v>68493</v>
      </c>
      <c r="K560">
        <v>2054</v>
      </c>
      <c r="L560">
        <v>14.6</v>
      </c>
      <c r="M560">
        <v>17.600000000000001</v>
      </c>
      <c r="N560">
        <v>7</v>
      </c>
      <c r="O560">
        <v>14461</v>
      </c>
      <c r="P560" t="s">
        <v>2178</v>
      </c>
      <c r="Q560">
        <v>37</v>
      </c>
      <c r="R560">
        <v>50</v>
      </c>
      <c r="S560">
        <v>64</v>
      </c>
      <c r="T560">
        <v>453</v>
      </c>
      <c r="U560" t="s">
        <v>2198</v>
      </c>
      <c r="W560" t="s">
        <v>2209</v>
      </c>
      <c r="X560" t="s">
        <v>2211</v>
      </c>
      <c r="Y560" t="s">
        <v>2213</v>
      </c>
      <c r="Z560" s="1">
        <v>45659</v>
      </c>
      <c r="AA560" s="1">
        <v>45679</v>
      </c>
      <c r="AB560" t="s">
        <v>2214</v>
      </c>
      <c r="AC560" t="s">
        <v>2209</v>
      </c>
      <c r="AD560" t="s">
        <v>2219</v>
      </c>
      <c r="AE560" t="s">
        <v>2166</v>
      </c>
      <c r="AF560" t="s">
        <v>2161</v>
      </c>
      <c r="AG560" t="s">
        <v>2222</v>
      </c>
      <c r="AH560">
        <v>151</v>
      </c>
      <c r="AI560">
        <v>171</v>
      </c>
      <c r="AJ560">
        <v>20</v>
      </c>
      <c r="AK560">
        <v>8</v>
      </c>
      <c r="AL560" t="s">
        <v>2232</v>
      </c>
      <c r="AM560">
        <v>0</v>
      </c>
      <c r="AN560" t="s">
        <v>2175</v>
      </c>
      <c r="AO560" t="s">
        <v>2175</v>
      </c>
      <c r="AP560" t="s">
        <v>2177</v>
      </c>
      <c r="AQ560">
        <v>256.95999999999998</v>
      </c>
      <c r="AR560">
        <v>3</v>
      </c>
      <c r="AS560">
        <v>3</v>
      </c>
      <c r="AT560">
        <v>3</v>
      </c>
      <c r="AU560">
        <v>2</v>
      </c>
      <c r="AV560">
        <v>2.666666666666667</v>
      </c>
      <c r="AW560">
        <v>4.8</v>
      </c>
      <c r="AX560">
        <v>4.3</v>
      </c>
      <c r="AY560">
        <v>4.2</v>
      </c>
      <c r="AZ560">
        <v>0</v>
      </c>
      <c r="BA560">
        <v>3</v>
      </c>
      <c r="BB560">
        <v>41</v>
      </c>
      <c r="BC560">
        <v>26</v>
      </c>
      <c r="BD560">
        <v>36.15</v>
      </c>
      <c r="BE560">
        <v>176</v>
      </c>
      <c r="BF560">
        <v>88.2</v>
      </c>
      <c r="BG560">
        <v>29</v>
      </c>
      <c r="BH560">
        <v>26</v>
      </c>
      <c r="BI560">
        <v>25.54</v>
      </c>
      <c r="BJ560">
        <v>124</v>
      </c>
      <c r="BK560">
        <v>88.1</v>
      </c>
      <c r="BL560">
        <v>328</v>
      </c>
      <c r="BM560">
        <v>14.964600000000001</v>
      </c>
    </row>
    <row r="561" spans="1:65" x14ac:dyDescent="0.25">
      <c r="A561" t="s">
        <v>624</v>
      </c>
      <c r="B561" t="s">
        <v>1605</v>
      </c>
      <c r="C561" t="s">
        <v>2158</v>
      </c>
      <c r="D561" s="1">
        <v>45312</v>
      </c>
      <c r="E561" s="1">
        <v>45352</v>
      </c>
      <c r="F561" s="1">
        <v>45677</v>
      </c>
      <c r="G561" t="s">
        <v>2164</v>
      </c>
      <c r="I561" t="s">
        <v>2175</v>
      </c>
      <c r="J561">
        <v>87591</v>
      </c>
      <c r="K561">
        <v>2627</v>
      </c>
      <c r="L561">
        <v>8.6999999999999993</v>
      </c>
      <c r="M561">
        <v>12.9</v>
      </c>
      <c r="N561">
        <v>7</v>
      </c>
      <c r="O561">
        <v>14297</v>
      </c>
      <c r="P561" t="s">
        <v>2178</v>
      </c>
      <c r="Q561">
        <v>74</v>
      </c>
      <c r="R561">
        <v>112</v>
      </c>
      <c r="S561">
        <v>124</v>
      </c>
      <c r="T561">
        <v>282</v>
      </c>
      <c r="U561" t="s">
        <v>2205</v>
      </c>
      <c r="W561" t="s">
        <v>2209</v>
      </c>
      <c r="X561" t="s">
        <v>2211</v>
      </c>
      <c r="Y561" t="s">
        <v>2213</v>
      </c>
      <c r="Z561" s="1">
        <v>45662</v>
      </c>
      <c r="AA561" s="1">
        <v>45687</v>
      </c>
      <c r="AB561" t="s">
        <v>2214</v>
      </c>
      <c r="AC561" t="s">
        <v>2209</v>
      </c>
      <c r="AD561" t="s">
        <v>2219</v>
      </c>
      <c r="AE561" t="s">
        <v>2165</v>
      </c>
      <c r="AF561" t="s">
        <v>2164</v>
      </c>
      <c r="AG561" t="s">
        <v>2222</v>
      </c>
      <c r="AH561">
        <v>310</v>
      </c>
      <c r="AI561">
        <v>335</v>
      </c>
      <c r="AJ561">
        <v>25</v>
      </c>
      <c r="AK561">
        <v>3</v>
      </c>
      <c r="AL561" t="s">
        <v>2227</v>
      </c>
      <c r="AM561">
        <v>0</v>
      </c>
      <c r="AN561" t="s">
        <v>2177</v>
      </c>
      <c r="AO561" t="s">
        <v>2175</v>
      </c>
      <c r="AP561" t="s">
        <v>2177</v>
      </c>
      <c r="AQ561">
        <v>112.23</v>
      </c>
      <c r="AR561">
        <v>3</v>
      </c>
      <c r="AS561">
        <v>2</v>
      </c>
      <c r="AT561">
        <v>3</v>
      </c>
      <c r="AU561">
        <v>2</v>
      </c>
      <c r="AV561">
        <v>2.333333333333333</v>
      </c>
      <c r="AW561">
        <v>4.5999999999999996</v>
      </c>
      <c r="AX561">
        <v>4.5</v>
      </c>
      <c r="AY561">
        <v>4.5</v>
      </c>
      <c r="AZ561">
        <v>2</v>
      </c>
      <c r="BA561">
        <v>3</v>
      </c>
      <c r="BB561">
        <v>48</v>
      </c>
      <c r="BC561">
        <v>26</v>
      </c>
      <c r="BD561">
        <v>42.38</v>
      </c>
      <c r="BE561">
        <v>212</v>
      </c>
      <c r="BF561">
        <v>88.3</v>
      </c>
      <c r="BG561">
        <v>30</v>
      </c>
      <c r="BH561">
        <v>26</v>
      </c>
      <c r="BI561">
        <v>26.31</v>
      </c>
      <c r="BJ561">
        <v>128</v>
      </c>
      <c r="BK561">
        <v>87.7</v>
      </c>
      <c r="BL561">
        <v>340</v>
      </c>
      <c r="BM561">
        <v>15.8881</v>
      </c>
    </row>
    <row r="562" spans="1:65" x14ac:dyDescent="0.25">
      <c r="A562" t="s">
        <v>625</v>
      </c>
      <c r="B562" t="s">
        <v>1606</v>
      </c>
      <c r="C562" t="s">
        <v>2157</v>
      </c>
      <c r="D562" s="1">
        <v>45300</v>
      </c>
      <c r="E562" s="1">
        <v>45333</v>
      </c>
      <c r="F562" s="1">
        <v>45645</v>
      </c>
      <c r="G562" t="s">
        <v>2161</v>
      </c>
      <c r="I562" t="s">
        <v>2175</v>
      </c>
      <c r="J562">
        <v>85682</v>
      </c>
      <c r="K562">
        <v>2570</v>
      </c>
      <c r="L562">
        <v>17.600000000000001</v>
      </c>
      <c r="M562">
        <v>13.6</v>
      </c>
      <c r="N562">
        <v>7</v>
      </c>
      <c r="O562">
        <v>15737</v>
      </c>
      <c r="P562" t="s">
        <v>2178</v>
      </c>
      <c r="Q562">
        <v>80</v>
      </c>
      <c r="R562">
        <v>139</v>
      </c>
      <c r="S562">
        <v>73</v>
      </c>
      <c r="T562">
        <v>293</v>
      </c>
      <c r="U562" t="s">
        <v>2189</v>
      </c>
      <c r="W562" t="s">
        <v>2209</v>
      </c>
      <c r="X562" t="s">
        <v>2211</v>
      </c>
      <c r="Y562" t="s">
        <v>2213</v>
      </c>
      <c r="Z562" s="1">
        <v>45625</v>
      </c>
      <c r="AA562" s="1">
        <v>45651</v>
      </c>
      <c r="AB562" t="s">
        <v>2214</v>
      </c>
      <c r="AC562" t="s">
        <v>2209</v>
      </c>
      <c r="AD562" t="s">
        <v>2219</v>
      </c>
      <c r="AE562" t="s">
        <v>2165</v>
      </c>
      <c r="AF562" t="s">
        <v>2166</v>
      </c>
      <c r="AG562" t="s">
        <v>2222</v>
      </c>
      <c r="AH562">
        <v>292</v>
      </c>
      <c r="AI562">
        <v>318</v>
      </c>
      <c r="AJ562">
        <v>26</v>
      </c>
      <c r="AK562">
        <v>2</v>
      </c>
      <c r="AL562" t="s">
        <v>2228</v>
      </c>
      <c r="AM562">
        <v>0</v>
      </c>
      <c r="AN562" t="s">
        <v>2175</v>
      </c>
      <c r="AO562" t="s">
        <v>2175</v>
      </c>
      <c r="AP562" t="s">
        <v>2175</v>
      </c>
      <c r="AQ562">
        <v>239.36</v>
      </c>
      <c r="AR562">
        <v>3</v>
      </c>
      <c r="AS562">
        <v>3</v>
      </c>
      <c r="AT562">
        <v>3</v>
      </c>
      <c r="AU562">
        <v>3</v>
      </c>
      <c r="AV562">
        <v>3</v>
      </c>
      <c r="AW562">
        <v>4.5999999999999996</v>
      </c>
      <c r="AX562">
        <v>4.8</v>
      </c>
      <c r="AY562">
        <v>4.3</v>
      </c>
      <c r="AZ562">
        <v>3</v>
      </c>
      <c r="BA562">
        <v>3</v>
      </c>
      <c r="BB562">
        <v>36</v>
      </c>
      <c r="BC562">
        <v>24</v>
      </c>
      <c r="BD562">
        <v>31.79</v>
      </c>
      <c r="BE562">
        <v>142</v>
      </c>
      <c r="BF562">
        <v>88.3</v>
      </c>
      <c r="BG562">
        <v>34</v>
      </c>
      <c r="BH562">
        <v>24</v>
      </c>
      <c r="BI562">
        <v>29.92</v>
      </c>
      <c r="BJ562">
        <v>134</v>
      </c>
      <c r="BK562">
        <v>88</v>
      </c>
      <c r="BL562">
        <v>302</v>
      </c>
      <c r="BM562">
        <v>25.1341</v>
      </c>
    </row>
    <row r="563" spans="1:65" x14ac:dyDescent="0.25">
      <c r="A563" t="s">
        <v>626</v>
      </c>
      <c r="B563" t="s">
        <v>1607</v>
      </c>
      <c r="C563" t="s">
        <v>2159</v>
      </c>
      <c r="D563" s="1">
        <v>45279</v>
      </c>
      <c r="E563" s="1">
        <v>45302</v>
      </c>
      <c r="F563" s="1">
        <v>45557</v>
      </c>
      <c r="G563" t="s">
        <v>2163</v>
      </c>
      <c r="I563" t="s">
        <v>2175</v>
      </c>
      <c r="J563">
        <v>83228</v>
      </c>
      <c r="K563">
        <v>2496</v>
      </c>
      <c r="L563">
        <v>11.1</v>
      </c>
      <c r="M563">
        <v>17.5</v>
      </c>
      <c r="N563">
        <v>6</v>
      </c>
      <c r="O563">
        <v>18588</v>
      </c>
      <c r="P563" t="s">
        <v>2178</v>
      </c>
      <c r="Q563">
        <v>52</v>
      </c>
      <c r="R563">
        <v>72</v>
      </c>
      <c r="S563">
        <v>103</v>
      </c>
      <c r="T563">
        <v>366</v>
      </c>
      <c r="U563" t="s">
        <v>2204</v>
      </c>
      <c r="W563" t="s">
        <v>2209</v>
      </c>
      <c r="X563" t="s">
        <v>2211</v>
      </c>
      <c r="Y563" t="s">
        <v>2213</v>
      </c>
      <c r="Z563" s="1">
        <v>45529</v>
      </c>
      <c r="AA563" s="1">
        <v>45552</v>
      </c>
      <c r="AB563" t="s">
        <v>2214</v>
      </c>
      <c r="AC563" t="s">
        <v>2209</v>
      </c>
      <c r="AD563" t="s">
        <v>2219</v>
      </c>
      <c r="AE563" t="s">
        <v>2166</v>
      </c>
      <c r="AF563" t="s">
        <v>2164</v>
      </c>
      <c r="AG563" t="s">
        <v>2222</v>
      </c>
      <c r="AH563">
        <v>227</v>
      </c>
      <c r="AI563">
        <v>250</v>
      </c>
      <c r="AJ563">
        <v>23</v>
      </c>
      <c r="AK563">
        <v>1</v>
      </c>
      <c r="AL563" t="s">
        <v>2233</v>
      </c>
      <c r="AM563">
        <v>0</v>
      </c>
      <c r="AN563" t="s">
        <v>2175</v>
      </c>
      <c r="AO563" t="s">
        <v>2177</v>
      </c>
      <c r="AP563" t="s">
        <v>2175</v>
      </c>
      <c r="AQ563">
        <v>194.25</v>
      </c>
      <c r="AR563">
        <v>3</v>
      </c>
      <c r="AS563">
        <v>3</v>
      </c>
      <c r="AT563">
        <v>2</v>
      </c>
      <c r="AU563">
        <v>3</v>
      </c>
      <c r="AV563">
        <v>2.666666666666667</v>
      </c>
      <c r="AW563">
        <v>4.8</v>
      </c>
      <c r="AX563">
        <v>4.5</v>
      </c>
      <c r="AY563">
        <v>4.4000000000000004</v>
      </c>
      <c r="AZ563">
        <v>0</v>
      </c>
      <c r="BA563">
        <v>3</v>
      </c>
      <c r="BB563">
        <v>40</v>
      </c>
      <c r="BC563">
        <v>27</v>
      </c>
      <c r="BD563">
        <v>35.07</v>
      </c>
      <c r="BE563">
        <v>181</v>
      </c>
      <c r="BF563">
        <v>87.7</v>
      </c>
      <c r="BG563">
        <v>40</v>
      </c>
      <c r="BH563">
        <v>27</v>
      </c>
      <c r="BI563">
        <v>34.93</v>
      </c>
      <c r="BJ563">
        <v>178</v>
      </c>
      <c r="BK563">
        <v>87.3</v>
      </c>
      <c r="BL563">
        <v>313</v>
      </c>
      <c r="BM563">
        <v>17.027000000000001</v>
      </c>
    </row>
    <row r="564" spans="1:65" x14ac:dyDescent="0.25">
      <c r="A564" t="s">
        <v>627</v>
      </c>
      <c r="B564" t="s">
        <v>1608</v>
      </c>
      <c r="C564" t="s">
        <v>2158</v>
      </c>
      <c r="D564" s="1">
        <v>45552</v>
      </c>
      <c r="E564" s="1">
        <v>45577</v>
      </c>
      <c r="F564" s="1">
        <v>45844</v>
      </c>
      <c r="G564" t="s">
        <v>2162</v>
      </c>
      <c r="I564" t="s">
        <v>2175</v>
      </c>
      <c r="J564">
        <v>88365</v>
      </c>
      <c r="K564">
        <v>2650</v>
      </c>
      <c r="L564">
        <v>12</v>
      </c>
      <c r="M564">
        <v>13.4</v>
      </c>
      <c r="N564">
        <v>6</v>
      </c>
      <c r="O564">
        <v>16624</v>
      </c>
      <c r="P564" t="s">
        <v>2178</v>
      </c>
      <c r="Q564">
        <v>68</v>
      </c>
      <c r="R564">
        <v>106</v>
      </c>
      <c r="S564">
        <v>82</v>
      </c>
      <c r="T564">
        <v>345</v>
      </c>
      <c r="U564" t="s">
        <v>2189</v>
      </c>
      <c r="W564" t="s">
        <v>2209</v>
      </c>
      <c r="X564" t="s">
        <v>2211</v>
      </c>
      <c r="Y564" t="s">
        <v>2213</v>
      </c>
      <c r="Z564" s="1">
        <v>45833</v>
      </c>
      <c r="AA564" s="1">
        <v>45849</v>
      </c>
      <c r="AB564" t="s">
        <v>2215</v>
      </c>
      <c r="AC564" t="s">
        <v>2208</v>
      </c>
      <c r="AD564" t="s">
        <v>2219</v>
      </c>
      <c r="AE564" t="s">
        <v>2165</v>
      </c>
      <c r="AF564" t="s">
        <v>2166</v>
      </c>
      <c r="AG564" t="s">
        <v>2222</v>
      </c>
      <c r="AH564">
        <v>256</v>
      </c>
      <c r="AI564">
        <v>272</v>
      </c>
      <c r="AJ564">
        <v>16</v>
      </c>
      <c r="AK564">
        <v>10</v>
      </c>
      <c r="AL564" t="s">
        <v>2230</v>
      </c>
      <c r="AM564">
        <v>1</v>
      </c>
      <c r="AN564" t="s">
        <v>2175</v>
      </c>
      <c r="AO564" t="s">
        <v>2177</v>
      </c>
      <c r="AP564" t="s">
        <v>2175</v>
      </c>
      <c r="AQ564">
        <v>160.80000000000001</v>
      </c>
      <c r="AR564">
        <v>3</v>
      </c>
      <c r="AS564">
        <v>3</v>
      </c>
      <c r="AT564">
        <v>2</v>
      </c>
      <c r="AU564">
        <v>3</v>
      </c>
      <c r="AV564">
        <v>2.666666666666667</v>
      </c>
      <c r="AW564">
        <v>4.5999999999999996</v>
      </c>
      <c r="AX564">
        <v>4.8</v>
      </c>
      <c r="AY564">
        <v>4.2</v>
      </c>
      <c r="AZ564">
        <v>2</v>
      </c>
      <c r="BA564">
        <v>3</v>
      </c>
      <c r="BB564">
        <v>43</v>
      </c>
      <c r="BC564">
        <v>27</v>
      </c>
      <c r="BD564">
        <v>37.33</v>
      </c>
      <c r="BE564">
        <v>194</v>
      </c>
      <c r="BF564">
        <v>86.8</v>
      </c>
      <c r="BG564">
        <v>25</v>
      </c>
      <c r="BH564">
        <v>27</v>
      </c>
      <c r="BI564">
        <v>21.89</v>
      </c>
      <c r="BJ564">
        <v>108</v>
      </c>
      <c r="BK564">
        <v>87.6</v>
      </c>
      <c r="BL564">
        <v>414</v>
      </c>
      <c r="BM564">
        <v>16.866800000000001</v>
      </c>
    </row>
    <row r="565" spans="1:65" x14ac:dyDescent="0.25">
      <c r="A565" t="s">
        <v>628</v>
      </c>
      <c r="B565" t="s">
        <v>1609</v>
      </c>
      <c r="C565" t="s">
        <v>2160</v>
      </c>
      <c r="D565" s="1">
        <v>45239</v>
      </c>
      <c r="E565" s="1">
        <v>45298</v>
      </c>
      <c r="F565" s="1">
        <v>45549</v>
      </c>
      <c r="G565" t="s">
        <v>2164</v>
      </c>
      <c r="I565" t="s">
        <v>2175</v>
      </c>
      <c r="J565">
        <v>68140</v>
      </c>
      <c r="K565">
        <v>2044</v>
      </c>
      <c r="L565">
        <v>9</v>
      </c>
      <c r="M565">
        <v>16.600000000000001</v>
      </c>
      <c r="N565">
        <v>6</v>
      </c>
      <c r="O565">
        <v>15750</v>
      </c>
      <c r="P565" t="s">
        <v>2178</v>
      </c>
      <c r="Q565">
        <v>45</v>
      </c>
      <c r="R565">
        <v>73</v>
      </c>
      <c r="S565">
        <v>122</v>
      </c>
      <c r="T565">
        <v>283</v>
      </c>
      <c r="U565" t="s">
        <v>2204</v>
      </c>
      <c r="W565" t="s">
        <v>2209</v>
      </c>
      <c r="X565" t="s">
        <v>2211</v>
      </c>
      <c r="Y565" t="s">
        <v>2213</v>
      </c>
      <c r="Z565" s="1">
        <v>45538</v>
      </c>
      <c r="AA565" s="1">
        <v>45558</v>
      </c>
      <c r="AB565" t="s">
        <v>2215</v>
      </c>
      <c r="AC565" t="s">
        <v>2208</v>
      </c>
      <c r="AD565" t="s">
        <v>2219</v>
      </c>
      <c r="AE565" t="s">
        <v>2166</v>
      </c>
      <c r="AF565" t="s">
        <v>2164</v>
      </c>
      <c r="AG565" t="s">
        <v>2222</v>
      </c>
      <c r="AH565">
        <v>240</v>
      </c>
      <c r="AI565">
        <v>260</v>
      </c>
      <c r="AJ565">
        <v>20</v>
      </c>
      <c r="AK565">
        <v>1</v>
      </c>
      <c r="AL565" t="s">
        <v>2233</v>
      </c>
      <c r="AM565">
        <v>0</v>
      </c>
      <c r="AN565" t="s">
        <v>2175</v>
      </c>
      <c r="AO565" t="s">
        <v>2177</v>
      </c>
      <c r="AP565" t="s">
        <v>2175</v>
      </c>
      <c r="AQ565">
        <v>149.4</v>
      </c>
      <c r="AR565">
        <v>3</v>
      </c>
      <c r="AS565">
        <v>3</v>
      </c>
      <c r="AT565">
        <v>2</v>
      </c>
      <c r="AU565">
        <v>3</v>
      </c>
      <c r="AV565">
        <v>2.666666666666667</v>
      </c>
      <c r="AW565">
        <v>4.8</v>
      </c>
      <c r="AX565">
        <v>4.5</v>
      </c>
      <c r="AY565">
        <v>4.5</v>
      </c>
      <c r="AZ565">
        <v>1</v>
      </c>
      <c r="BA565">
        <v>3</v>
      </c>
      <c r="BB565">
        <v>40</v>
      </c>
      <c r="BC565">
        <v>27</v>
      </c>
      <c r="BD565">
        <v>35.07</v>
      </c>
      <c r="BE565">
        <v>181</v>
      </c>
      <c r="BF565">
        <v>87.7</v>
      </c>
      <c r="BG565">
        <v>30</v>
      </c>
      <c r="BH565">
        <v>27</v>
      </c>
      <c r="BI565">
        <v>25.85</v>
      </c>
      <c r="BJ565">
        <v>132</v>
      </c>
      <c r="BK565">
        <v>86.2</v>
      </c>
      <c r="BL565">
        <v>313</v>
      </c>
      <c r="BM565">
        <v>13.940300000000001</v>
      </c>
    </row>
    <row r="566" spans="1:65" x14ac:dyDescent="0.25">
      <c r="A566" t="s">
        <v>629</v>
      </c>
      <c r="B566" t="s">
        <v>1610</v>
      </c>
      <c r="C566" t="s">
        <v>2160</v>
      </c>
      <c r="D566" s="1">
        <v>45482</v>
      </c>
      <c r="E566" s="1">
        <v>45541</v>
      </c>
      <c r="F566" s="1">
        <v>45791</v>
      </c>
      <c r="G566" t="s">
        <v>2163</v>
      </c>
      <c r="I566" t="s">
        <v>2175</v>
      </c>
      <c r="J566">
        <v>71994</v>
      </c>
      <c r="K566">
        <v>2159</v>
      </c>
      <c r="L566">
        <v>16.7</v>
      </c>
      <c r="M566">
        <v>13.4</v>
      </c>
      <c r="N566">
        <v>7</v>
      </c>
      <c r="O566">
        <v>16979</v>
      </c>
      <c r="P566" t="s">
        <v>2178</v>
      </c>
      <c r="Q566">
        <v>39</v>
      </c>
      <c r="R566">
        <v>60</v>
      </c>
      <c r="S566">
        <v>135</v>
      </c>
      <c r="T566">
        <v>307</v>
      </c>
      <c r="U566" t="s">
        <v>2180</v>
      </c>
      <c r="W566" t="s">
        <v>2209</v>
      </c>
      <c r="X566" t="s">
        <v>2211</v>
      </c>
      <c r="Y566" t="s">
        <v>2213</v>
      </c>
      <c r="Z566" s="1">
        <v>45775</v>
      </c>
      <c r="AA566" s="1">
        <v>45795</v>
      </c>
      <c r="AB566" t="s">
        <v>2214</v>
      </c>
      <c r="AC566" t="s">
        <v>2209</v>
      </c>
      <c r="AD566" t="s">
        <v>2219</v>
      </c>
      <c r="AE566" t="s">
        <v>2163</v>
      </c>
      <c r="AF566" t="s">
        <v>2165</v>
      </c>
      <c r="AG566" t="s">
        <v>2222</v>
      </c>
      <c r="AH566">
        <v>234</v>
      </c>
      <c r="AI566">
        <v>254</v>
      </c>
      <c r="AJ566">
        <v>20</v>
      </c>
      <c r="AK566">
        <v>9</v>
      </c>
      <c r="AL566" t="s">
        <v>2234</v>
      </c>
      <c r="AM566">
        <v>0</v>
      </c>
      <c r="AN566" t="s">
        <v>2175</v>
      </c>
      <c r="AO566" t="s">
        <v>2175</v>
      </c>
      <c r="AP566" t="s">
        <v>2175</v>
      </c>
      <c r="AQ566">
        <v>223.78</v>
      </c>
      <c r="AR566">
        <v>3</v>
      </c>
      <c r="AS566">
        <v>3</v>
      </c>
      <c r="AT566">
        <v>3</v>
      </c>
      <c r="AU566">
        <v>3</v>
      </c>
      <c r="AV566">
        <v>3</v>
      </c>
      <c r="AW566">
        <v>4.4000000000000004</v>
      </c>
      <c r="AX566">
        <v>4.5999999999999996</v>
      </c>
      <c r="AY566">
        <v>4.4000000000000004</v>
      </c>
      <c r="AZ566">
        <v>1</v>
      </c>
      <c r="BA566">
        <v>3</v>
      </c>
      <c r="BB566">
        <v>30</v>
      </c>
      <c r="BC566">
        <v>26</v>
      </c>
      <c r="BD566">
        <v>26.15</v>
      </c>
      <c r="BE566">
        <v>126</v>
      </c>
      <c r="BF566">
        <v>87.2</v>
      </c>
      <c r="BG566">
        <v>30</v>
      </c>
      <c r="BH566">
        <v>26</v>
      </c>
      <c r="BI566">
        <v>26.15</v>
      </c>
      <c r="BJ566">
        <v>126</v>
      </c>
      <c r="BK566">
        <v>87.2</v>
      </c>
      <c r="BL566">
        <v>322</v>
      </c>
      <c r="BM566">
        <v>21.9695</v>
      </c>
    </row>
    <row r="567" spans="1:65" x14ac:dyDescent="0.25">
      <c r="A567" t="s">
        <v>630</v>
      </c>
      <c r="B567" t="s">
        <v>1611</v>
      </c>
      <c r="C567" t="s">
        <v>2159</v>
      </c>
      <c r="D567" s="1">
        <v>45303</v>
      </c>
      <c r="E567" s="1">
        <v>45357</v>
      </c>
      <c r="F567" s="1">
        <v>45541</v>
      </c>
      <c r="G567" t="s">
        <v>2162</v>
      </c>
      <c r="I567" t="s">
        <v>2175</v>
      </c>
      <c r="J567">
        <v>69939</v>
      </c>
      <c r="K567">
        <v>2098</v>
      </c>
      <c r="L567">
        <v>8.3000000000000007</v>
      </c>
      <c r="M567">
        <v>8.6999999999999993</v>
      </c>
      <c r="N567">
        <v>8</v>
      </c>
      <c r="O567">
        <v>13991</v>
      </c>
      <c r="P567" t="s">
        <v>2178</v>
      </c>
      <c r="Q567">
        <v>36</v>
      </c>
      <c r="R567">
        <v>63</v>
      </c>
      <c r="S567">
        <v>59</v>
      </c>
      <c r="T567">
        <v>442</v>
      </c>
      <c r="U567" t="s">
        <v>2185</v>
      </c>
      <c r="W567" t="s">
        <v>2209</v>
      </c>
      <c r="X567" t="s">
        <v>2211</v>
      </c>
      <c r="Y567" t="s">
        <v>2213</v>
      </c>
      <c r="Z567" s="1">
        <v>45515</v>
      </c>
      <c r="AA567" s="1">
        <v>45541</v>
      </c>
      <c r="AB567" t="s">
        <v>2214</v>
      </c>
      <c r="AC567" t="s">
        <v>2209</v>
      </c>
      <c r="AD567" t="s">
        <v>2219</v>
      </c>
      <c r="AE567" t="s">
        <v>2163</v>
      </c>
      <c r="AF567" t="s">
        <v>2161</v>
      </c>
      <c r="AG567" t="s">
        <v>2222</v>
      </c>
      <c r="AH567">
        <v>158</v>
      </c>
      <c r="AI567">
        <v>184</v>
      </c>
      <c r="AJ567">
        <v>26</v>
      </c>
      <c r="AK567">
        <v>3</v>
      </c>
      <c r="AL567" t="s">
        <v>2227</v>
      </c>
      <c r="AM567">
        <v>0</v>
      </c>
      <c r="AN567" t="s">
        <v>2177</v>
      </c>
      <c r="AO567" t="s">
        <v>2175</v>
      </c>
      <c r="AP567" t="s">
        <v>2177</v>
      </c>
      <c r="AQ567">
        <v>72.209999999999994</v>
      </c>
      <c r="AR567">
        <v>3</v>
      </c>
      <c r="AS567">
        <v>2</v>
      </c>
      <c r="AT567">
        <v>3</v>
      </c>
      <c r="AU567">
        <v>2</v>
      </c>
      <c r="AV567">
        <v>2.333333333333333</v>
      </c>
      <c r="AW567">
        <v>4.4000000000000004</v>
      </c>
      <c r="AX567">
        <v>4.3</v>
      </c>
      <c r="AY567">
        <v>4.2</v>
      </c>
      <c r="AZ567">
        <v>0</v>
      </c>
      <c r="BA567">
        <v>3</v>
      </c>
      <c r="BB567">
        <v>35</v>
      </c>
      <c r="BC567">
        <v>26</v>
      </c>
      <c r="BD567">
        <v>31.08</v>
      </c>
      <c r="BE567">
        <v>149</v>
      </c>
      <c r="BF567">
        <v>88.8</v>
      </c>
      <c r="BG567">
        <v>31</v>
      </c>
      <c r="BH567">
        <v>26</v>
      </c>
      <c r="BI567">
        <v>27.27</v>
      </c>
      <c r="BJ567">
        <v>130</v>
      </c>
      <c r="BK567">
        <v>88</v>
      </c>
      <c r="BL567">
        <v>313</v>
      </c>
      <c r="BM567">
        <v>18.0488</v>
      </c>
    </row>
    <row r="568" spans="1:65" x14ac:dyDescent="0.25">
      <c r="A568" t="s">
        <v>631</v>
      </c>
      <c r="B568" t="s">
        <v>1612</v>
      </c>
      <c r="C568" t="s">
        <v>2160</v>
      </c>
      <c r="D568" s="1">
        <v>45396</v>
      </c>
      <c r="E568" s="1">
        <v>45424</v>
      </c>
      <c r="F568" s="1">
        <v>45690</v>
      </c>
      <c r="G568" t="s">
        <v>2163</v>
      </c>
      <c r="I568" t="s">
        <v>2175</v>
      </c>
      <c r="J568">
        <v>81390</v>
      </c>
      <c r="K568">
        <v>2441</v>
      </c>
      <c r="L568">
        <v>10</v>
      </c>
      <c r="M568">
        <v>13.2</v>
      </c>
      <c r="N568">
        <v>6</v>
      </c>
      <c r="O568">
        <v>14211</v>
      </c>
      <c r="P568" t="s">
        <v>2178</v>
      </c>
      <c r="Q568">
        <v>59</v>
      </c>
      <c r="R568">
        <v>87</v>
      </c>
      <c r="S568">
        <v>100</v>
      </c>
      <c r="T568">
        <v>330</v>
      </c>
      <c r="U568" t="s">
        <v>2185</v>
      </c>
      <c r="W568" t="s">
        <v>2209</v>
      </c>
      <c r="X568" t="s">
        <v>2211</v>
      </c>
      <c r="Y568" t="s">
        <v>2213</v>
      </c>
      <c r="Z568" s="1">
        <v>45670</v>
      </c>
      <c r="AA568" s="1">
        <v>45689</v>
      </c>
      <c r="AB568" t="s">
        <v>2214</v>
      </c>
      <c r="AC568" t="s">
        <v>2209</v>
      </c>
      <c r="AD568" t="s">
        <v>2219</v>
      </c>
      <c r="AE568" t="s">
        <v>2163</v>
      </c>
      <c r="AF568" t="s">
        <v>2161</v>
      </c>
      <c r="AG568" t="s">
        <v>2222</v>
      </c>
      <c r="AH568">
        <v>246</v>
      </c>
      <c r="AI568">
        <v>265</v>
      </c>
      <c r="AJ568">
        <v>19</v>
      </c>
      <c r="AK568">
        <v>5</v>
      </c>
      <c r="AL568" t="s">
        <v>2224</v>
      </c>
      <c r="AM568">
        <v>0</v>
      </c>
      <c r="AN568" t="s">
        <v>2177</v>
      </c>
      <c r="AO568" t="s">
        <v>2177</v>
      </c>
      <c r="AP568" t="s">
        <v>2177</v>
      </c>
      <c r="AQ568">
        <v>132</v>
      </c>
      <c r="AR568">
        <v>3</v>
      </c>
      <c r="AS568">
        <v>2</v>
      </c>
      <c r="AT568">
        <v>2</v>
      </c>
      <c r="AU568">
        <v>2</v>
      </c>
      <c r="AV568">
        <v>2</v>
      </c>
      <c r="AW568">
        <v>4.4000000000000004</v>
      </c>
      <c r="AX568">
        <v>4.3</v>
      </c>
      <c r="AY568">
        <v>4.4000000000000004</v>
      </c>
      <c r="AZ568">
        <v>1</v>
      </c>
      <c r="BA568">
        <v>3</v>
      </c>
      <c r="BB568">
        <v>38</v>
      </c>
      <c r="BC568">
        <v>27</v>
      </c>
      <c r="BD568">
        <v>33.33</v>
      </c>
      <c r="BE568">
        <v>171</v>
      </c>
      <c r="BF568">
        <v>87.7</v>
      </c>
      <c r="BG568">
        <v>38</v>
      </c>
      <c r="BH568">
        <v>27</v>
      </c>
      <c r="BI568">
        <v>33.33</v>
      </c>
      <c r="BJ568">
        <v>171</v>
      </c>
      <c r="BK568">
        <v>87.7</v>
      </c>
      <c r="BL568">
        <v>318</v>
      </c>
      <c r="BM568">
        <v>17.624500000000001</v>
      </c>
    </row>
    <row r="569" spans="1:65" x14ac:dyDescent="0.25">
      <c r="A569" t="s">
        <v>632</v>
      </c>
      <c r="B569" t="s">
        <v>1613</v>
      </c>
      <c r="C569" t="s">
        <v>2158</v>
      </c>
      <c r="D569" s="1">
        <v>45365</v>
      </c>
      <c r="E569" s="1">
        <v>45392</v>
      </c>
      <c r="F569" s="1">
        <v>45596</v>
      </c>
      <c r="G569" t="s">
        <v>2162</v>
      </c>
      <c r="I569" t="s">
        <v>2175</v>
      </c>
      <c r="J569">
        <v>61971</v>
      </c>
      <c r="K569">
        <v>1859</v>
      </c>
      <c r="L569">
        <v>17.100000000000001</v>
      </c>
      <c r="M569">
        <v>10.8</v>
      </c>
      <c r="N569">
        <v>6</v>
      </c>
      <c r="O569">
        <v>14267</v>
      </c>
      <c r="P569" t="s">
        <v>2178</v>
      </c>
      <c r="Q569">
        <v>42</v>
      </c>
      <c r="R569">
        <v>71</v>
      </c>
      <c r="S569">
        <v>69</v>
      </c>
      <c r="T569">
        <v>340</v>
      </c>
      <c r="U569" t="s">
        <v>2180</v>
      </c>
      <c r="W569" t="s">
        <v>2209</v>
      </c>
      <c r="X569" t="s">
        <v>2211</v>
      </c>
      <c r="Y569" t="s">
        <v>2213</v>
      </c>
      <c r="Z569" s="1">
        <v>45574</v>
      </c>
      <c r="AA569" s="1">
        <v>45589</v>
      </c>
      <c r="AB569" t="s">
        <v>2214</v>
      </c>
      <c r="AC569" t="s">
        <v>2209</v>
      </c>
      <c r="AD569" t="s">
        <v>2219</v>
      </c>
      <c r="AE569" t="s">
        <v>2163</v>
      </c>
      <c r="AF569" t="s">
        <v>2165</v>
      </c>
      <c r="AG569" t="s">
        <v>2222</v>
      </c>
      <c r="AH569">
        <v>182</v>
      </c>
      <c r="AI569">
        <v>197</v>
      </c>
      <c r="AJ569">
        <v>15</v>
      </c>
      <c r="AK569">
        <v>4</v>
      </c>
      <c r="AL569" t="s">
        <v>2225</v>
      </c>
      <c r="AM569">
        <v>0</v>
      </c>
      <c r="AN569" t="s">
        <v>2175</v>
      </c>
      <c r="AO569" t="s">
        <v>2177</v>
      </c>
      <c r="AP569" t="s">
        <v>2177</v>
      </c>
      <c r="AQ569">
        <v>184.68</v>
      </c>
      <c r="AR569">
        <v>3</v>
      </c>
      <c r="AS569">
        <v>3</v>
      </c>
      <c r="AT569">
        <v>2</v>
      </c>
      <c r="AU569">
        <v>2</v>
      </c>
      <c r="AV569">
        <v>2.333333333333333</v>
      </c>
      <c r="AW569">
        <v>4.4000000000000004</v>
      </c>
      <c r="AX569">
        <v>4.5999999999999996</v>
      </c>
      <c r="AY569">
        <v>4.2</v>
      </c>
      <c r="AZ569">
        <v>2</v>
      </c>
      <c r="BA569">
        <v>3</v>
      </c>
      <c r="BB569">
        <v>31</v>
      </c>
      <c r="BC569">
        <v>26</v>
      </c>
      <c r="BD569">
        <v>27.23</v>
      </c>
      <c r="BE569">
        <v>132</v>
      </c>
      <c r="BF569">
        <v>87.8</v>
      </c>
      <c r="BG569">
        <v>25</v>
      </c>
      <c r="BH569">
        <v>26</v>
      </c>
      <c r="BI569">
        <v>21.81</v>
      </c>
      <c r="BJ569">
        <v>104</v>
      </c>
      <c r="BK569">
        <v>87.2</v>
      </c>
      <c r="BL569">
        <v>335</v>
      </c>
      <c r="BM569">
        <v>18.051600000000001</v>
      </c>
    </row>
    <row r="570" spans="1:65" x14ac:dyDescent="0.25">
      <c r="A570" t="s">
        <v>633</v>
      </c>
      <c r="B570" t="s">
        <v>1614</v>
      </c>
      <c r="C570" t="s">
        <v>2159</v>
      </c>
      <c r="D570" s="1">
        <v>45381</v>
      </c>
      <c r="E570" s="1">
        <v>45421</v>
      </c>
      <c r="F570" s="1">
        <v>45573</v>
      </c>
      <c r="G570" t="s">
        <v>2166</v>
      </c>
      <c r="I570" t="s">
        <v>2175</v>
      </c>
      <c r="J570">
        <v>57307</v>
      </c>
      <c r="K570">
        <v>1719</v>
      </c>
      <c r="L570">
        <v>16</v>
      </c>
      <c r="M570">
        <v>13.1</v>
      </c>
      <c r="N570">
        <v>8</v>
      </c>
      <c r="O570">
        <v>19276</v>
      </c>
      <c r="P570" t="s">
        <v>2178</v>
      </c>
      <c r="Q570">
        <v>29</v>
      </c>
      <c r="R570">
        <v>51</v>
      </c>
      <c r="S570">
        <v>54</v>
      </c>
      <c r="T570">
        <v>427</v>
      </c>
      <c r="U570" t="s">
        <v>2184</v>
      </c>
      <c r="W570" t="s">
        <v>2209</v>
      </c>
      <c r="X570" t="s">
        <v>2211</v>
      </c>
      <c r="Y570" t="s">
        <v>2213</v>
      </c>
      <c r="Z570" s="1">
        <v>45555</v>
      </c>
      <c r="AA570" s="1">
        <v>45576</v>
      </c>
      <c r="AB570" t="s">
        <v>2214</v>
      </c>
      <c r="AC570" t="s">
        <v>2209</v>
      </c>
      <c r="AD570" t="s">
        <v>2219</v>
      </c>
      <c r="AE570" t="s">
        <v>2163</v>
      </c>
      <c r="AF570" t="s">
        <v>2162</v>
      </c>
      <c r="AG570" t="s">
        <v>2222</v>
      </c>
      <c r="AH570">
        <v>134</v>
      </c>
      <c r="AI570">
        <v>155</v>
      </c>
      <c r="AJ570">
        <v>21</v>
      </c>
      <c r="AK570">
        <v>5</v>
      </c>
      <c r="AL570" t="s">
        <v>2224</v>
      </c>
      <c r="AM570">
        <v>0</v>
      </c>
      <c r="AN570" t="s">
        <v>2175</v>
      </c>
      <c r="AO570" t="s">
        <v>2175</v>
      </c>
      <c r="AP570" t="s">
        <v>2175</v>
      </c>
      <c r="AQ570">
        <v>209.6</v>
      </c>
      <c r="AR570">
        <v>3</v>
      </c>
      <c r="AS570">
        <v>3</v>
      </c>
      <c r="AT570">
        <v>3</v>
      </c>
      <c r="AU570">
        <v>3</v>
      </c>
      <c r="AV570">
        <v>3</v>
      </c>
      <c r="AW570">
        <v>4.4000000000000004</v>
      </c>
      <c r="AX570">
        <v>4.2</v>
      </c>
      <c r="AY570">
        <v>4.8</v>
      </c>
      <c r="AZ570">
        <v>0</v>
      </c>
      <c r="BA570">
        <v>3</v>
      </c>
      <c r="BB570">
        <v>38</v>
      </c>
      <c r="BC570">
        <v>27</v>
      </c>
      <c r="BD570">
        <v>33.33</v>
      </c>
      <c r="BE570">
        <v>171</v>
      </c>
      <c r="BF570">
        <v>87.7</v>
      </c>
      <c r="BG570">
        <v>43</v>
      </c>
      <c r="BH570">
        <v>27</v>
      </c>
      <c r="BI570">
        <v>37.299999999999997</v>
      </c>
      <c r="BJ570">
        <v>193</v>
      </c>
      <c r="BK570">
        <v>86.7</v>
      </c>
      <c r="BL570">
        <v>279</v>
      </c>
      <c r="BM570">
        <v>12.4095</v>
      </c>
    </row>
    <row r="571" spans="1:65" x14ac:dyDescent="0.25">
      <c r="A571" t="s">
        <v>634</v>
      </c>
      <c r="B571" t="s">
        <v>1615</v>
      </c>
      <c r="C571" t="s">
        <v>2160</v>
      </c>
      <c r="D571" s="1">
        <v>45377</v>
      </c>
      <c r="E571" s="1">
        <v>45431</v>
      </c>
      <c r="F571" s="1">
        <v>45639</v>
      </c>
      <c r="G571" t="s">
        <v>2166</v>
      </c>
      <c r="I571" t="s">
        <v>2175</v>
      </c>
      <c r="J571">
        <v>56283</v>
      </c>
      <c r="K571">
        <v>1688</v>
      </c>
      <c r="L571">
        <v>13.6</v>
      </c>
      <c r="M571">
        <v>13.3</v>
      </c>
      <c r="N571">
        <v>7</v>
      </c>
      <c r="O571">
        <v>19833</v>
      </c>
      <c r="P571" t="s">
        <v>2178</v>
      </c>
      <c r="Q571">
        <v>51</v>
      </c>
      <c r="R571">
        <v>91</v>
      </c>
      <c r="S571">
        <v>52</v>
      </c>
      <c r="T571">
        <v>290</v>
      </c>
      <c r="U571" t="s">
        <v>2204</v>
      </c>
      <c r="W571" t="s">
        <v>2209</v>
      </c>
      <c r="X571" t="s">
        <v>2211</v>
      </c>
      <c r="Y571" t="s">
        <v>2213</v>
      </c>
      <c r="Z571" s="1">
        <v>45625</v>
      </c>
      <c r="AA571" s="1">
        <v>45653</v>
      </c>
      <c r="AB571" t="s">
        <v>2214</v>
      </c>
      <c r="AC571" t="s">
        <v>2209</v>
      </c>
      <c r="AD571" t="s">
        <v>2219</v>
      </c>
      <c r="AE571" t="s">
        <v>2166</v>
      </c>
      <c r="AF571" t="s">
        <v>2164</v>
      </c>
      <c r="AG571" t="s">
        <v>2222</v>
      </c>
      <c r="AH571">
        <v>194</v>
      </c>
      <c r="AI571">
        <v>222</v>
      </c>
      <c r="AJ571">
        <v>28</v>
      </c>
      <c r="AK571">
        <v>5</v>
      </c>
      <c r="AL571" t="s">
        <v>2224</v>
      </c>
      <c r="AM571">
        <v>0</v>
      </c>
      <c r="AN571" t="s">
        <v>2175</v>
      </c>
      <c r="AO571" t="s">
        <v>2175</v>
      </c>
      <c r="AP571" t="s">
        <v>2175</v>
      </c>
      <c r="AQ571">
        <v>180.88</v>
      </c>
      <c r="AR571">
        <v>3</v>
      </c>
      <c r="AS571">
        <v>3</v>
      </c>
      <c r="AT571">
        <v>3</v>
      </c>
      <c r="AU571">
        <v>3</v>
      </c>
      <c r="AV571">
        <v>3</v>
      </c>
      <c r="AW571">
        <v>4.8</v>
      </c>
      <c r="AX571">
        <v>4.5</v>
      </c>
      <c r="AY571">
        <v>4.8</v>
      </c>
      <c r="AZ571">
        <v>1</v>
      </c>
      <c r="BA571">
        <v>3</v>
      </c>
      <c r="BB571">
        <v>43</v>
      </c>
      <c r="BC571">
        <v>27</v>
      </c>
      <c r="BD571">
        <v>37.299999999999997</v>
      </c>
      <c r="BE571">
        <v>193</v>
      </c>
      <c r="BF571">
        <v>86.7</v>
      </c>
      <c r="BG571">
        <v>43</v>
      </c>
      <c r="BH571">
        <v>27</v>
      </c>
      <c r="BI571">
        <v>37.299999999999997</v>
      </c>
      <c r="BJ571">
        <v>193</v>
      </c>
      <c r="BK571">
        <v>86.7</v>
      </c>
      <c r="BL571">
        <v>351</v>
      </c>
      <c r="BM571">
        <v>10.7987</v>
      </c>
    </row>
    <row r="572" spans="1:65" x14ac:dyDescent="0.25">
      <c r="A572" t="s">
        <v>635</v>
      </c>
      <c r="B572" t="s">
        <v>1616</v>
      </c>
      <c r="C572" t="s">
        <v>2159</v>
      </c>
      <c r="D572" s="1">
        <v>45441</v>
      </c>
      <c r="E572" s="1">
        <v>45488</v>
      </c>
      <c r="F572" s="1">
        <v>45674</v>
      </c>
      <c r="G572" t="s">
        <v>2163</v>
      </c>
      <c r="I572" t="s">
        <v>2175</v>
      </c>
      <c r="J572">
        <v>64587</v>
      </c>
      <c r="K572">
        <v>1937</v>
      </c>
      <c r="L572">
        <v>17.899999999999999</v>
      </c>
      <c r="M572">
        <v>17</v>
      </c>
      <c r="N572">
        <v>6</v>
      </c>
      <c r="O572">
        <v>14772</v>
      </c>
      <c r="P572" t="s">
        <v>2178</v>
      </c>
      <c r="Q572">
        <v>45</v>
      </c>
      <c r="R572">
        <v>60</v>
      </c>
      <c r="S572">
        <v>60</v>
      </c>
      <c r="T572">
        <v>391</v>
      </c>
      <c r="U572" t="s">
        <v>2194</v>
      </c>
      <c r="W572" t="s">
        <v>2209</v>
      </c>
      <c r="X572" t="s">
        <v>2211</v>
      </c>
      <c r="Y572" t="s">
        <v>2213</v>
      </c>
      <c r="Z572" s="1">
        <v>45653</v>
      </c>
      <c r="AA572" s="1">
        <v>45675</v>
      </c>
      <c r="AB572" t="s">
        <v>2214</v>
      </c>
      <c r="AC572" t="s">
        <v>2209</v>
      </c>
      <c r="AD572" t="s">
        <v>2219</v>
      </c>
      <c r="AE572" t="s">
        <v>2166</v>
      </c>
      <c r="AF572" t="s">
        <v>2165</v>
      </c>
      <c r="AG572" t="s">
        <v>2222</v>
      </c>
      <c r="AH572">
        <v>165</v>
      </c>
      <c r="AI572">
        <v>187</v>
      </c>
      <c r="AJ572">
        <v>22</v>
      </c>
      <c r="AK572">
        <v>7</v>
      </c>
      <c r="AL572" t="s">
        <v>2226</v>
      </c>
      <c r="AM572">
        <v>0</v>
      </c>
      <c r="AN572" t="s">
        <v>2175</v>
      </c>
      <c r="AO572" t="s">
        <v>2177</v>
      </c>
      <c r="AP572" t="s">
        <v>2177</v>
      </c>
      <c r="AQ572">
        <v>304.3</v>
      </c>
      <c r="AR572">
        <v>3</v>
      </c>
      <c r="AS572">
        <v>3</v>
      </c>
      <c r="AT572">
        <v>2</v>
      </c>
      <c r="AU572">
        <v>2</v>
      </c>
      <c r="AV572">
        <v>2.333333333333333</v>
      </c>
      <c r="AW572">
        <v>4.8</v>
      </c>
      <c r="AX572">
        <v>4.5999999999999996</v>
      </c>
      <c r="AY572">
        <v>4.4000000000000004</v>
      </c>
      <c r="AZ572">
        <v>0</v>
      </c>
      <c r="BA572">
        <v>3</v>
      </c>
      <c r="BB572">
        <v>48</v>
      </c>
      <c r="BC572">
        <v>27</v>
      </c>
      <c r="BD572">
        <v>42.33</v>
      </c>
      <c r="BE572">
        <v>216</v>
      </c>
      <c r="BF572">
        <v>88.2</v>
      </c>
      <c r="BG572">
        <v>33</v>
      </c>
      <c r="BH572">
        <v>27</v>
      </c>
      <c r="BI572">
        <v>28.89</v>
      </c>
      <c r="BJ572">
        <v>145</v>
      </c>
      <c r="BK572">
        <v>87.5</v>
      </c>
      <c r="BL572">
        <v>390</v>
      </c>
      <c r="BM572">
        <v>11.072699999999999</v>
      </c>
    </row>
    <row r="573" spans="1:65" x14ac:dyDescent="0.25">
      <c r="A573" t="s">
        <v>636</v>
      </c>
      <c r="B573" t="s">
        <v>1617</v>
      </c>
      <c r="C573" t="s">
        <v>2160</v>
      </c>
      <c r="D573" s="1">
        <v>45374</v>
      </c>
      <c r="E573" s="1">
        <v>45415</v>
      </c>
      <c r="F573" s="1">
        <v>45675</v>
      </c>
      <c r="G573" t="s">
        <v>2165</v>
      </c>
      <c r="I573" t="s">
        <v>2175</v>
      </c>
      <c r="J573">
        <v>75215</v>
      </c>
      <c r="K573">
        <v>2256</v>
      </c>
      <c r="L573">
        <v>17.100000000000001</v>
      </c>
      <c r="M573">
        <v>15.4</v>
      </c>
      <c r="N573">
        <v>7</v>
      </c>
      <c r="O573">
        <v>13098</v>
      </c>
      <c r="P573" t="s">
        <v>2178</v>
      </c>
      <c r="Q573">
        <v>63</v>
      </c>
      <c r="R573">
        <v>104</v>
      </c>
      <c r="S573">
        <v>64</v>
      </c>
      <c r="T573">
        <v>325</v>
      </c>
      <c r="U573" t="s">
        <v>2179</v>
      </c>
      <c r="W573" t="s">
        <v>2209</v>
      </c>
      <c r="X573" t="s">
        <v>2211</v>
      </c>
      <c r="Y573" t="s">
        <v>2213</v>
      </c>
      <c r="Z573" s="1">
        <v>45646</v>
      </c>
      <c r="AA573" s="1">
        <v>45669</v>
      </c>
      <c r="AB573" t="s">
        <v>2214</v>
      </c>
      <c r="AC573" t="s">
        <v>2209</v>
      </c>
      <c r="AD573" t="s">
        <v>2219</v>
      </c>
      <c r="AE573" t="s">
        <v>2165</v>
      </c>
      <c r="AF573" t="s">
        <v>2162</v>
      </c>
      <c r="AG573" t="s">
        <v>2222</v>
      </c>
      <c r="AH573">
        <v>231</v>
      </c>
      <c r="AI573">
        <v>254</v>
      </c>
      <c r="AJ573">
        <v>23</v>
      </c>
      <c r="AK573">
        <v>5</v>
      </c>
      <c r="AL573" t="s">
        <v>2224</v>
      </c>
      <c r="AM573">
        <v>0</v>
      </c>
      <c r="AN573" t="s">
        <v>2175</v>
      </c>
      <c r="AO573" t="s">
        <v>2175</v>
      </c>
      <c r="AP573" t="s">
        <v>2177</v>
      </c>
      <c r="AQ573">
        <v>263.33999999999997</v>
      </c>
      <c r="AR573">
        <v>3</v>
      </c>
      <c r="AS573">
        <v>3</v>
      </c>
      <c r="AT573">
        <v>3</v>
      </c>
      <c r="AU573">
        <v>2</v>
      </c>
      <c r="AV573">
        <v>2.666666666666667</v>
      </c>
      <c r="AW573">
        <v>4.5999999999999996</v>
      </c>
      <c r="AX573">
        <v>4.2</v>
      </c>
      <c r="AY573">
        <v>4.5999999999999996</v>
      </c>
      <c r="AZ573">
        <v>1</v>
      </c>
      <c r="BA573">
        <v>3</v>
      </c>
      <c r="BB573">
        <v>36</v>
      </c>
      <c r="BC573">
        <v>27</v>
      </c>
      <c r="BD573">
        <v>31.37</v>
      </c>
      <c r="BE573">
        <v>158</v>
      </c>
      <c r="BF573">
        <v>87.1</v>
      </c>
      <c r="BG573">
        <v>36</v>
      </c>
      <c r="BH573">
        <v>27</v>
      </c>
      <c r="BI573">
        <v>31.37</v>
      </c>
      <c r="BJ573">
        <v>158</v>
      </c>
      <c r="BK573">
        <v>87.1</v>
      </c>
      <c r="BL573">
        <v>266</v>
      </c>
      <c r="BM573">
        <v>17.627099999999999</v>
      </c>
    </row>
    <row r="574" spans="1:65" x14ac:dyDescent="0.25">
      <c r="A574" t="s">
        <v>637</v>
      </c>
      <c r="B574" t="s">
        <v>1618</v>
      </c>
      <c r="C574" t="s">
        <v>2159</v>
      </c>
      <c r="D574" s="1">
        <v>45382</v>
      </c>
      <c r="E574" s="1">
        <v>45421</v>
      </c>
      <c r="F574" s="1">
        <v>45639</v>
      </c>
      <c r="G574" t="s">
        <v>2164</v>
      </c>
      <c r="I574" t="s">
        <v>2175</v>
      </c>
      <c r="J574">
        <v>73058</v>
      </c>
      <c r="K574">
        <v>2191</v>
      </c>
      <c r="L574">
        <v>15.4</v>
      </c>
      <c r="M574">
        <v>9.1</v>
      </c>
      <c r="N574">
        <v>8</v>
      </c>
      <c r="O574">
        <v>13958</v>
      </c>
      <c r="P574" t="s">
        <v>2178</v>
      </c>
      <c r="Q574">
        <v>40</v>
      </c>
      <c r="R574">
        <v>57</v>
      </c>
      <c r="S574">
        <v>92</v>
      </c>
      <c r="T574">
        <v>386</v>
      </c>
      <c r="U574" t="s">
        <v>2198</v>
      </c>
      <c r="W574" t="s">
        <v>2209</v>
      </c>
      <c r="X574" t="s">
        <v>2211</v>
      </c>
      <c r="Y574" t="s">
        <v>2213</v>
      </c>
      <c r="Z574" s="1">
        <v>45610</v>
      </c>
      <c r="AA574" s="1">
        <v>45630</v>
      </c>
      <c r="AB574" t="s">
        <v>2214</v>
      </c>
      <c r="AC574" t="s">
        <v>2209</v>
      </c>
      <c r="AD574" t="s">
        <v>2219</v>
      </c>
      <c r="AE574" t="s">
        <v>2166</v>
      </c>
      <c r="AF574" t="s">
        <v>2161</v>
      </c>
      <c r="AG574" t="s">
        <v>2222</v>
      </c>
      <c r="AH574">
        <v>189</v>
      </c>
      <c r="AI574">
        <v>209</v>
      </c>
      <c r="AJ574">
        <v>20</v>
      </c>
      <c r="AK574">
        <v>5</v>
      </c>
      <c r="AL574" t="s">
        <v>2224</v>
      </c>
      <c r="AM574">
        <v>0</v>
      </c>
      <c r="AN574" t="s">
        <v>2175</v>
      </c>
      <c r="AO574" t="s">
        <v>2175</v>
      </c>
      <c r="AP574" t="s">
        <v>2177</v>
      </c>
      <c r="AQ574">
        <v>140.13999999999999</v>
      </c>
      <c r="AR574">
        <v>3</v>
      </c>
      <c r="AS574">
        <v>3</v>
      </c>
      <c r="AT574">
        <v>3</v>
      </c>
      <c r="AU574">
        <v>2</v>
      </c>
      <c r="AV574">
        <v>2.666666666666667</v>
      </c>
      <c r="AW574">
        <v>4.8</v>
      </c>
      <c r="AX574">
        <v>4.3</v>
      </c>
      <c r="AY574">
        <v>4.5</v>
      </c>
      <c r="AZ574">
        <v>0</v>
      </c>
      <c r="BA574">
        <v>3</v>
      </c>
      <c r="BB574">
        <v>43</v>
      </c>
      <c r="BC574">
        <v>27</v>
      </c>
      <c r="BD574">
        <v>37.299999999999997</v>
      </c>
      <c r="BE574">
        <v>193</v>
      </c>
      <c r="BF574">
        <v>86.7</v>
      </c>
      <c r="BG574">
        <v>35</v>
      </c>
      <c r="BH574">
        <v>27</v>
      </c>
      <c r="BI574">
        <v>30.96</v>
      </c>
      <c r="BJ574">
        <v>158</v>
      </c>
      <c r="BK574">
        <v>88.5</v>
      </c>
      <c r="BL574">
        <v>340</v>
      </c>
      <c r="BM574">
        <v>14.017300000000001</v>
      </c>
    </row>
    <row r="575" spans="1:65" x14ac:dyDescent="0.25">
      <c r="A575" t="s">
        <v>638</v>
      </c>
      <c r="B575" t="s">
        <v>1619</v>
      </c>
      <c r="C575" t="s">
        <v>2157</v>
      </c>
      <c r="D575" s="1">
        <v>45366</v>
      </c>
      <c r="E575" s="1">
        <v>45424</v>
      </c>
      <c r="F575" s="1">
        <v>45680</v>
      </c>
      <c r="G575" t="s">
        <v>2163</v>
      </c>
      <c r="I575" t="s">
        <v>2175</v>
      </c>
      <c r="J575">
        <v>88209</v>
      </c>
      <c r="K575">
        <v>2646</v>
      </c>
      <c r="L575">
        <v>15.6</v>
      </c>
      <c r="M575">
        <v>12.1</v>
      </c>
      <c r="N575">
        <v>7</v>
      </c>
      <c r="O575">
        <v>18115</v>
      </c>
      <c r="P575" t="s">
        <v>2178</v>
      </c>
      <c r="Q575">
        <v>48</v>
      </c>
      <c r="R575">
        <v>69</v>
      </c>
      <c r="S575">
        <v>127</v>
      </c>
      <c r="T575">
        <v>361</v>
      </c>
      <c r="U575" t="s">
        <v>2181</v>
      </c>
      <c r="W575" t="s">
        <v>2209</v>
      </c>
      <c r="X575" t="s">
        <v>2211</v>
      </c>
      <c r="Y575" t="s">
        <v>2213</v>
      </c>
      <c r="Z575" s="1">
        <v>45668</v>
      </c>
      <c r="AA575" s="1">
        <v>45694</v>
      </c>
      <c r="AB575" t="s">
        <v>2215</v>
      </c>
      <c r="AC575" t="s">
        <v>2208</v>
      </c>
      <c r="AD575" t="s">
        <v>2219</v>
      </c>
      <c r="AE575" t="s">
        <v>2166</v>
      </c>
      <c r="AF575" t="s">
        <v>2163</v>
      </c>
      <c r="AG575" t="s">
        <v>2222</v>
      </c>
      <c r="AH575">
        <v>244</v>
      </c>
      <c r="AI575">
        <v>270</v>
      </c>
      <c r="AJ575">
        <v>26</v>
      </c>
      <c r="AK575">
        <v>5</v>
      </c>
      <c r="AL575" t="s">
        <v>2224</v>
      </c>
      <c r="AM575">
        <v>0</v>
      </c>
      <c r="AN575" t="s">
        <v>2175</v>
      </c>
      <c r="AO575" t="s">
        <v>2175</v>
      </c>
      <c r="AP575" t="s">
        <v>2175</v>
      </c>
      <c r="AQ575">
        <v>188.76</v>
      </c>
      <c r="AR575">
        <v>3</v>
      </c>
      <c r="AS575">
        <v>3</v>
      </c>
      <c r="AT575">
        <v>3</v>
      </c>
      <c r="AU575">
        <v>3</v>
      </c>
      <c r="AV575">
        <v>3</v>
      </c>
      <c r="AW575">
        <v>4.8</v>
      </c>
      <c r="AX575">
        <v>4.4000000000000004</v>
      </c>
      <c r="AY575">
        <v>4.4000000000000004</v>
      </c>
      <c r="AZ575">
        <v>3</v>
      </c>
      <c r="BA575">
        <v>3</v>
      </c>
      <c r="BB575">
        <v>43</v>
      </c>
      <c r="BC575">
        <v>27</v>
      </c>
      <c r="BD575">
        <v>37.299999999999997</v>
      </c>
      <c r="BE575">
        <v>193</v>
      </c>
      <c r="BF575">
        <v>86.7</v>
      </c>
      <c r="BG575">
        <v>38</v>
      </c>
      <c r="BH575">
        <v>27</v>
      </c>
      <c r="BI575">
        <v>33.33</v>
      </c>
      <c r="BJ575">
        <v>171</v>
      </c>
      <c r="BK575">
        <v>87.7</v>
      </c>
      <c r="BL575">
        <v>364</v>
      </c>
      <c r="BM575">
        <v>16.924199999999999</v>
      </c>
    </row>
    <row r="576" spans="1:65" x14ac:dyDescent="0.25">
      <c r="A576" t="s">
        <v>639</v>
      </c>
      <c r="B576" t="s">
        <v>1620</v>
      </c>
      <c r="C576" t="s">
        <v>2159</v>
      </c>
      <c r="D576" s="1">
        <v>45320</v>
      </c>
      <c r="E576" s="1">
        <v>45353</v>
      </c>
      <c r="F576" s="1">
        <v>45618</v>
      </c>
      <c r="G576" t="s">
        <v>2163</v>
      </c>
      <c r="I576" t="s">
        <v>2175</v>
      </c>
      <c r="J576">
        <v>84516</v>
      </c>
      <c r="K576">
        <v>2535</v>
      </c>
      <c r="L576">
        <v>12.5</v>
      </c>
      <c r="M576">
        <v>12.6</v>
      </c>
      <c r="N576">
        <v>6</v>
      </c>
      <c r="O576">
        <v>12839</v>
      </c>
      <c r="P576" t="s">
        <v>2178</v>
      </c>
      <c r="Q576">
        <v>69</v>
      </c>
      <c r="R576">
        <v>112</v>
      </c>
      <c r="S576">
        <v>73</v>
      </c>
      <c r="T576">
        <v>332</v>
      </c>
      <c r="U576" t="s">
        <v>2185</v>
      </c>
      <c r="W576" t="s">
        <v>2209</v>
      </c>
      <c r="X576" t="s">
        <v>2211</v>
      </c>
      <c r="Y576" t="s">
        <v>2213</v>
      </c>
      <c r="Z576" s="1">
        <v>45607</v>
      </c>
      <c r="AA576" s="1">
        <v>45635</v>
      </c>
      <c r="AB576" t="s">
        <v>2215</v>
      </c>
      <c r="AC576" t="s">
        <v>2208</v>
      </c>
      <c r="AD576" t="s">
        <v>2219</v>
      </c>
      <c r="AE576" t="s">
        <v>2163</v>
      </c>
      <c r="AF576" t="s">
        <v>2161</v>
      </c>
      <c r="AG576" t="s">
        <v>2222</v>
      </c>
      <c r="AH576">
        <v>254</v>
      </c>
      <c r="AI576">
        <v>282</v>
      </c>
      <c r="AJ576">
        <v>28</v>
      </c>
      <c r="AK576">
        <v>3</v>
      </c>
      <c r="AL576" t="s">
        <v>2227</v>
      </c>
      <c r="AM576">
        <v>0</v>
      </c>
      <c r="AN576" t="s">
        <v>2175</v>
      </c>
      <c r="AO576" t="s">
        <v>2177</v>
      </c>
      <c r="AP576" t="s">
        <v>2177</v>
      </c>
      <c r="AQ576">
        <v>157.5</v>
      </c>
      <c r="AR576">
        <v>3</v>
      </c>
      <c r="AS576">
        <v>3</v>
      </c>
      <c r="AT576">
        <v>2</v>
      </c>
      <c r="AU576">
        <v>2</v>
      </c>
      <c r="AV576">
        <v>2.333333333333333</v>
      </c>
      <c r="AW576">
        <v>4.4000000000000004</v>
      </c>
      <c r="AX576">
        <v>4.3</v>
      </c>
      <c r="AY576">
        <v>4.4000000000000004</v>
      </c>
      <c r="AZ576">
        <v>0</v>
      </c>
      <c r="BA576">
        <v>3</v>
      </c>
      <c r="BB576">
        <v>35</v>
      </c>
      <c r="BC576">
        <v>26</v>
      </c>
      <c r="BD576">
        <v>31.08</v>
      </c>
      <c r="BE576">
        <v>149</v>
      </c>
      <c r="BF576">
        <v>88.8</v>
      </c>
      <c r="BG576">
        <v>35</v>
      </c>
      <c r="BH576">
        <v>26</v>
      </c>
      <c r="BI576">
        <v>31.08</v>
      </c>
      <c r="BJ576">
        <v>149</v>
      </c>
      <c r="BK576">
        <v>88.8</v>
      </c>
      <c r="BL576">
        <v>313</v>
      </c>
      <c r="BM576">
        <v>21.810600000000001</v>
      </c>
    </row>
    <row r="577" spans="1:65" x14ac:dyDescent="0.25">
      <c r="A577" t="s">
        <v>640</v>
      </c>
      <c r="B577" t="s">
        <v>1621</v>
      </c>
      <c r="C577" t="s">
        <v>2158</v>
      </c>
      <c r="D577" s="1">
        <v>45331</v>
      </c>
      <c r="E577" s="1">
        <v>45357</v>
      </c>
      <c r="F577" s="1">
        <v>45635</v>
      </c>
      <c r="G577" t="s">
        <v>2164</v>
      </c>
      <c r="I577" t="s">
        <v>2175</v>
      </c>
      <c r="J577">
        <v>78383</v>
      </c>
      <c r="K577">
        <v>2351</v>
      </c>
      <c r="L577">
        <v>15.1</v>
      </c>
      <c r="M577">
        <v>17.7</v>
      </c>
      <c r="N577">
        <v>7</v>
      </c>
      <c r="O577">
        <v>17394</v>
      </c>
      <c r="P577" t="s">
        <v>2178</v>
      </c>
      <c r="Q577">
        <v>67</v>
      </c>
      <c r="R577">
        <v>119</v>
      </c>
      <c r="S577">
        <v>67</v>
      </c>
      <c r="T577">
        <v>309</v>
      </c>
      <c r="U577" t="s">
        <v>2194</v>
      </c>
      <c r="W577" t="s">
        <v>2209</v>
      </c>
      <c r="X577" t="s">
        <v>2211</v>
      </c>
      <c r="Y577" t="s">
        <v>2213</v>
      </c>
      <c r="Z577" s="1">
        <v>45610</v>
      </c>
      <c r="AA577" s="1">
        <v>45633</v>
      </c>
      <c r="AB577" t="s">
        <v>2214</v>
      </c>
      <c r="AC577" t="s">
        <v>2209</v>
      </c>
      <c r="AD577" t="s">
        <v>2219</v>
      </c>
      <c r="AE577" t="s">
        <v>2166</v>
      </c>
      <c r="AF577" t="s">
        <v>2165</v>
      </c>
      <c r="AG577" t="s">
        <v>2222</v>
      </c>
      <c r="AH577">
        <v>253</v>
      </c>
      <c r="AI577">
        <v>276</v>
      </c>
      <c r="AJ577">
        <v>23</v>
      </c>
      <c r="AK577">
        <v>3</v>
      </c>
      <c r="AL577" t="s">
        <v>2227</v>
      </c>
      <c r="AM577">
        <v>0</v>
      </c>
      <c r="AN577" t="s">
        <v>2175</v>
      </c>
      <c r="AO577" t="s">
        <v>2175</v>
      </c>
      <c r="AP577" t="s">
        <v>2175</v>
      </c>
      <c r="AQ577">
        <v>267.27</v>
      </c>
      <c r="AR577">
        <v>3</v>
      </c>
      <c r="AS577">
        <v>3</v>
      </c>
      <c r="AT577">
        <v>3</v>
      </c>
      <c r="AU577">
        <v>3</v>
      </c>
      <c r="AV577">
        <v>3</v>
      </c>
      <c r="AW577">
        <v>4.8</v>
      </c>
      <c r="AX577">
        <v>4.5999999999999996</v>
      </c>
      <c r="AY577">
        <v>4.5</v>
      </c>
      <c r="AZ577">
        <v>2</v>
      </c>
      <c r="BA577">
        <v>3</v>
      </c>
      <c r="BB577">
        <v>49</v>
      </c>
      <c r="BC577">
        <v>26</v>
      </c>
      <c r="BD577">
        <v>43.12</v>
      </c>
      <c r="BE577">
        <v>216</v>
      </c>
      <c r="BF577">
        <v>88</v>
      </c>
      <c r="BG577">
        <v>30</v>
      </c>
      <c r="BH577">
        <v>26</v>
      </c>
      <c r="BI577">
        <v>26.31</v>
      </c>
      <c r="BJ577">
        <v>128</v>
      </c>
      <c r="BK577">
        <v>87.7</v>
      </c>
      <c r="BL577">
        <v>428</v>
      </c>
      <c r="BM577">
        <v>13.954599999999999</v>
      </c>
    </row>
    <row r="578" spans="1:65" x14ac:dyDescent="0.25">
      <c r="A578" t="s">
        <v>641</v>
      </c>
      <c r="B578" t="s">
        <v>1622</v>
      </c>
      <c r="C578" t="s">
        <v>2160</v>
      </c>
      <c r="D578" s="1">
        <v>45548</v>
      </c>
      <c r="E578" s="1">
        <v>45581</v>
      </c>
      <c r="F578" s="1">
        <v>45792</v>
      </c>
      <c r="G578" t="s">
        <v>2166</v>
      </c>
      <c r="I578" t="s">
        <v>2175</v>
      </c>
      <c r="J578">
        <v>66002</v>
      </c>
      <c r="K578">
        <v>1980</v>
      </c>
      <c r="L578">
        <v>9.1999999999999993</v>
      </c>
      <c r="M578">
        <v>8.6999999999999993</v>
      </c>
      <c r="N578">
        <v>7</v>
      </c>
      <c r="O578">
        <v>12264</v>
      </c>
      <c r="P578" t="s">
        <v>2178</v>
      </c>
      <c r="Q578">
        <v>48</v>
      </c>
      <c r="R578">
        <v>75</v>
      </c>
      <c r="S578">
        <v>73</v>
      </c>
      <c r="T578">
        <v>336</v>
      </c>
      <c r="U578" t="s">
        <v>2202</v>
      </c>
      <c r="W578" t="s">
        <v>2209</v>
      </c>
      <c r="X578" t="s">
        <v>2211</v>
      </c>
      <c r="Y578" t="s">
        <v>2213</v>
      </c>
      <c r="Z578" s="1">
        <v>45777</v>
      </c>
      <c r="AA578" s="1">
        <v>45792</v>
      </c>
      <c r="AB578" t="s">
        <v>2214</v>
      </c>
      <c r="AC578" t="s">
        <v>2209</v>
      </c>
      <c r="AD578" t="s">
        <v>2219</v>
      </c>
      <c r="AE578" t="s">
        <v>2163</v>
      </c>
      <c r="AF578" t="s">
        <v>2166</v>
      </c>
      <c r="AG578" t="s">
        <v>2222</v>
      </c>
      <c r="AH578">
        <v>196</v>
      </c>
      <c r="AI578">
        <v>211</v>
      </c>
      <c r="AJ578">
        <v>15</v>
      </c>
      <c r="AK578">
        <v>10</v>
      </c>
      <c r="AL578" t="s">
        <v>2230</v>
      </c>
      <c r="AM578">
        <v>1</v>
      </c>
      <c r="AN578" t="s">
        <v>2177</v>
      </c>
      <c r="AO578" t="s">
        <v>2175</v>
      </c>
      <c r="AP578" t="s">
        <v>2177</v>
      </c>
      <c r="AQ578">
        <v>80.039999999999992</v>
      </c>
      <c r="AR578">
        <v>3</v>
      </c>
      <c r="AS578">
        <v>2</v>
      </c>
      <c r="AT578">
        <v>3</v>
      </c>
      <c r="AU578">
        <v>2</v>
      </c>
      <c r="AV578">
        <v>2.333333333333333</v>
      </c>
      <c r="AW578">
        <v>4.4000000000000004</v>
      </c>
      <c r="AX578">
        <v>4.8</v>
      </c>
      <c r="AY578">
        <v>4.8</v>
      </c>
      <c r="AZ578">
        <v>1</v>
      </c>
      <c r="BA578">
        <v>3</v>
      </c>
      <c r="BB578">
        <v>37</v>
      </c>
      <c r="BC578">
        <v>27</v>
      </c>
      <c r="BD578">
        <v>32.81</v>
      </c>
      <c r="BE578">
        <v>165</v>
      </c>
      <c r="BF578">
        <v>88.7</v>
      </c>
      <c r="BG578">
        <v>50</v>
      </c>
      <c r="BH578">
        <v>27</v>
      </c>
      <c r="BI578">
        <v>42.44</v>
      </c>
      <c r="BJ578">
        <v>220</v>
      </c>
      <c r="BK578">
        <v>84.9</v>
      </c>
      <c r="BL578">
        <v>385</v>
      </c>
      <c r="BM578">
        <v>14.8119</v>
      </c>
    </row>
    <row r="579" spans="1:65" x14ac:dyDescent="0.25">
      <c r="A579" t="s">
        <v>642</v>
      </c>
      <c r="B579" t="s">
        <v>1623</v>
      </c>
      <c r="C579" t="s">
        <v>2160</v>
      </c>
      <c r="D579" s="1">
        <v>45269</v>
      </c>
      <c r="E579" s="1">
        <v>45299</v>
      </c>
      <c r="F579" s="1">
        <v>45518</v>
      </c>
      <c r="G579" t="s">
        <v>2161</v>
      </c>
      <c r="I579" t="s">
        <v>2175</v>
      </c>
      <c r="J579">
        <v>87762</v>
      </c>
      <c r="K579">
        <v>2632</v>
      </c>
      <c r="L579">
        <v>11.4</v>
      </c>
      <c r="M579">
        <v>17.899999999999999</v>
      </c>
      <c r="N579">
        <v>7</v>
      </c>
      <c r="O579">
        <v>19024</v>
      </c>
      <c r="P579" t="s">
        <v>2178</v>
      </c>
      <c r="Q579">
        <v>44</v>
      </c>
      <c r="R579">
        <v>75</v>
      </c>
      <c r="S579">
        <v>77</v>
      </c>
      <c r="T579">
        <v>447</v>
      </c>
      <c r="U579" t="s">
        <v>2198</v>
      </c>
      <c r="W579" t="s">
        <v>2209</v>
      </c>
      <c r="X579" t="s">
        <v>2211</v>
      </c>
      <c r="Y579" t="s">
        <v>2213</v>
      </c>
      <c r="Z579" s="1">
        <v>45495</v>
      </c>
      <c r="AA579" s="1">
        <v>45523</v>
      </c>
      <c r="AB579" t="s">
        <v>2214</v>
      </c>
      <c r="AC579" t="s">
        <v>2209</v>
      </c>
      <c r="AD579" t="s">
        <v>2219</v>
      </c>
      <c r="AE579" t="s">
        <v>2166</v>
      </c>
      <c r="AF579" t="s">
        <v>2161</v>
      </c>
      <c r="AG579" t="s">
        <v>2222</v>
      </c>
      <c r="AH579">
        <v>196</v>
      </c>
      <c r="AI579">
        <v>224</v>
      </c>
      <c r="AJ579">
        <v>28</v>
      </c>
      <c r="AK579">
        <v>1</v>
      </c>
      <c r="AL579" t="s">
        <v>2233</v>
      </c>
      <c r="AM579">
        <v>0</v>
      </c>
      <c r="AN579" t="s">
        <v>2175</v>
      </c>
      <c r="AO579" t="s">
        <v>2175</v>
      </c>
      <c r="AP579" t="s">
        <v>2175</v>
      </c>
      <c r="AQ579">
        <v>204.06</v>
      </c>
      <c r="AR579">
        <v>3</v>
      </c>
      <c r="AS579">
        <v>3</v>
      </c>
      <c r="AT579">
        <v>3</v>
      </c>
      <c r="AU579">
        <v>3</v>
      </c>
      <c r="AV579">
        <v>3</v>
      </c>
      <c r="AW579">
        <v>4.8</v>
      </c>
      <c r="AX579">
        <v>4.3</v>
      </c>
      <c r="AY579">
        <v>4.3</v>
      </c>
      <c r="AZ579">
        <v>1</v>
      </c>
      <c r="BA579">
        <v>3</v>
      </c>
      <c r="BB579">
        <v>40</v>
      </c>
      <c r="BC579">
        <v>27</v>
      </c>
      <c r="BD579">
        <v>35.07</v>
      </c>
      <c r="BE579">
        <v>181</v>
      </c>
      <c r="BF579">
        <v>87.7</v>
      </c>
      <c r="BG579">
        <v>33</v>
      </c>
      <c r="BH579">
        <v>27</v>
      </c>
      <c r="BI579">
        <v>28.81</v>
      </c>
      <c r="BJ579">
        <v>146</v>
      </c>
      <c r="BK579">
        <v>87.3</v>
      </c>
      <c r="BL579">
        <v>327</v>
      </c>
      <c r="BM579">
        <v>17.954599999999999</v>
      </c>
    </row>
    <row r="580" spans="1:65" x14ac:dyDescent="0.25">
      <c r="A580" t="s">
        <v>643</v>
      </c>
      <c r="B580" t="s">
        <v>1624</v>
      </c>
      <c r="C580" t="s">
        <v>2157</v>
      </c>
      <c r="D580" s="1">
        <v>45347</v>
      </c>
      <c r="E580" s="1">
        <v>45398</v>
      </c>
      <c r="F580" s="1">
        <v>45556</v>
      </c>
      <c r="G580" t="s">
        <v>2166</v>
      </c>
      <c r="I580" t="s">
        <v>2175</v>
      </c>
      <c r="J580">
        <v>56492</v>
      </c>
      <c r="K580">
        <v>1694</v>
      </c>
      <c r="L580">
        <v>15.4</v>
      </c>
      <c r="M580">
        <v>13.3</v>
      </c>
      <c r="N580">
        <v>8</v>
      </c>
      <c r="O580">
        <v>12976</v>
      </c>
      <c r="P580" t="s">
        <v>2178</v>
      </c>
      <c r="Q580">
        <v>42</v>
      </c>
      <c r="R580">
        <v>59</v>
      </c>
      <c r="S580">
        <v>47</v>
      </c>
      <c r="T580">
        <v>381</v>
      </c>
      <c r="U580" t="s">
        <v>2205</v>
      </c>
      <c r="W580" t="s">
        <v>2209</v>
      </c>
      <c r="X580" t="s">
        <v>2211</v>
      </c>
      <c r="Y580" t="s">
        <v>2213</v>
      </c>
      <c r="Z580" s="1">
        <v>45546</v>
      </c>
      <c r="AA580" s="1">
        <v>45562</v>
      </c>
      <c r="AB580" t="s">
        <v>2215</v>
      </c>
      <c r="AC580" t="s">
        <v>2208</v>
      </c>
      <c r="AD580" t="s">
        <v>2219</v>
      </c>
      <c r="AE580" t="s">
        <v>2165</v>
      </c>
      <c r="AF580" t="s">
        <v>2164</v>
      </c>
      <c r="AG580" t="s">
        <v>2222</v>
      </c>
      <c r="AH580">
        <v>148</v>
      </c>
      <c r="AI580">
        <v>164</v>
      </c>
      <c r="AJ580">
        <v>16</v>
      </c>
      <c r="AK580">
        <v>4</v>
      </c>
      <c r="AL580" t="s">
        <v>2225</v>
      </c>
      <c r="AM580">
        <v>0</v>
      </c>
      <c r="AN580" t="s">
        <v>2175</v>
      </c>
      <c r="AO580" t="s">
        <v>2175</v>
      </c>
      <c r="AP580" t="s">
        <v>2177</v>
      </c>
      <c r="AQ580">
        <v>204.82</v>
      </c>
      <c r="AR580">
        <v>3</v>
      </c>
      <c r="AS580">
        <v>3</v>
      </c>
      <c r="AT580">
        <v>3</v>
      </c>
      <c r="AU580">
        <v>2</v>
      </c>
      <c r="AV580">
        <v>2.666666666666667</v>
      </c>
      <c r="AW580">
        <v>4.5999999999999996</v>
      </c>
      <c r="AX580">
        <v>4.5</v>
      </c>
      <c r="AY580">
        <v>4.8</v>
      </c>
      <c r="AZ580">
        <v>3</v>
      </c>
      <c r="BA580">
        <v>3</v>
      </c>
      <c r="BB580">
        <v>46</v>
      </c>
      <c r="BC580">
        <v>26</v>
      </c>
      <c r="BD580">
        <v>40.729999999999997</v>
      </c>
      <c r="BE580">
        <v>203</v>
      </c>
      <c r="BF580">
        <v>88.5</v>
      </c>
      <c r="BG580">
        <v>45</v>
      </c>
      <c r="BH580">
        <v>26</v>
      </c>
      <c r="BI580">
        <v>40.270000000000003</v>
      </c>
      <c r="BJ580">
        <v>199</v>
      </c>
      <c r="BK580">
        <v>89.5</v>
      </c>
      <c r="BL580">
        <v>329</v>
      </c>
      <c r="BM580">
        <v>10.7013</v>
      </c>
    </row>
    <row r="581" spans="1:65" x14ac:dyDescent="0.25">
      <c r="A581" t="s">
        <v>644</v>
      </c>
      <c r="B581" t="s">
        <v>1625</v>
      </c>
      <c r="C581" t="s">
        <v>2159</v>
      </c>
      <c r="D581" s="1">
        <v>45301</v>
      </c>
      <c r="E581" s="1">
        <v>45324</v>
      </c>
      <c r="F581" s="1">
        <v>45545</v>
      </c>
      <c r="G581" t="s">
        <v>2164</v>
      </c>
      <c r="I581" t="s">
        <v>2175</v>
      </c>
      <c r="J581">
        <v>61581</v>
      </c>
      <c r="K581">
        <v>1847</v>
      </c>
      <c r="L581">
        <v>12.4</v>
      </c>
      <c r="M581">
        <v>14.1</v>
      </c>
      <c r="N581">
        <v>7</v>
      </c>
      <c r="O581">
        <v>17907</v>
      </c>
      <c r="P581" t="s">
        <v>2178</v>
      </c>
      <c r="Q581">
        <v>52</v>
      </c>
      <c r="R581">
        <v>87</v>
      </c>
      <c r="S581">
        <v>53</v>
      </c>
      <c r="T581">
        <v>320</v>
      </c>
      <c r="U581" t="s">
        <v>2198</v>
      </c>
      <c r="W581" t="s">
        <v>2209</v>
      </c>
      <c r="X581" t="s">
        <v>2211</v>
      </c>
      <c r="Y581" t="s">
        <v>2213</v>
      </c>
      <c r="Z581" s="1">
        <v>45516</v>
      </c>
      <c r="AA581" s="1">
        <v>45539</v>
      </c>
      <c r="AB581" t="s">
        <v>2214</v>
      </c>
      <c r="AC581" t="s">
        <v>2209</v>
      </c>
      <c r="AD581" t="s">
        <v>2219</v>
      </c>
      <c r="AE581" t="s">
        <v>2166</v>
      </c>
      <c r="AF581" t="s">
        <v>2161</v>
      </c>
      <c r="AG581" t="s">
        <v>2222</v>
      </c>
      <c r="AH581">
        <v>192</v>
      </c>
      <c r="AI581">
        <v>215</v>
      </c>
      <c r="AJ581">
        <v>23</v>
      </c>
      <c r="AK581">
        <v>2</v>
      </c>
      <c r="AL581" t="s">
        <v>2228</v>
      </c>
      <c r="AM581">
        <v>0</v>
      </c>
      <c r="AN581" t="s">
        <v>2175</v>
      </c>
      <c r="AO581" t="s">
        <v>2175</v>
      </c>
      <c r="AP581" t="s">
        <v>2175</v>
      </c>
      <c r="AQ581">
        <v>174.84</v>
      </c>
      <c r="AR581">
        <v>3</v>
      </c>
      <c r="AS581">
        <v>3</v>
      </c>
      <c r="AT581">
        <v>3</v>
      </c>
      <c r="AU581">
        <v>3</v>
      </c>
      <c r="AV581">
        <v>3</v>
      </c>
      <c r="AW581">
        <v>4.8</v>
      </c>
      <c r="AX581">
        <v>4.3</v>
      </c>
      <c r="AY581">
        <v>4.5</v>
      </c>
      <c r="AZ581">
        <v>0</v>
      </c>
      <c r="BA581">
        <v>3</v>
      </c>
      <c r="BB581">
        <v>40</v>
      </c>
      <c r="BC581">
        <v>24</v>
      </c>
      <c r="BD581">
        <v>35.54</v>
      </c>
      <c r="BE581">
        <v>160</v>
      </c>
      <c r="BF581">
        <v>88.8</v>
      </c>
      <c r="BG581">
        <v>27</v>
      </c>
      <c r="BH581">
        <v>24</v>
      </c>
      <c r="BI581">
        <v>24.04</v>
      </c>
      <c r="BJ581">
        <v>106</v>
      </c>
      <c r="BK581">
        <v>89</v>
      </c>
      <c r="BL581">
        <v>294</v>
      </c>
      <c r="BM581">
        <v>16.032499999999999</v>
      </c>
    </row>
    <row r="582" spans="1:65" x14ac:dyDescent="0.25">
      <c r="A582" t="s">
        <v>645</v>
      </c>
      <c r="B582" t="s">
        <v>1626</v>
      </c>
      <c r="C582" t="s">
        <v>2158</v>
      </c>
      <c r="D582" s="1">
        <v>45274</v>
      </c>
      <c r="E582" s="1">
        <v>45299</v>
      </c>
      <c r="F582" s="1">
        <v>45564</v>
      </c>
      <c r="G582" t="s">
        <v>2166</v>
      </c>
      <c r="I582" t="s">
        <v>2175</v>
      </c>
      <c r="J582">
        <v>86259</v>
      </c>
      <c r="K582">
        <v>2587</v>
      </c>
      <c r="L582">
        <v>17.5</v>
      </c>
      <c r="M582">
        <v>14</v>
      </c>
      <c r="N582">
        <v>6</v>
      </c>
      <c r="O582">
        <v>19751</v>
      </c>
      <c r="P582" t="s">
        <v>2178</v>
      </c>
      <c r="Q582">
        <v>61</v>
      </c>
      <c r="R582">
        <v>103</v>
      </c>
      <c r="S582">
        <v>80</v>
      </c>
      <c r="T582">
        <v>353</v>
      </c>
      <c r="U582" t="s">
        <v>2185</v>
      </c>
      <c r="W582" t="s">
        <v>2209</v>
      </c>
      <c r="X582" t="s">
        <v>2211</v>
      </c>
      <c r="Y582" t="s">
        <v>2213</v>
      </c>
      <c r="Z582" s="1">
        <v>45543</v>
      </c>
      <c r="AA582" s="1">
        <v>45564</v>
      </c>
      <c r="AB582" t="s">
        <v>2214</v>
      </c>
      <c r="AC582" t="s">
        <v>2209</v>
      </c>
      <c r="AD582" t="s">
        <v>2219</v>
      </c>
      <c r="AE582" t="s">
        <v>2163</v>
      </c>
      <c r="AF582" t="s">
        <v>2161</v>
      </c>
      <c r="AG582" t="s">
        <v>2222</v>
      </c>
      <c r="AH582">
        <v>244</v>
      </c>
      <c r="AI582">
        <v>265</v>
      </c>
      <c r="AJ582">
        <v>21</v>
      </c>
      <c r="AK582">
        <v>1</v>
      </c>
      <c r="AL582" t="s">
        <v>2233</v>
      </c>
      <c r="AM582">
        <v>0</v>
      </c>
      <c r="AN582" t="s">
        <v>2175</v>
      </c>
      <c r="AO582" t="s">
        <v>2177</v>
      </c>
      <c r="AP582" t="s">
        <v>2175</v>
      </c>
      <c r="AQ582">
        <v>245</v>
      </c>
      <c r="AR582">
        <v>3</v>
      </c>
      <c r="AS582">
        <v>3</v>
      </c>
      <c r="AT582">
        <v>2</v>
      </c>
      <c r="AU582">
        <v>3</v>
      </c>
      <c r="AV582">
        <v>2.666666666666667</v>
      </c>
      <c r="AW582">
        <v>4.4000000000000004</v>
      </c>
      <c r="AX582">
        <v>4.3</v>
      </c>
      <c r="AY582">
        <v>4.8</v>
      </c>
      <c r="AZ582">
        <v>2</v>
      </c>
      <c r="BA582">
        <v>3</v>
      </c>
      <c r="BB582">
        <v>40</v>
      </c>
      <c r="BC582">
        <v>27</v>
      </c>
      <c r="BD582">
        <v>34.93</v>
      </c>
      <c r="BE582">
        <v>178</v>
      </c>
      <c r="BF582">
        <v>87.3</v>
      </c>
      <c r="BG582">
        <v>40</v>
      </c>
      <c r="BH582">
        <v>27</v>
      </c>
      <c r="BI582">
        <v>35.07</v>
      </c>
      <c r="BJ582">
        <v>181</v>
      </c>
      <c r="BK582">
        <v>87.7</v>
      </c>
      <c r="BL582">
        <v>324</v>
      </c>
      <c r="BM582">
        <v>17.944500000000001</v>
      </c>
    </row>
    <row r="583" spans="1:65" x14ac:dyDescent="0.25">
      <c r="A583" t="s">
        <v>646</v>
      </c>
      <c r="B583" t="s">
        <v>1348</v>
      </c>
      <c r="C583" t="s">
        <v>2160</v>
      </c>
      <c r="D583" s="1">
        <v>45270</v>
      </c>
      <c r="E583" s="1">
        <v>45324</v>
      </c>
      <c r="F583" s="1">
        <v>45571</v>
      </c>
      <c r="G583" t="s">
        <v>2161</v>
      </c>
      <c r="I583" t="s">
        <v>2175</v>
      </c>
      <c r="J583">
        <v>81512</v>
      </c>
      <c r="K583">
        <v>2445</v>
      </c>
      <c r="L583">
        <v>10.8</v>
      </c>
      <c r="M583">
        <v>17.7</v>
      </c>
      <c r="N583">
        <v>6</v>
      </c>
      <c r="O583">
        <v>14800</v>
      </c>
      <c r="P583" t="s">
        <v>2178</v>
      </c>
      <c r="Q583">
        <v>64</v>
      </c>
      <c r="R583">
        <v>84</v>
      </c>
      <c r="S583">
        <v>71</v>
      </c>
      <c r="T583">
        <v>372</v>
      </c>
      <c r="U583" t="s">
        <v>2204</v>
      </c>
      <c r="W583" t="s">
        <v>2209</v>
      </c>
      <c r="X583" t="s">
        <v>2211</v>
      </c>
      <c r="Y583" t="s">
        <v>2213</v>
      </c>
      <c r="Z583" s="1">
        <v>45543</v>
      </c>
      <c r="AA583" s="1">
        <v>45560</v>
      </c>
      <c r="AB583" t="s">
        <v>2214</v>
      </c>
      <c r="AC583" t="s">
        <v>2209</v>
      </c>
      <c r="AD583" t="s">
        <v>2219</v>
      </c>
      <c r="AE583" t="s">
        <v>2166</v>
      </c>
      <c r="AF583" t="s">
        <v>2164</v>
      </c>
      <c r="AG583" t="s">
        <v>2222</v>
      </c>
      <c r="AH583">
        <v>219</v>
      </c>
      <c r="AI583">
        <v>236</v>
      </c>
      <c r="AJ583">
        <v>17</v>
      </c>
      <c r="AK583">
        <v>2</v>
      </c>
      <c r="AL583" t="s">
        <v>2228</v>
      </c>
      <c r="AM583">
        <v>0</v>
      </c>
      <c r="AN583" t="s">
        <v>2175</v>
      </c>
      <c r="AO583" t="s">
        <v>2177</v>
      </c>
      <c r="AP583" t="s">
        <v>2177</v>
      </c>
      <c r="AQ583">
        <v>191.16</v>
      </c>
      <c r="AR583">
        <v>3</v>
      </c>
      <c r="AS583">
        <v>3</v>
      </c>
      <c r="AT583">
        <v>2</v>
      </c>
      <c r="AU583">
        <v>2</v>
      </c>
      <c r="AV583">
        <v>2.333333333333333</v>
      </c>
      <c r="AW583">
        <v>4.8</v>
      </c>
      <c r="AX583">
        <v>4.5</v>
      </c>
      <c r="AY583">
        <v>4.3</v>
      </c>
      <c r="AZ583">
        <v>1</v>
      </c>
      <c r="BA583">
        <v>3</v>
      </c>
      <c r="BB583">
        <v>40</v>
      </c>
      <c r="BC583">
        <v>24</v>
      </c>
      <c r="BD583">
        <v>35.54</v>
      </c>
      <c r="BE583">
        <v>160</v>
      </c>
      <c r="BF583">
        <v>88.8</v>
      </c>
      <c r="BG583">
        <v>34</v>
      </c>
      <c r="BH583">
        <v>24</v>
      </c>
      <c r="BI583">
        <v>29.92</v>
      </c>
      <c r="BJ583">
        <v>134</v>
      </c>
      <c r="BK583">
        <v>88</v>
      </c>
      <c r="BL583">
        <v>266</v>
      </c>
      <c r="BM583">
        <v>21.221599999999999</v>
      </c>
    </row>
    <row r="584" spans="1:65" x14ac:dyDescent="0.25">
      <c r="A584" t="s">
        <v>647</v>
      </c>
      <c r="B584" t="s">
        <v>1627</v>
      </c>
      <c r="C584" t="s">
        <v>2157</v>
      </c>
      <c r="D584" s="1">
        <v>45511</v>
      </c>
      <c r="E584" s="1">
        <v>45539</v>
      </c>
      <c r="F584" s="1">
        <v>45848</v>
      </c>
      <c r="G584" t="s">
        <v>2163</v>
      </c>
      <c r="I584" t="s">
        <v>2175</v>
      </c>
      <c r="J584">
        <v>85519</v>
      </c>
      <c r="K584">
        <v>2565</v>
      </c>
      <c r="L584">
        <v>8.5</v>
      </c>
      <c r="M584">
        <v>16.3</v>
      </c>
      <c r="N584">
        <v>6</v>
      </c>
      <c r="O584">
        <v>16697</v>
      </c>
      <c r="P584" t="s">
        <v>2178</v>
      </c>
      <c r="Q584">
        <v>51</v>
      </c>
      <c r="R584">
        <v>79</v>
      </c>
      <c r="S584">
        <v>156</v>
      </c>
      <c r="T584">
        <v>299</v>
      </c>
      <c r="U584" t="s">
        <v>2198</v>
      </c>
      <c r="W584" t="s">
        <v>2209</v>
      </c>
      <c r="X584" t="s">
        <v>2211</v>
      </c>
      <c r="Y584" t="s">
        <v>2213</v>
      </c>
      <c r="Z584" s="1">
        <v>45825</v>
      </c>
      <c r="AA584" s="1">
        <v>45846</v>
      </c>
      <c r="AB584" t="s">
        <v>2214</v>
      </c>
      <c r="AC584" t="s">
        <v>2209</v>
      </c>
      <c r="AD584" t="s">
        <v>2219</v>
      </c>
      <c r="AE584" t="s">
        <v>2166</v>
      </c>
      <c r="AF584" t="s">
        <v>2161</v>
      </c>
      <c r="AG584" t="s">
        <v>2222</v>
      </c>
      <c r="AH584">
        <v>286</v>
      </c>
      <c r="AI584">
        <v>307</v>
      </c>
      <c r="AJ584">
        <v>21</v>
      </c>
      <c r="AK584">
        <v>9</v>
      </c>
      <c r="AL584" t="s">
        <v>2234</v>
      </c>
      <c r="AM584">
        <v>0</v>
      </c>
      <c r="AN584" t="s">
        <v>2175</v>
      </c>
      <c r="AO584" t="s">
        <v>2177</v>
      </c>
      <c r="AP584" t="s">
        <v>2175</v>
      </c>
      <c r="AQ584">
        <v>138.55000000000001</v>
      </c>
      <c r="AR584">
        <v>3</v>
      </c>
      <c r="AS584">
        <v>3</v>
      </c>
      <c r="AT584">
        <v>2</v>
      </c>
      <c r="AU584">
        <v>3</v>
      </c>
      <c r="AV584">
        <v>2.666666666666667</v>
      </c>
      <c r="AW584">
        <v>4.8</v>
      </c>
      <c r="AX584">
        <v>4.3</v>
      </c>
      <c r="AY584">
        <v>4.4000000000000004</v>
      </c>
      <c r="AZ584">
        <v>3</v>
      </c>
      <c r="BA584">
        <v>3</v>
      </c>
      <c r="BB584">
        <v>48</v>
      </c>
      <c r="BC584">
        <v>26</v>
      </c>
      <c r="BD584">
        <v>42</v>
      </c>
      <c r="BE584">
        <v>204</v>
      </c>
      <c r="BF584">
        <v>87.5</v>
      </c>
      <c r="BG584">
        <v>30</v>
      </c>
      <c r="BH584">
        <v>26</v>
      </c>
      <c r="BI584">
        <v>26.15</v>
      </c>
      <c r="BJ584">
        <v>126</v>
      </c>
      <c r="BK584">
        <v>87.2</v>
      </c>
      <c r="BL584">
        <v>323</v>
      </c>
      <c r="BM584">
        <v>16.1205</v>
      </c>
    </row>
    <row r="585" spans="1:65" x14ac:dyDescent="0.25">
      <c r="A585" t="s">
        <v>648</v>
      </c>
      <c r="B585" t="s">
        <v>1628</v>
      </c>
      <c r="C585" t="s">
        <v>2157</v>
      </c>
      <c r="D585" s="1">
        <v>45343</v>
      </c>
      <c r="E585" s="1">
        <v>45363</v>
      </c>
      <c r="F585" s="1">
        <v>45516</v>
      </c>
      <c r="G585" t="s">
        <v>2164</v>
      </c>
      <c r="I585" t="s">
        <v>2175</v>
      </c>
      <c r="J585">
        <v>59648</v>
      </c>
      <c r="K585">
        <v>1789</v>
      </c>
      <c r="L585">
        <v>13.7</v>
      </c>
      <c r="M585">
        <v>8.3000000000000007</v>
      </c>
      <c r="N585">
        <v>7</v>
      </c>
      <c r="O585">
        <v>19826</v>
      </c>
      <c r="P585" t="s">
        <v>2178</v>
      </c>
      <c r="Q585">
        <v>32</v>
      </c>
      <c r="R585">
        <v>50</v>
      </c>
      <c r="S585">
        <v>55</v>
      </c>
      <c r="T585">
        <v>435</v>
      </c>
      <c r="U585" t="s">
        <v>2194</v>
      </c>
      <c r="W585" t="s">
        <v>2209</v>
      </c>
      <c r="X585" t="s">
        <v>2211</v>
      </c>
      <c r="Y585" t="s">
        <v>2213</v>
      </c>
      <c r="Z585" s="1">
        <v>45500</v>
      </c>
      <c r="AA585" s="1">
        <v>45525</v>
      </c>
      <c r="AB585" t="s">
        <v>2214</v>
      </c>
      <c r="AC585" t="s">
        <v>2209</v>
      </c>
      <c r="AD585" t="s">
        <v>2219</v>
      </c>
      <c r="AE585" t="s">
        <v>2166</v>
      </c>
      <c r="AF585" t="s">
        <v>2165</v>
      </c>
      <c r="AG585" t="s">
        <v>2222</v>
      </c>
      <c r="AH585">
        <v>137</v>
      </c>
      <c r="AI585">
        <v>162</v>
      </c>
      <c r="AJ585">
        <v>25</v>
      </c>
      <c r="AK585">
        <v>3</v>
      </c>
      <c r="AL585" t="s">
        <v>2227</v>
      </c>
      <c r="AM585">
        <v>0</v>
      </c>
      <c r="AN585" t="s">
        <v>2177</v>
      </c>
      <c r="AO585" t="s">
        <v>2175</v>
      </c>
      <c r="AP585" t="s">
        <v>2175</v>
      </c>
      <c r="AQ585">
        <v>113.71</v>
      </c>
      <c r="AR585">
        <v>3</v>
      </c>
      <c r="AS585">
        <v>2</v>
      </c>
      <c r="AT585">
        <v>3</v>
      </c>
      <c r="AU585">
        <v>3</v>
      </c>
      <c r="AV585">
        <v>2.666666666666667</v>
      </c>
      <c r="AW585">
        <v>4.8</v>
      </c>
      <c r="AX585">
        <v>4.5999999999999996</v>
      </c>
      <c r="AY585">
        <v>4.5</v>
      </c>
      <c r="AZ585">
        <v>3</v>
      </c>
      <c r="BA585">
        <v>3</v>
      </c>
      <c r="BB585">
        <v>49</v>
      </c>
      <c r="BC585">
        <v>26</v>
      </c>
      <c r="BD585">
        <v>43.12</v>
      </c>
      <c r="BE585">
        <v>216</v>
      </c>
      <c r="BF585">
        <v>88</v>
      </c>
      <c r="BG585">
        <v>30</v>
      </c>
      <c r="BH585">
        <v>26</v>
      </c>
      <c r="BI585">
        <v>26.31</v>
      </c>
      <c r="BJ585">
        <v>128</v>
      </c>
      <c r="BK585">
        <v>87.7</v>
      </c>
      <c r="BL585">
        <v>428</v>
      </c>
      <c r="BM585">
        <v>10.619199999999999</v>
      </c>
    </row>
    <row r="586" spans="1:65" x14ac:dyDescent="0.25">
      <c r="A586" t="s">
        <v>649</v>
      </c>
      <c r="B586" t="s">
        <v>1629</v>
      </c>
      <c r="C586" t="s">
        <v>2157</v>
      </c>
      <c r="D586" s="1">
        <v>45497</v>
      </c>
      <c r="E586" s="1">
        <v>45539</v>
      </c>
      <c r="F586" s="1">
        <v>45798</v>
      </c>
      <c r="G586" t="s">
        <v>2165</v>
      </c>
      <c r="I586" t="s">
        <v>2175</v>
      </c>
      <c r="J586">
        <v>67743</v>
      </c>
      <c r="K586">
        <v>2032</v>
      </c>
      <c r="L586">
        <v>16.2</v>
      </c>
      <c r="M586">
        <v>17.600000000000001</v>
      </c>
      <c r="N586">
        <v>6</v>
      </c>
      <c r="O586">
        <v>16615</v>
      </c>
      <c r="P586" t="s">
        <v>2178</v>
      </c>
      <c r="Q586">
        <v>61</v>
      </c>
      <c r="R586">
        <v>97</v>
      </c>
      <c r="S586">
        <v>91</v>
      </c>
      <c r="T586">
        <v>272</v>
      </c>
      <c r="U586" t="s">
        <v>2185</v>
      </c>
      <c r="W586" t="s">
        <v>2209</v>
      </c>
      <c r="X586" t="s">
        <v>2211</v>
      </c>
      <c r="Y586" t="s">
        <v>2213</v>
      </c>
      <c r="Z586" s="1">
        <v>45788</v>
      </c>
      <c r="AA586" s="1">
        <v>45811</v>
      </c>
      <c r="AB586" t="s">
        <v>2215</v>
      </c>
      <c r="AC586" t="s">
        <v>2208</v>
      </c>
      <c r="AD586" t="s">
        <v>2219</v>
      </c>
      <c r="AE586" t="s">
        <v>2163</v>
      </c>
      <c r="AF586" t="s">
        <v>2161</v>
      </c>
      <c r="AG586" t="s">
        <v>2222</v>
      </c>
      <c r="AH586">
        <v>249</v>
      </c>
      <c r="AI586">
        <v>272</v>
      </c>
      <c r="AJ586">
        <v>23</v>
      </c>
      <c r="AK586">
        <v>9</v>
      </c>
      <c r="AL586" t="s">
        <v>2234</v>
      </c>
      <c r="AM586">
        <v>0</v>
      </c>
      <c r="AN586" t="s">
        <v>2175</v>
      </c>
      <c r="AO586" t="s">
        <v>2177</v>
      </c>
      <c r="AP586" t="s">
        <v>2175</v>
      </c>
      <c r="AQ586">
        <v>285.12</v>
      </c>
      <c r="AR586">
        <v>3</v>
      </c>
      <c r="AS586">
        <v>3</v>
      </c>
      <c r="AT586">
        <v>2</v>
      </c>
      <c r="AU586">
        <v>3</v>
      </c>
      <c r="AV586">
        <v>2.666666666666667</v>
      </c>
      <c r="AW586">
        <v>4.4000000000000004</v>
      </c>
      <c r="AX586">
        <v>4.3</v>
      </c>
      <c r="AY586">
        <v>4.5999999999999996</v>
      </c>
      <c r="AZ586">
        <v>3</v>
      </c>
      <c r="BA586">
        <v>3</v>
      </c>
      <c r="BB586">
        <v>30</v>
      </c>
      <c r="BC586">
        <v>26</v>
      </c>
      <c r="BD586">
        <v>26.15</v>
      </c>
      <c r="BE586">
        <v>126</v>
      </c>
      <c r="BF586">
        <v>87.2</v>
      </c>
      <c r="BG586">
        <v>45</v>
      </c>
      <c r="BH586">
        <v>26</v>
      </c>
      <c r="BI586">
        <v>39.85</v>
      </c>
      <c r="BJ586">
        <v>196</v>
      </c>
      <c r="BK586">
        <v>88.6</v>
      </c>
      <c r="BL586">
        <v>245</v>
      </c>
      <c r="BM586">
        <v>20.6723</v>
      </c>
    </row>
    <row r="587" spans="1:65" x14ac:dyDescent="0.25">
      <c r="A587" t="s">
        <v>650</v>
      </c>
      <c r="B587" t="s">
        <v>1630</v>
      </c>
      <c r="C587" t="s">
        <v>2160</v>
      </c>
      <c r="D587" s="1">
        <v>45361</v>
      </c>
      <c r="E587" s="1">
        <v>45392</v>
      </c>
      <c r="F587" s="1">
        <v>45594</v>
      </c>
      <c r="G587" t="s">
        <v>2164</v>
      </c>
      <c r="I587" t="s">
        <v>2175</v>
      </c>
      <c r="J587">
        <v>77190</v>
      </c>
      <c r="K587">
        <v>2315</v>
      </c>
      <c r="L587">
        <v>12.6</v>
      </c>
      <c r="M587">
        <v>11.7</v>
      </c>
      <c r="N587">
        <v>8</v>
      </c>
      <c r="O587">
        <v>14459</v>
      </c>
      <c r="P587" t="s">
        <v>2178</v>
      </c>
      <c r="Q587">
        <v>41</v>
      </c>
      <c r="R587">
        <v>58</v>
      </c>
      <c r="S587">
        <v>93</v>
      </c>
      <c r="T587">
        <v>402</v>
      </c>
      <c r="U587" t="s">
        <v>2194</v>
      </c>
      <c r="W587" t="s">
        <v>2209</v>
      </c>
      <c r="X587" t="s">
        <v>2211</v>
      </c>
      <c r="Y587" t="s">
        <v>2213</v>
      </c>
      <c r="Z587" s="1">
        <v>45584</v>
      </c>
      <c r="AA587" s="1">
        <v>45606</v>
      </c>
      <c r="AB587" t="s">
        <v>2215</v>
      </c>
      <c r="AC587" t="s">
        <v>2208</v>
      </c>
      <c r="AD587" t="s">
        <v>2219</v>
      </c>
      <c r="AE587" t="s">
        <v>2166</v>
      </c>
      <c r="AF587" t="s">
        <v>2165</v>
      </c>
      <c r="AG587" t="s">
        <v>2222</v>
      </c>
      <c r="AH587">
        <v>192</v>
      </c>
      <c r="AI587">
        <v>214</v>
      </c>
      <c r="AJ587">
        <v>22</v>
      </c>
      <c r="AK587">
        <v>4</v>
      </c>
      <c r="AL587" t="s">
        <v>2225</v>
      </c>
      <c r="AM587">
        <v>0</v>
      </c>
      <c r="AN587" t="s">
        <v>2175</v>
      </c>
      <c r="AO587" t="s">
        <v>2175</v>
      </c>
      <c r="AP587" t="s">
        <v>2177</v>
      </c>
      <c r="AQ587">
        <v>147.41999999999999</v>
      </c>
      <c r="AR587">
        <v>3</v>
      </c>
      <c r="AS587">
        <v>3</v>
      </c>
      <c r="AT587">
        <v>3</v>
      </c>
      <c r="AU587">
        <v>2</v>
      </c>
      <c r="AV587">
        <v>2.666666666666667</v>
      </c>
      <c r="AW587">
        <v>4.8</v>
      </c>
      <c r="AX587">
        <v>4.5999999999999996</v>
      </c>
      <c r="AY587">
        <v>4.5</v>
      </c>
      <c r="AZ587">
        <v>1</v>
      </c>
      <c r="BA587">
        <v>3</v>
      </c>
      <c r="BB587">
        <v>45</v>
      </c>
      <c r="BC587">
        <v>26</v>
      </c>
      <c r="BD587">
        <v>40.270000000000003</v>
      </c>
      <c r="BE587">
        <v>199</v>
      </c>
      <c r="BF587">
        <v>89.5</v>
      </c>
      <c r="BG587">
        <v>30</v>
      </c>
      <c r="BH587">
        <v>26</v>
      </c>
      <c r="BI587">
        <v>26.42</v>
      </c>
      <c r="BJ587">
        <v>126</v>
      </c>
      <c r="BK587">
        <v>88.1</v>
      </c>
      <c r="BL587">
        <v>402</v>
      </c>
      <c r="BM587">
        <v>14.915900000000001</v>
      </c>
    </row>
    <row r="588" spans="1:65" x14ac:dyDescent="0.25">
      <c r="A588" t="s">
        <v>651</v>
      </c>
      <c r="B588" t="s">
        <v>1631</v>
      </c>
      <c r="C588" t="s">
        <v>2160</v>
      </c>
      <c r="D588" s="1">
        <v>45394</v>
      </c>
      <c r="E588" s="1">
        <v>45419</v>
      </c>
      <c r="F588" s="1">
        <v>45665</v>
      </c>
      <c r="G588" t="s">
        <v>2166</v>
      </c>
      <c r="I588" t="s">
        <v>2175</v>
      </c>
      <c r="J588">
        <v>60889</v>
      </c>
      <c r="K588">
        <v>1826</v>
      </c>
      <c r="L588">
        <v>14.4</v>
      </c>
      <c r="M588">
        <v>17.100000000000001</v>
      </c>
      <c r="N588">
        <v>8</v>
      </c>
      <c r="O588">
        <v>17659</v>
      </c>
      <c r="P588" t="s">
        <v>2178</v>
      </c>
      <c r="Q588">
        <v>55</v>
      </c>
      <c r="R588">
        <v>89</v>
      </c>
      <c r="S588">
        <v>79</v>
      </c>
      <c r="T588">
        <v>273</v>
      </c>
      <c r="U588" t="s">
        <v>2202</v>
      </c>
      <c r="W588" t="s">
        <v>2209</v>
      </c>
      <c r="X588" t="s">
        <v>2211</v>
      </c>
      <c r="Y588" t="s">
        <v>2213</v>
      </c>
      <c r="Z588" s="1">
        <v>45642</v>
      </c>
      <c r="AA588" s="1">
        <v>45659</v>
      </c>
      <c r="AB588" t="s">
        <v>2214</v>
      </c>
      <c r="AC588" t="s">
        <v>2209</v>
      </c>
      <c r="AD588" t="s">
        <v>2219</v>
      </c>
      <c r="AE588" t="s">
        <v>2163</v>
      </c>
      <c r="AF588" t="s">
        <v>2166</v>
      </c>
      <c r="AG588" t="s">
        <v>2222</v>
      </c>
      <c r="AH588">
        <v>223</v>
      </c>
      <c r="AI588">
        <v>240</v>
      </c>
      <c r="AJ588">
        <v>17</v>
      </c>
      <c r="AK588">
        <v>5</v>
      </c>
      <c r="AL588" t="s">
        <v>2224</v>
      </c>
      <c r="AM588">
        <v>0</v>
      </c>
      <c r="AN588" t="s">
        <v>2175</v>
      </c>
      <c r="AO588" t="s">
        <v>2175</v>
      </c>
      <c r="AP588" t="s">
        <v>2175</v>
      </c>
      <c r="AQ588">
        <v>246.24</v>
      </c>
      <c r="AR588">
        <v>3</v>
      </c>
      <c r="AS588">
        <v>3</v>
      </c>
      <c r="AT588">
        <v>3</v>
      </c>
      <c r="AU588">
        <v>3</v>
      </c>
      <c r="AV588">
        <v>3</v>
      </c>
      <c r="AW588">
        <v>4.4000000000000004</v>
      </c>
      <c r="AX588">
        <v>4.8</v>
      </c>
      <c r="AY588">
        <v>4.8</v>
      </c>
      <c r="AZ588">
        <v>1</v>
      </c>
      <c r="BA588">
        <v>3</v>
      </c>
      <c r="BB588">
        <v>38</v>
      </c>
      <c r="BC588">
        <v>27</v>
      </c>
      <c r="BD588">
        <v>33.33</v>
      </c>
      <c r="BE588">
        <v>171</v>
      </c>
      <c r="BF588">
        <v>87.7</v>
      </c>
      <c r="BG588">
        <v>43</v>
      </c>
      <c r="BH588">
        <v>27</v>
      </c>
      <c r="BI588">
        <v>37.299999999999997</v>
      </c>
      <c r="BJ588">
        <v>193</v>
      </c>
      <c r="BK588">
        <v>86.7</v>
      </c>
      <c r="BL588">
        <v>364</v>
      </c>
      <c r="BM588">
        <v>13.1851</v>
      </c>
    </row>
    <row r="589" spans="1:65" x14ac:dyDescent="0.25">
      <c r="A589" t="s">
        <v>652</v>
      </c>
      <c r="B589" t="s">
        <v>1632</v>
      </c>
      <c r="C589" t="s">
        <v>2158</v>
      </c>
      <c r="D589" s="1">
        <v>45454</v>
      </c>
      <c r="E589" s="1">
        <v>45488</v>
      </c>
      <c r="F589" s="1">
        <v>45775</v>
      </c>
      <c r="G589" t="s">
        <v>2164</v>
      </c>
      <c r="I589" t="s">
        <v>2175</v>
      </c>
      <c r="J589">
        <v>89396</v>
      </c>
      <c r="K589">
        <v>2681</v>
      </c>
      <c r="L589">
        <v>8.1</v>
      </c>
      <c r="M589">
        <v>12.2</v>
      </c>
      <c r="N589">
        <v>8</v>
      </c>
      <c r="O589">
        <v>13856</v>
      </c>
      <c r="P589" t="s">
        <v>2178</v>
      </c>
      <c r="Q589">
        <v>64</v>
      </c>
      <c r="R589">
        <v>100</v>
      </c>
      <c r="S589">
        <v>112</v>
      </c>
      <c r="T589">
        <v>323</v>
      </c>
      <c r="U589" t="s">
        <v>2204</v>
      </c>
      <c r="W589" t="s">
        <v>2209</v>
      </c>
      <c r="X589" t="s">
        <v>2211</v>
      </c>
      <c r="Y589" t="s">
        <v>2213</v>
      </c>
      <c r="Z589" s="1">
        <v>45764</v>
      </c>
      <c r="AA589" s="1">
        <v>45785</v>
      </c>
      <c r="AB589" t="s">
        <v>2215</v>
      </c>
      <c r="AC589" t="s">
        <v>2208</v>
      </c>
      <c r="AD589" t="s">
        <v>2219</v>
      </c>
      <c r="AE589" t="s">
        <v>2166</v>
      </c>
      <c r="AF589" t="s">
        <v>2164</v>
      </c>
      <c r="AG589" t="s">
        <v>2222</v>
      </c>
      <c r="AH589">
        <v>276</v>
      </c>
      <c r="AI589">
        <v>297</v>
      </c>
      <c r="AJ589">
        <v>21</v>
      </c>
      <c r="AK589">
        <v>7</v>
      </c>
      <c r="AL589" t="s">
        <v>2226</v>
      </c>
      <c r="AM589">
        <v>0</v>
      </c>
      <c r="AN589" t="s">
        <v>2177</v>
      </c>
      <c r="AO589" t="s">
        <v>2175</v>
      </c>
      <c r="AP589" t="s">
        <v>2177</v>
      </c>
      <c r="AQ589">
        <v>98.82</v>
      </c>
      <c r="AR589">
        <v>3</v>
      </c>
      <c r="AS589">
        <v>2</v>
      </c>
      <c r="AT589">
        <v>3</v>
      </c>
      <c r="AU589">
        <v>2</v>
      </c>
      <c r="AV589">
        <v>2.333333333333333</v>
      </c>
      <c r="AW589">
        <v>4.8</v>
      </c>
      <c r="AX589">
        <v>4.5</v>
      </c>
      <c r="AY589">
        <v>4.5</v>
      </c>
      <c r="AZ589">
        <v>2</v>
      </c>
      <c r="BA589">
        <v>3</v>
      </c>
      <c r="BB589">
        <v>48</v>
      </c>
      <c r="BC589">
        <v>27</v>
      </c>
      <c r="BD589">
        <v>42.33</v>
      </c>
      <c r="BE589">
        <v>216</v>
      </c>
      <c r="BF589">
        <v>88.2</v>
      </c>
      <c r="BG589">
        <v>29</v>
      </c>
      <c r="BH589">
        <v>27</v>
      </c>
      <c r="BI589">
        <v>25.96</v>
      </c>
      <c r="BJ589">
        <v>130</v>
      </c>
      <c r="BK589">
        <v>89.5</v>
      </c>
      <c r="BL589">
        <v>346</v>
      </c>
      <c r="BM589">
        <v>15.325900000000001</v>
      </c>
    </row>
    <row r="590" spans="1:65" x14ac:dyDescent="0.25">
      <c r="A590" t="s">
        <v>653</v>
      </c>
      <c r="B590" t="s">
        <v>1633</v>
      </c>
      <c r="C590" t="s">
        <v>2160</v>
      </c>
      <c r="D590" s="1">
        <v>45393</v>
      </c>
      <c r="E590" s="1">
        <v>45450</v>
      </c>
      <c r="F590" s="1">
        <v>45625</v>
      </c>
      <c r="G590" t="s">
        <v>2165</v>
      </c>
      <c r="I590" t="s">
        <v>2175</v>
      </c>
      <c r="J590">
        <v>67336</v>
      </c>
      <c r="K590">
        <v>2020</v>
      </c>
      <c r="L590">
        <v>16.5</v>
      </c>
      <c r="M590">
        <v>14.9</v>
      </c>
      <c r="N590">
        <v>8</v>
      </c>
      <c r="O590">
        <v>15500</v>
      </c>
      <c r="P590" t="s">
        <v>2178</v>
      </c>
      <c r="Q590">
        <v>35</v>
      </c>
      <c r="R590">
        <v>58</v>
      </c>
      <c r="S590">
        <v>67</v>
      </c>
      <c r="T590">
        <v>420</v>
      </c>
      <c r="U590" t="s">
        <v>2182</v>
      </c>
      <c r="W590" t="s">
        <v>2209</v>
      </c>
      <c r="X590" t="s">
        <v>2211</v>
      </c>
      <c r="Y590" t="s">
        <v>2213</v>
      </c>
      <c r="Z590" s="1">
        <v>45610</v>
      </c>
      <c r="AA590" s="1">
        <v>45631</v>
      </c>
      <c r="AB590" t="s">
        <v>2214</v>
      </c>
      <c r="AC590" t="s">
        <v>2209</v>
      </c>
      <c r="AD590" t="s">
        <v>2219</v>
      </c>
      <c r="AE590" t="s">
        <v>2166</v>
      </c>
      <c r="AF590" t="s">
        <v>2162</v>
      </c>
      <c r="AG590" t="s">
        <v>2222</v>
      </c>
      <c r="AH590">
        <v>160</v>
      </c>
      <c r="AI590">
        <v>181</v>
      </c>
      <c r="AJ590">
        <v>21</v>
      </c>
      <c r="AK590">
        <v>6</v>
      </c>
      <c r="AL590" t="s">
        <v>2223</v>
      </c>
      <c r="AM590">
        <v>0</v>
      </c>
      <c r="AN590" t="s">
        <v>2175</v>
      </c>
      <c r="AO590" t="s">
        <v>2175</v>
      </c>
      <c r="AP590" t="s">
        <v>2175</v>
      </c>
      <c r="AQ590">
        <v>245.85</v>
      </c>
      <c r="AR590">
        <v>3</v>
      </c>
      <c r="AS590">
        <v>3</v>
      </c>
      <c r="AT590">
        <v>3</v>
      </c>
      <c r="AU590">
        <v>3</v>
      </c>
      <c r="AV590">
        <v>3</v>
      </c>
      <c r="AW590">
        <v>4.8</v>
      </c>
      <c r="AX590">
        <v>4.2</v>
      </c>
      <c r="AY590">
        <v>4.5999999999999996</v>
      </c>
      <c r="AZ590">
        <v>1</v>
      </c>
      <c r="BA590">
        <v>3</v>
      </c>
      <c r="BB590">
        <v>45</v>
      </c>
      <c r="BC590">
        <v>25</v>
      </c>
      <c r="BD590">
        <v>39.200000000000003</v>
      </c>
      <c r="BE590">
        <v>186</v>
      </c>
      <c r="BF590">
        <v>87.1</v>
      </c>
      <c r="BG590">
        <v>40</v>
      </c>
      <c r="BH590">
        <v>25</v>
      </c>
      <c r="BI590">
        <v>34.72</v>
      </c>
      <c r="BJ590">
        <v>161</v>
      </c>
      <c r="BK590">
        <v>86.8</v>
      </c>
      <c r="BL590">
        <v>303</v>
      </c>
      <c r="BM590">
        <v>14.4777</v>
      </c>
    </row>
    <row r="591" spans="1:65" x14ac:dyDescent="0.25">
      <c r="A591" t="s">
        <v>654</v>
      </c>
      <c r="B591" t="s">
        <v>1634</v>
      </c>
      <c r="C591" t="s">
        <v>2160</v>
      </c>
      <c r="D591" s="1">
        <v>45405</v>
      </c>
      <c r="E591" s="1">
        <v>45457</v>
      </c>
      <c r="F591" s="1">
        <v>45728</v>
      </c>
      <c r="G591" t="s">
        <v>2164</v>
      </c>
      <c r="I591" t="s">
        <v>2175</v>
      </c>
      <c r="J591">
        <v>83011</v>
      </c>
      <c r="K591">
        <v>2490</v>
      </c>
      <c r="L591">
        <v>17.2</v>
      </c>
      <c r="M591">
        <v>12.3</v>
      </c>
      <c r="N591">
        <v>7</v>
      </c>
      <c r="O591">
        <v>19992</v>
      </c>
      <c r="P591" t="s">
        <v>2178</v>
      </c>
      <c r="Q591">
        <v>46</v>
      </c>
      <c r="R591">
        <v>78</v>
      </c>
      <c r="S591">
        <v>126</v>
      </c>
      <c r="T591">
        <v>332</v>
      </c>
      <c r="U591" t="s">
        <v>2201</v>
      </c>
      <c r="W591" t="s">
        <v>2209</v>
      </c>
      <c r="X591" t="s">
        <v>2211</v>
      </c>
      <c r="Y591" t="s">
        <v>2213</v>
      </c>
      <c r="Z591" s="1">
        <v>45707</v>
      </c>
      <c r="AA591" s="1">
        <v>45727</v>
      </c>
      <c r="AB591" t="s">
        <v>2214</v>
      </c>
      <c r="AC591" t="s">
        <v>2209</v>
      </c>
      <c r="AD591" t="s">
        <v>2219</v>
      </c>
      <c r="AE591" t="s">
        <v>2165</v>
      </c>
      <c r="AF591" t="s">
        <v>2161</v>
      </c>
      <c r="AG591" t="s">
        <v>2222</v>
      </c>
      <c r="AH591">
        <v>250</v>
      </c>
      <c r="AI591">
        <v>270</v>
      </c>
      <c r="AJ591">
        <v>20</v>
      </c>
      <c r="AK591">
        <v>6</v>
      </c>
      <c r="AL591" t="s">
        <v>2223</v>
      </c>
      <c r="AM591">
        <v>0</v>
      </c>
      <c r="AN591" t="s">
        <v>2175</v>
      </c>
      <c r="AO591" t="s">
        <v>2175</v>
      </c>
      <c r="AP591" t="s">
        <v>2175</v>
      </c>
      <c r="AQ591">
        <v>211.56</v>
      </c>
      <c r="AR591">
        <v>3</v>
      </c>
      <c r="AS591">
        <v>3</v>
      </c>
      <c r="AT591">
        <v>3</v>
      </c>
      <c r="AU591">
        <v>3</v>
      </c>
      <c r="AV591">
        <v>3</v>
      </c>
      <c r="AW591">
        <v>4.5999999999999996</v>
      </c>
      <c r="AX591">
        <v>4.3</v>
      </c>
      <c r="AY591">
        <v>4.5</v>
      </c>
      <c r="AZ591">
        <v>1</v>
      </c>
      <c r="BA591">
        <v>3</v>
      </c>
      <c r="BB591">
        <v>40</v>
      </c>
      <c r="BC591">
        <v>25</v>
      </c>
      <c r="BD591">
        <v>34.72</v>
      </c>
      <c r="BE591">
        <v>161</v>
      </c>
      <c r="BF591">
        <v>86.8</v>
      </c>
      <c r="BG591">
        <v>33</v>
      </c>
      <c r="BH591">
        <v>25</v>
      </c>
      <c r="BI591">
        <v>28.64</v>
      </c>
      <c r="BJ591">
        <v>133</v>
      </c>
      <c r="BK591">
        <v>86.8</v>
      </c>
      <c r="BL591">
        <v>310</v>
      </c>
      <c r="BM591">
        <v>20.6187</v>
      </c>
    </row>
    <row r="592" spans="1:65" x14ac:dyDescent="0.25">
      <c r="A592" t="s">
        <v>655</v>
      </c>
      <c r="B592" t="s">
        <v>1635</v>
      </c>
      <c r="C592" t="s">
        <v>2157</v>
      </c>
      <c r="D592" s="1">
        <v>45377</v>
      </c>
      <c r="E592" s="1">
        <v>45431</v>
      </c>
      <c r="F592" s="1">
        <v>45629</v>
      </c>
      <c r="G592" t="s">
        <v>2161</v>
      </c>
      <c r="I592" t="s">
        <v>2175</v>
      </c>
      <c r="J592">
        <v>77967</v>
      </c>
      <c r="K592">
        <v>2339</v>
      </c>
      <c r="L592">
        <v>11.5</v>
      </c>
      <c r="M592">
        <v>9.5</v>
      </c>
      <c r="N592">
        <v>7</v>
      </c>
      <c r="O592">
        <v>19611</v>
      </c>
      <c r="P592" t="s">
        <v>2178</v>
      </c>
      <c r="Q592">
        <v>40</v>
      </c>
      <c r="R592">
        <v>64</v>
      </c>
      <c r="S592">
        <v>84</v>
      </c>
      <c r="T592">
        <v>414</v>
      </c>
      <c r="U592" t="s">
        <v>2180</v>
      </c>
      <c r="W592" t="s">
        <v>2209</v>
      </c>
      <c r="X592" t="s">
        <v>2211</v>
      </c>
      <c r="Y592" t="s">
        <v>2213</v>
      </c>
      <c r="Z592" s="1">
        <v>45619</v>
      </c>
      <c r="AA592" s="1">
        <v>45635</v>
      </c>
      <c r="AB592" t="s">
        <v>2215</v>
      </c>
      <c r="AC592" t="s">
        <v>2208</v>
      </c>
      <c r="AD592" t="s">
        <v>2219</v>
      </c>
      <c r="AE592" t="s">
        <v>2163</v>
      </c>
      <c r="AF592" t="s">
        <v>2165</v>
      </c>
      <c r="AG592" t="s">
        <v>2222</v>
      </c>
      <c r="AH592">
        <v>188</v>
      </c>
      <c r="AI592">
        <v>204</v>
      </c>
      <c r="AJ592">
        <v>16</v>
      </c>
      <c r="AK592">
        <v>5</v>
      </c>
      <c r="AL592" t="s">
        <v>2224</v>
      </c>
      <c r="AM592">
        <v>0</v>
      </c>
      <c r="AN592" t="s">
        <v>2177</v>
      </c>
      <c r="AO592" t="s">
        <v>2175</v>
      </c>
      <c r="AP592" t="s">
        <v>2175</v>
      </c>
      <c r="AQ592">
        <v>109.25</v>
      </c>
      <c r="AR592">
        <v>3</v>
      </c>
      <c r="AS592">
        <v>2</v>
      </c>
      <c r="AT592">
        <v>3</v>
      </c>
      <c r="AU592">
        <v>3</v>
      </c>
      <c r="AV592">
        <v>2.666666666666667</v>
      </c>
      <c r="AW592">
        <v>4.4000000000000004</v>
      </c>
      <c r="AX592">
        <v>4.5999999999999996</v>
      </c>
      <c r="AY592">
        <v>4.3</v>
      </c>
      <c r="AZ592">
        <v>3</v>
      </c>
      <c r="BA592">
        <v>3</v>
      </c>
      <c r="BB592">
        <v>38</v>
      </c>
      <c r="BC592">
        <v>27</v>
      </c>
      <c r="BD592">
        <v>33.33</v>
      </c>
      <c r="BE592">
        <v>171</v>
      </c>
      <c r="BF592">
        <v>87.7</v>
      </c>
      <c r="BG592">
        <v>33</v>
      </c>
      <c r="BH592">
        <v>27</v>
      </c>
      <c r="BI592">
        <v>28.96</v>
      </c>
      <c r="BJ592">
        <v>147</v>
      </c>
      <c r="BK592">
        <v>87.8</v>
      </c>
      <c r="BL592">
        <v>329</v>
      </c>
      <c r="BM592">
        <v>16.883299999999998</v>
      </c>
    </row>
    <row r="593" spans="1:65" x14ac:dyDescent="0.25">
      <c r="A593" t="s">
        <v>656</v>
      </c>
      <c r="B593" t="s">
        <v>1636</v>
      </c>
      <c r="C593" t="s">
        <v>2158</v>
      </c>
      <c r="D593" s="1">
        <v>45301</v>
      </c>
      <c r="E593" s="1">
        <v>45325</v>
      </c>
      <c r="F593" s="1">
        <v>45524</v>
      </c>
      <c r="G593" t="s">
        <v>2163</v>
      </c>
      <c r="I593" t="s">
        <v>2175</v>
      </c>
      <c r="J593">
        <v>83797</v>
      </c>
      <c r="K593">
        <v>2513</v>
      </c>
      <c r="L593">
        <v>13.3</v>
      </c>
      <c r="M593">
        <v>16.399999999999999</v>
      </c>
      <c r="N593">
        <v>7</v>
      </c>
      <c r="O593">
        <v>16928</v>
      </c>
      <c r="P593" t="s">
        <v>2178</v>
      </c>
      <c r="Q593">
        <v>46</v>
      </c>
      <c r="R593">
        <v>62</v>
      </c>
      <c r="S593">
        <v>77</v>
      </c>
      <c r="T593">
        <v>452</v>
      </c>
      <c r="U593" t="s">
        <v>2207</v>
      </c>
      <c r="W593" t="s">
        <v>2209</v>
      </c>
      <c r="X593" t="s">
        <v>2211</v>
      </c>
      <c r="Y593" t="s">
        <v>2213</v>
      </c>
      <c r="Z593" s="1">
        <v>45510</v>
      </c>
      <c r="AA593" s="1">
        <v>45539</v>
      </c>
      <c r="AB593" t="s">
        <v>2214</v>
      </c>
      <c r="AC593" t="s">
        <v>2209</v>
      </c>
      <c r="AD593" t="s">
        <v>2219</v>
      </c>
      <c r="AE593" t="s">
        <v>2163</v>
      </c>
      <c r="AF593" t="s">
        <v>2164</v>
      </c>
      <c r="AG593" t="s">
        <v>2222</v>
      </c>
      <c r="AH593">
        <v>185</v>
      </c>
      <c r="AI593">
        <v>214</v>
      </c>
      <c r="AJ593">
        <v>29</v>
      </c>
      <c r="AK593">
        <v>2</v>
      </c>
      <c r="AL593" t="s">
        <v>2228</v>
      </c>
      <c r="AM593">
        <v>0</v>
      </c>
      <c r="AN593" t="s">
        <v>2175</v>
      </c>
      <c r="AO593" t="s">
        <v>2175</v>
      </c>
      <c r="AP593" t="s">
        <v>2175</v>
      </c>
      <c r="AQ593">
        <v>218.12</v>
      </c>
      <c r="AR593">
        <v>3</v>
      </c>
      <c r="AS593">
        <v>3</v>
      </c>
      <c r="AT593">
        <v>3</v>
      </c>
      <c r="AU593">
        <v>3</v>
      </c>
      <c r="AV593">
        <v>3</v>
      </c>
      <c r="AW593">
        <v>4.4000000000000004</v>
      </c>
      <c r="AX593">
        <v>4.5</v>
      </c>
      <c r="AY593">
        <v>4.4000000000000004</v>
      </c>
      <c r="AZ593">
        <v>2</v>
      </c>
      <c r="BA593">
        <v>3</v>
      </c>
      <c r="BB593">
        <v>30</v>
      </c>
      <c r="BC593">
        <v>24</v>
      </c>
      <c r="BD593">
        <v>26.21</v>
      </c>
      <c r="BE593">
        <v>116</v>
      </c>
      <c r="BF593">
        <v>87.4</v>
      </c>
      <c r="BG593">
        <v>30</v>
      </c>
      <c r="BH593">
        <v>24</v>
      </c>
      <c r="BI593">
        <v>26.21</v>
      </c>
      <c r="BJ593">
        <v>116</v>
      </c>
      <c r="BK593">
        <v>87.4</v>
      </c>
      <c r="BL593">
        <v>222</v>
      </c>
      <c r="BM593">
        <v>30.088699999999999</v>
      </c>
    </row>
    <row r="594" spans="1:65" x14ac:dyDescent="0.25">
      <c r="A594" t="s">
        <v>657</v>
      </c>
      <c r="B594" t="s">
        <v>1637</v>
      </c>
      <c r="C594" t="s">
        <v>2160</v>
      </c>
      <c r="D594" s="1">
        <v>45243</v>
      </c>
      <c r="E594" s="1">
        <v>45299</v>
      </c>
      <c r="F594" s="1">
        <v>45468</v>
      </c>
      <c r="G594" t="s">
        <v>2161</v>
      </c>
      <c r="I594" t="s">
        <v>2175</v>
      </c>
      <c r="J594">
        <v>59652</v>
      </c>
      <c r="K594">
        <v>1789</v>
      </c>
      <c r="L594">
        <v>12</v>
      </c>
      <c r="M594">
        <v>11.1</v>
      </c>
      <c r="N594">
        <v>8</v>
      </c>
      <c r="O594">
        <v>16340</v>
      </c>
      <c r="P594" t="s">
        <v>2178</v>
      </c>
      <c r="Q594">
        <v>35</v>
      </c>
      <c r="R594">
        <v>46</v>
      </c>
      <c r="S594">
        <v>69</v>
      </c>
      <c r="T594">
        <v>397</v>
      </c>
      <c r="U594" t="s">
        <v>2207</v>
      </c>
      <c r="W594" t="s">
        <v>2209</v>
      </c>
      <c r="X594" t="s">
        <v>2211</v>
      </c>
      <c r="Y594" t="s">
        <v>2213</v>
      </c>
      <c r="Z594" s="1">
        <v>45449</v>
      </c>
      <c r="AA594" s="1">
        <v>45477</v>
      </c>
      <c r="AB594" t="s">
        <v>2214</v>
      </c>
      <c r="AC594" t="s">
        <v>2209</v>
      </c>
      <c r="AD594" t="s">
        <v>2219</v>
      </c>
      <c r="AE594" t="s">
        <v>2163</v>
      </c>
      <c r="AF594" t="s">
        <v>2164</v>
      </c>
      <c r="AG594" t="s">
        <v>2222</v>
      </c>
      <c r="AH594">
        <v>150</v>
      </c>
      <c r="AI594">
        <v>178</v>
      </c>
      <c r="AJ594">
        <v>28</v>
      </c>
      <c r="AK594">
        <v>1</v>
      </c>
      <c r="AL594" t="s">
        <v>2233</v>
      </c>
      <c r="AM594">
        <v>0</v>
      </c>
      <c r="AN594" t="s">
        <v>2175</v>
      </c>
      <c r="AO594" t="s">
        <v>2175</v>
      </c>
      <c r="AP594" t="s">
        <v>2175</v>
      </c>
      <c r="AQ594">
        <v>133.19999999999999</v>
      </c>
      <c r="AR594">
        <v>3</v>
      </c>
      <c r="AS594">
        <v>3</v>
      </c>
      <c r="AT594">
        <v>3</v>
      </c>
      <c r="AU594">
        <v>3</v>
      </c>
      <c r="AV594">
        <v>3</v>
      </c>
      <c r="AW594">
        <v>4.4000000000000004</v>
      </c>
      <c r="AX594">
        <v>4.5</v>
      </c>
      <c r="AY594">
        <v>4.3</v>
      </c>
      <c r="AZ594">
        <v>1</v>
      </c>
      <c r="BA594">
        <v>3</v>
      </c>
      <c r="BB594">
        <v>40</v>
      </c>
      <c r="BC594">
        <v>27</v>
      </c>
      <c r="BD594">
        <v>34.93</v>
      </c>
      <c r="BE594">
        <v>178</v>
      </c>
      <c r="BF594">
        <v>87.3</v>
      </c>
      <c r="BG594">
        <v>33</v>
      </c>
      <c r="BH594">
        <v>27</v>
      </c>
      <c r="BI594">
        <v>28.81</v>
      </c>
      <c r="BJ594">
        <v>146</v>
      </c>
      <c r="BK594">
        <v>87.3</v>
      </c>
      <c r="BL594">
        <v>310</v>
      </c>
      <c r="BM594">
        <v>12.4094</v>
      </c>
    </row>
    <row r="595" spans="1:65" x14ac:dyDescent="0.25">
      <c r="A595" t="s">
        <v>658</v>
      </c>
      <c r="B595" t="s">
        <v>1638</v>
      </c>
      <c r="C595" t="s">
        <v>2160</v>
      </c>
      <c r="D595" s="1">
        <v>45545</v>
      </c>
      <c r="E595" s="1">
        <v>45581</v>
      </c>
      <c r="F595" s="1">
        <v>45728</v>
      </c>
      <c r="G595" t="s">
        <v>2161</v>
      </c>
      <c r="I595" t="s">
        <v>2175</v>
      </c>
      <c r="J595">
        <v>61313</v>
      </c>
      <c r="K595">
        <v>1839</v>
      </c>
      <c r="L595">
        <v>17.899999999999999</v>
      </c>
      <c r="M595">
        <v>13.5</v>
      </c>
      <c r="N595">
        <v>6</v>
      </c>
      <c r="O595">
        <v>16154</v>
      </c>
      <c r="P595" t="s">
        <v>2178</v>
      </c>
      <c r="Q595">
        <v>32</v>
      </c>
      <c r="R595">
        <v>49</v>
      </c>
      <c r="S595">
        <v>53</v>
      </c>
      <c r="T595">
        <v>457</v>
      </c>
      <c r="U595" t="s">
        <v>2182</v>
      </c>
      <c r="W595" t="s">
        <v>2209</v>
      </c>
      <c r="X595" t="s">
        <v>2211</v>
      </c>
      <c r="Y595" t="s">
        <v>2213</v>
      </c>
      <c r="Z595" s="1">
        <v>45715</v>
      </c>
      <c r="AA595" s="1">
        <v>45744</v>
      </c>
      <c r="AB595" t="s">
        <v>2214</v>
      </c>
      <c r="AC595" t="s">
        <v>2209</v>
      </c>
      <c r="AD595" t="s">
        <v>2219</v>
      </c>
      <c r="AE595" t="s">
        <v>2166</v>
      </c>
      <c r="AF595" t="s">
        <v>2162</v>
      </c>
      <c r="AG595" t="s">
        <v>2222</v>
      </c>
      <c r="AH595">
        <v>134</v>
      </c>
      <c r="AI595">
        <v>163</v>
      </c>
      <c r="AJ595">
        <v>29</v>
      </c>
      <c r="AK595">
        <v>10</v>
      </c>
      <c r="AL595" t="s">
        <v>2230</v>
      </c>
      <c r="AM595">
        <v>1</v>
      </c>
      <c r="AN595" t="s">
        <v>2175</v>
      </c>
      <c r="AO595" t="s">
        <v>2177</v>
      </c>
      <c r="AP595" t="s">
        <v>2175</v>
      </c>
      <c r="AQ595">
        <v>241.65</v>
      </c>
      <c r="AR595">
        <v>3</v>
      </c>
      <c r="AS595">
        <v>3</v>
      </c>
      <c r="AT595">
        <v>2</v>
      </c>
      <c r="AU595">
        <v>3</v>
      </c>
      <c r="AV595">
        <v>2.666666666666667</v>
      </c>
      <c r="AW595">
        <v>4.8</v>
      </c>
      <c r="AX595">
        <v>4.2</v>
      </c>
      <c r="AY595">
        <v>4.3</v>
      </c>
      <c r="AZ595">
        <v>1</v>
      </c>
      <c r="BA595">
        <v>3</v>
      </c>
      <c r="BB595">
        <v>50</v>
      </c>
      <c r="BC595">
        <v>27</v>
      </c>
      <c r="BD595">
        <v>42.44</v>
      </c>
      <c r="BE595">
        <v>220</v>
      </c>
      <c r="BF595">
        <v>84.9</v>
      </c>
      <c r="BG595">
        <v>34</v>
      </c>
      <c r="BH595">
        <v>27</v>
      </c>
      <c r="BI595">
        <v>29.93</v>
      </c>
      <c r="BJ595">
        <v>149</v>
      </c>
      <c r="BK595">
        <v>88</v>
      </c>
      <c r="BL595">
        <v>328</v>
      </c>
      <c r="BM595">
        <v>10.3203</v>
      </c>
    </row>
    <row r="596" spans="1:65" x14ac:dyDescent="0.25">
      <c r="A596" t="s">
        <v>659</v>
      </c>
      <c r="B596" t="s">
        <v>1639</v>
      </c>
      <c r="C596" t="s">
        <v>2159</v>
      </c>
      <c r="D596" s="1">
        <v>45435</v>
      </c>
      <c r="E596" s="1">
        <v>45475</v>
      </c>
      <c r="F596" s="1">
        <v>45708</v>
      </c>
      <c r="G596" t="s">
        <v>2164</v>
      </c>
      <c r="I596" t="s">
        <v>2175</v>
      </c>
      <c r="J596">
        <v>82716</v>
      </c>
      <c r="K596">
        <v>2481</v>
      </c>
      <c r="L596">
        <v>15.6</v>
      </c>
      <c r="M596">
        <v>16.3</v>
      </c>
      <c r="N596">
        <v>8</v>
      </c>
      <c r="O596">
        <v>17673</v>
      </c>
      <c r="P596" t="s">
        <v>2178</v>
      </c>
      <c r="Q596">
        <v>55</v>
      </c>
      <c r="R596">
        <v>86</v>
      </c>
      <c r="S596">
        <v>70</v>
      </c>
      <c r="T596">
        <v>392</v>
      </c>
      <c r="U596" t="s">
        <v>2201</v>
      </c>
      <c r="W596" t="s">
        <v>2209</v>
      </c>
      <c r="X596" t="s">
        <v>2211</v>
      </c>
      <c r="Y596" t="s">
        <v>2213</v>
      </c>
      <c r="Z596" s="1">
        <v>45686</v>
      </c>
      <c r="AA596" s="1">
        <v>45702</v>
      </c>
      <c r="AB596" t="s">
        <v>2214</v>
      </c>
      <c r="AC596" t="s">
        <v>2209</v>
      </c>
      <c r="AD596" t="s">
        <v>2219</v>
      </c>
      <c r="AE596" t="s">
        <v>2165</v>
      </c>
      <c r="AF596" t="s">
        <v>2161</v>
      </c>
      <c r="AG596" t="s">
        <v>2222</v>
      </c>
      <c r="AH596">
        <v>211</v>
      </c>
      <c r="AI596">
        <v>227</v>
      </c>
      <c r="AJ596">
        <v>16</v>
      </c>
      <c r="AK596">
        <v>7</v>
      </c>
      <c r="AL596" t="s">
        <v>2226</v>
      </c>
      <c r="AM596">
        <v>0</v>
      </c>
      <c r="AN596" t="s">
        <v>2175</v>
      </c>
      <c r="AO596" t="s">
        <v>2175</v>
      </c>
      <c r="AP596" t="s">
        <v>2175</v>
      </c>
      <c r="AQ596">
        <v>254.28</v>
      </c>
      <c r="AR596">
        <v>3</v>
      </c>
      <c r="AS596">
        <v>3</v>
      </c>
      <c r="AT596">
        <v>3</v>
      </c>
      <c r="AU596">
        <v>3</v>
      </c>
      <c r="AV596">
        <v>3</v>
      </c>
      <c r="AW596">
        <v>4.5999999999999996</v>
      </c>
      <c r="AX596">
        <v>4.3</v>
      </c>
      <c r="AY596">
        <v>4.5</v>
      </c>
      <c r="AZ596">
        <v>0</v>
      </c>
      <c r="BA596">
        <v>3</v>
      </c>
      <c r="BB596">
        <v>38</v>
      </c>
      <c r="BC596">
        <v>27</v>
      </c>
      <c r="BD596">
        <v>34</v>
      </c>
      <c r="BE596">
        <v>174</v>
      </c>
      <c r="BF596">
        <v>89.5</v>
      </c>
      <c r="BG596">
        <v>29</v>
      </c>
      <c r="BH596">
        <v>27</v>
      </c>
      <c r="BI596">
        <v>25.96</v>
      </c>
      <c r="BJ596">
        <v>130</v>
      </c>
      <c r="BK596">
        <v>89.5</v>
      </c>
      <c r="BL596">
        <v>303</v>
      </c>
      <c r="BM596">
        <v>17.602900000000002</v>
      </c>
    </row>
    <row r="597" spans="1:65" x14ac:dyDescent="0.25">
      <c r="A597" t="s">
        <v>660</v>
      </c>
      <c r="B597" t="s">
        <v>1640</v>
      </c>
      <c r="C597" t="s">
        <v>2160</v>
      </c>
      <c r="D597" s="1">
        <v>45482</v>
      </c>
      <c r="E597" s="1">
        <v>45518</v>
      </c>
      <c r="F597" s="1">
        <v>45792</v>
      </c>
      <c r="G597" t="s">
        <v>2164</v>
      </c>
      <c r="I597" t="s">
        <v>2175</v>
      </c>
      <c r="J597">
        <v>81132</v>
      </c>
      <c r="K597">
        <v>2433</v>
      </c>
      <c r="L597">
        <v>13.8</v>
      </c>
      <c r="M597">
        <v>9.4</v>
      </c>
      <c r="N597">
        <v>6</v>
      </c>
      <c r="O597">
        <v>13134</v>
      </c>
      <c r="P597" t="s">
        <v>2178</v>
      </c>
      <c r="Q597">
        <v>71</v>
      </c>
      <c r="R597">
        <v>112</v>
      </c>
      <c r="S597">
        <v>81</v>
      </c>
      <c r="T597">
        <v>307</v>
      </c>
      <c r="U597" t="s">
        <v>2185</v>
      </c>
      <c r="W597" t="s">
        <v>2209</v>
      </c>
      <c r="X597" t="s">
        <v>2211</v>
      </c>
      <c r="Y597" t="s">
        <v>2213</v>
      </c>
      <c r="Z597" s="1">
        <v>45782</v>
      </c>
      <c r="AA597" s="1">
        <v>45798</v>
      </c>
      <c r="AB597" t="s">
        <v>2215</v>
      </c>
      <c r="AC597" t="s">
        <v>2208</v>
      </c>
      <c r="AD597" t="s">
        <v>2219</v>
      </c>
      <c r="AE597" t="s">
        <v>2163</v>
      </c>
      <c r="AF597" t="s">
        <v>2161</v>
      </c>
      <c r="AG597" t="s">
        <v>2222</v>
      </c>
      <c r="AH597">
        <v>264</v>
      </c>
      <c r="AI597">
        <v>280</v>
      </c>
      <c r="AJ597">
        <v>16</v>
      </c>
      <c r="AK597">
        <v>8</v>
      </c>
      <c r="AL597" t="s">
        <v>2232</v>
      </c>
      <c r="AM597">
        <v>0</v>
      </c>
      <c r="AN597" t="s">
        <v>2177</v>
      </c>
      <c r="AO597" t="s">
        <v>2177</v>
      </c>
      <c r="AP597" t="s">
        <v>2177</v>
      </c>
      <c r="AQ597">
        <v>129.72</v>
      </c>
      <c r="AR597">
        <v>3</v>
      </c>
      <c r="AS597">
        <v>2</v>
      </c>
      <c r="AT597">
        <v>2</v>
      </c>
      <c r="AU597">
        <v>2</v>
      </c>
      <c r="AV597">
        <v>2</v>
      </c>
      <c r="AW597">
        <v>4.4000000000000004</v>
      </c>
      <c r="AX597">
        <v>4.3</v>
      </c>
      <c r="AY597">
        <v>4.5</v>
      </c>
      <c r="AZ597">
        <v>1</v>
      </c>
      <c r="BA597">
        <v>3</v>
      </c>
      <c r="BB597">
        <v>37</v>
      </c>
      <c r="BC597">
        <v>26</v>
      </c>
      <c r="BD597">
        <v>32.880000000000003</v>
      </c>
      <c r="BE597">
        <v>161</v>
      </c>
      <c r="BF597">
        <v>88.9</v>
      </c>
      <c r="BG597">
        <v>27</v>
      </c>
      <c r="BH597">
        <v>26</v>
      </c>
      <c r="BI597">
        <v>23.77</v>
      </c>
      <c r="BJ597">
        <v>112</v>
      </c>
      <c r="BK597">
        <v>88</v>
      </c>
      <c r="BL597">
        <v>313</v>
      </c>
      <c r="BM597">
        <v>19.377099999999999</v>
      </c>
    </row>
    <row r="598" spans="1:65" x14ac:dyDescent="0.25">
      <c r="A598" t="s">
        <v>661</v>
      </c>
      <c r="B598" t="s">
        <v>1641</v>
      </c>
      <c r="C598" t="s">
        <v>2158</v>
      </c>
      <c r="D598" s="1">
        <v>45422</v>
      </c>
      <c r="E598" s="1">
        <v>45475</v>
      </c>
      <c r="F598" s="1">
        <v>45675</v>
      </c>
      <c r="G598" t="s">
        <v>2164</v>
      </c>
      <c r="I598" t="s">
        <v>2175</v>
      </c>
      <c r="J598">
        <v>74218</v>
      </c>
      <c r="K598">
        <v>2226</v>
      </c>
      <c r="L598">
        <v>12.8</v>
      </c>
      <c r="M598">
        <v>13.4</v>
      </c>
      <c r="N598">
        <v>8</v>
      </c>
      <c r="O598">
        <v>18207</v>
      </c>
      <c r="P598" t="s">
        <v>2178</v>
      </c>
      <c r="Q598">
        <v>37</v>
      </c>
      <c r="R598">
        <v>55</v>
      </c>
      <c r="S598">
        <v>94</v>
      </c>
      <c r="T598">
        <v>399</v>
      </c>
      <c r="U598" t="s">
        <v>2189</v>
      </c>
      <c r="W598" t="s">
        <v>2209</v>
      </c>
      <c r="X598" t="s">
        <v>2211</v>
      </c>
      <c r="Y598" t="s">
        <v>2213</v>
      </c>
      <c r="Z598" s="1">
        <v>45661</v>
      </c>
      <c r="AA598" s="1">
        <v>45686</v>
      </c>
      <c r="AB598" t="s">
        <v>2214</v>
      </c>
      <c r="AC598" t="s">
        <v>2209</v>
      </c>
      <c r="AD598" t="s">
        <v>2219</v>
      </c>
      <c r="AE598" t="s">
        <v>2165</v>
      </c>
      <c r="AF598" t="s">
        <v>2166</v>
      </c>
      <c r="AG598" t="s">
        <v>2222</v>
      </c>
      <c r="AH598">
        <v>186</v>
      </c>
      <c r="AI598">
        <v>211</v>
      </c>
      <c r="AJ598">
        <v>25</v>
      </c>
      <c r="AK598">
        <v>7</v>
      </c>
      <c r="AL598" t="s">
        <v>2226</v>
      </c>
      <c r="AM598">
        <v>0</v>
      </c>
      <c r="AN598" t="s">
        <v>2175</v>
      </c>
      <c r="AO598" t="s">
        <v>2175</v>
      </c>
      <c r="AP598" t="s">
        <v>2175</v>
      </c>
      <c r="AQ598">
        <v>171.52</v>
      </c>
      <c r="AR598">
        <v>3</v>
      </c>
      <c r="AS598">
        <v>3</v>
      </c>
      <c r="AT598">
        <v>3</v>
      </c>
      <c r="AU598">
        <v>3</v>
      </c>
      <c r="AV598">
        <v>3</v>
      </c>
      <c r="AW598">
        <v>4.5999999999999996</v>
      </c>
      <c r="AX598">
        <v>4.8</v>
      </c>
      <c r="AY598">
        <v>4.5</v>
      </c>
      <c r="AZ598">
        <v>2</v>
      </c>
      <c r="BA598">
        <v>3</v>
      </c>
      <c r="BB598">
        <v>38</v>
      </c>
      <c r="BC598">
        <v>27</v>
      </c>
      <c r="BD598">
        <v>34</v>
      </c>
      <c r="BE598">
        <v>174</v>
      </c>
      <c r="BF598">
        <v>89.5</v>
      </c>
      <c r="BG598">
        <v>29</v>
      </c>
      <c r="BH598">
        <v>27</v>
      </c>
      <c r="BI598">
        <v>25.96</v>
      </c>
      <c r="BJ598">
        <v>130</v>
      </c>
      <c r="BK598">
        <v>89.5</v>
      </c>
      <c r="BL598">
        <v>390</v>
      </c>
      <c r="BM598">
        <v>15.7944</v>
      </c>
    </row>
    <row r="599" spans="1:65" x14ac:dyDescent="0.25">
      <c r="A599" t="s">
        <v>662</v>
      </c>
      <c r="B599" t="s">
        <v>1642</v>
      </c>
      <c r="C599" t="s">
        <v>2158</v>
      </c>
      <c r="D599" s="1">
        <v>45286</v>
      </c>
      <c r="E599" s="1">
        <v>45324</v>
      </c>
      <c r="F599" s="1">
        <v>45516</v>
      </c>
      <c r="G599" t="s">
        <v>2163</v>
      </c>
      <c r="I599" t="s">
        <v>2175</v>
      </c>
      <c r="J599">
        <v>58630</v>
      </c>
      <c r="K599">
        <v>1758</v>
      </c>
      <c r="L599">
        <v>9.1999999999999993</v>
      </c>
      <c r="M599">
        <v>15.9</v>
      </c>
      <c r="N599">
        <v>6</v>
      </c>
      <c r="O599">
        <v>12557</v>
      </c>
      <c r="P599" t="s">
        <v>2178</v>
      </c>
      <c r="Q599">
        <v>47</v>
      </c>
      <c r="R599">
        <v>64</v>
      </c>
      <c r="S599">
        <v>65</v>
      </c>
      <c r="T599">
        <v>333</v>
      </c>
      <c r="U599" t="s">
        <v>2179</v>
      </c>
      <c r="W599" t="s">
        <v>2209</v>
      </c>
      <c r="X599" t="s">
        <v>2211</v>
      </c>
      <c r="Y599" t="s">
        <v>2213</v>
      </c>
      <c r="Z599" s="1">
        <v>45500</v>
      </c>
      <c r="AA599" s="1">
        <v>45524</v>
      </c>
      <c r="AB599" t="s">
        <v>2214</v>
      </c>
      <c r="AC599" t="s">
        <v>2209</v>
      </c>
      <c r="AD599" t="s">
        <v>2219</v>
      </c>
      <c r="AE599" t="s">
        <v>2165</v>
      </c>
      <c r="AF599" t="s">
        <v>2162</v>
      </c>
      <c r="AG599" t="s">
        <v>2222</v>
      </c>
      <c r="AH599">
        <v>176</v>
      </c>
      <c r="AI599">
        <v>200</v>
      </c>
      <c r="AJ599">
        <v>24</v>
      </c>
      <c r="AK599">
        <v>2</v>
      </c>
      <c r="AL599" t="s">
        <v>2228</v>
      </c>
      <c r="AM599">
        <v>0</v>
      </c>
      <c r="AN599" t="s">
        <v>2175</v>
      </c>
      <c r="AO599" t="s">
        <v>2177</v>
      </c>
      <c r="AP599" t="s">
        <v>2177</v>
      </c>
      <c r="AQ599">
        <v>146.28</v>
      </c>
      <c r="AR599">
        <v>3</v>
      </c>
      <c r="AS599">
        <v>3</v>
      </c>
      <c r="AT599">
        <v>2</v>
      </c>
      <c r="AU599">
        <v>2</v>
      </c>
      <c r="AV599">
        <v>2.333333333333333</v>
      </c>
      <c r="AW599">
        <v>4.5999999999999996</v>
      </c>
      <c r="AX599">
        <v>4.2</v>
      </c>
      <c r="AY599">
        <v>4.4000000000000004</v>
      </c>
      <c r="AZ599">
        <v>2</v>
      </c>
      <c r="BA599">
        <v>3</v>
      </c>
      <c r="BB599">
        <v>36</v>
      </c>
      <c r="BC599">
        <v>24</v>
      </c>
      <c r="BD599">
        <v>31.79</v>
      </c>
      <c r="BE599">
        <v>142</v>
      </c>
      <c r="BF599">
        <v>88.3</v>
      </c>
      <c r="BG599">
        <v>30</v>
      </c>
      <c r="BH599">
        <v>24</v>
      </c>
      <c r="BI599">
        <v>26.21</v>
      </c>
      <c r="BJ599">
        <v>116</v>
      </c>
      <c r="BK599">
        <v>87.4</v>
      </c>
      <c r="BL599">
        <v>278</v>
      </c>
      <c r="BM599">
        <v>17.198599999999999</v>
      </c>
    </row>
    <row r="600" spans="1:65" x14ac:dyDescent="0.25">
      <c r="A600" t="s">
        <v>663</v>
      </c>
      <c r="B600" t="s">
        <v>1643</v>
      </c>
      <c r="C600" t="s">
        <v>2160</v>
      </c>
      <c r="D600" s="1">
        <v>45292</v>
      </c>
      <c r="E600" s="1">
        <v>45325</v>
      </c>
      <c r="F600" s="1">
        <v>45527</v>
      </c>
      <c r="G600" t="s">
        <v>2164</v>
      </c>
      <c r="I600" t="s">
        <v>2175</v>
      </c>
      <c r="J600">
        <v>62269</v>
      </c>
      <c r="K600">
        <v>1868</v>
      </c>
      <c r="L600">
        <v>14.1</v>
      </c>
      <c r="M600">
        <v>17.2</v>
      </c>
      <c r="N600">
        <v>7</v>
      </c>
      <c r="O600">
        <v>15536</v>
      </c>
      <c r="P600" t="s">
        <v>2178</v>
      </c>
      <c r="Q600">
        <v>43</v>
      </c>
      <c r="R600">
        <v>67</v>
      </c>
      <c r="S600">
        <v>68</v>
      </c>
      <c r="T600">
        <v>349</v>
      </c>
      <c r="U600" t="s">
        <v>2205</v>
      </c>
      <c r="W600" t="s">
        <v>2209</v>
      </c>
      <c r="X600" t="s">
        <v>2211</v>
      </c>
      <c r="Y600" t="s">
        <v>2213</v>
      </c>
      <c r="Z600" s="1">
        <v>45503</v>
      </c>
      <c r="AA600" s="1">
        <v>45520</v>
      </c>
      <c r="AB600" t="s">
        <v>2214</v>
      </c>
      <c r="AC600" t="s">
        <v>2209</v>
      </c>
      <c r="AD600" t="s">
        <v>2219</v>
      </c>
      <c r="AE600" t="s">
        <v>2165</v>
      </c>
      <c r="AF600" t="s">
        <v>2164</v>
      </c>
      <c r="AG600" t="s">
        <v>2222</v>
      </c>
      <c r="AH600">
        <v>178</v>
      </c>
      <c r="AI600">
        <v>195</v>
      </c>
      <c r="AJ600">
        <v>17</v>
      </c>
      <c r="AK600">
        <v>2</v>
      </c>
      <c r="AL600" t="s">
        <v>2228</v>
      </c>
      <c r="AM600">
        <v>0</v>
      </c>
      <c r="AN600" t="s">
        <v>2175</v>
      </c>
      <c r="AO600" t="s">
        <v>2175</v>
      </c>
      <c r="AP600" t="s">
        <v>2175</v>
      </c>
      <c r="AQ600">
        <v>242.52</v>
      </c>
      <c r="AR600">
        <v>3</v>
      </c>
      <c r="AS600">
        <v>3</v>
      </c>
      <c r="AT600">
        <v>3</v>
      </c>
      <c r="AU600">
        <v>3</v>
      </c>
      <c r="AV600">
        <v>3</v>
      </c>
      <c r="AW600">
        <v>4.5999999999999996</v>
      </c>
      <c r="AX600">
        <v>4.5</v>
      </c>
      <c r="AY600">
        <v>4.5</v>
      </c>
      <c r="AZ600">
        <v>1</v>
      </c>
      <c r="BA600">
        <v>3</v>
      </c>
      <c r="BB600">
        <v>36</v>
      </c>
      <c r="BC600">
        <v>24</v>
      </c>
      <c r="BD600">
        <v>31.79</v>
      </c>
      <c r="BE600">
        <v>142</v>
      </c>
      <c r="BF600">
        <v>88.3</v>
      </c>
      <c r="BG600">
        <v>27</v>
      </c>
      <c r="BH600">
        <v>24</v>
      </c>
      <c r="BI600">
        <v>24.04</v>
      </c>
      <c r="BJ600">
        <v>106</v>
      </c>
      <c r="BK600">
        <v>89</v>
      </c>
      <c r="BL600">
        <v>248</v>
      </c>
      <c r="BM600">
        <v>18.266100000000002</v>
      </c>
    </row>
    <row r="601" spans="1:65" x14ac:dyDescent="0.25">
      <c r="A601" t="s">
        <v>664</v>
      </c>
      <c r="B601" t="s">
        <v>1644</v>
      </c>
      <c r="C601" t="s">
        <v>2158</v>
      </c>
      <c r="D601" s="1">
        <v>45495</v>
      </c>
      <c r="E601" s="1">
        <v>45522</v>
      </c>
      <c r="F601" s="1">
        <v>45724</v>
      </c>
      <c r="G601" t="s">
        <v>2163</v>
      </c>
      <c r="I601" t="s">
        <v>2175</v>
      </c>
      <c r="J601">
        <v>73354</v>
      </c>
      <c r="K601">
        <v>2200</v>
      </c>
      <c r="L601">
        <v>10</v>
      </c>
      <c r="M601">
        <v>9.1</v>
      </c>
      <c r="N601">
        <v>6</v>
      </c>
      <c r="O601">
        <v>14384</v>
      </c>
      <c r="P601" t="s">
        <v>2178</v>
      </c>
      <c r="Q601">
        <v>41</v>
      </c>
      <c r="R601">
        <v>65</v>
      </c>
      <c r="S601">
        <v>84</v>
      </c>
      <c r="T601">
        <v>386</v>
      </c>
      <c r="U601" t="s">
        <v>2201</v>
      </c>
      <c r="W601" t="s">
        <v>2209</v>
      </c>
      <c r="X601" t="s">
        <v>2211</v>
      </c>
      <c r="Y601" t="s">
        <v>2213</v>
      </c>
      <c r="Z601" s="1">
        <v>45712</v>
      </c>
      <c r="AA601" s="1">
        <v>45727</v>
      </c>
      <c r="AB601" t="s">
        <v>2215</v>
      </c>
      <c r="AC601" t="s">
        <v>2208</v>
      </c>
      <c r="AD601" t="s">
        <v>2219</v>
      </c>
      <c r="AE601" t="s">
        <v>2165</v>
      </c>
      <c r="AF601" t="s">
        <v>2161</v>
      </c>
      <c r="AG601" t="s">
        <v>2222</v>
      </c>
      <c r="AH601">
        <v>190</v>
      </c>
      <c r="AI601">
        <v>205</v>
      </c>
      <c r="AJ601">
        <v>15</v>
      </c>
      <c r="AK601">
        <v>8</v>
      </c>
      <c r="AL601" t="s">
        <v>2232</v>
      </c>
      <c r="AM601">
        <v>0</v>
      </c>
      <c r="AN601" t="s">
        <v>2177</v>
      </c>
      <c r="AO601" t="s">
        <v>2177</v>
      </c>
      <c r="AP601" t="s">
        <v>2177</v>
      </c>
      <c r="AQ601">
        <v>91</v>
      </c>
      <c r="AR601">
        <v>3</v>
      </c>
      <c r="AS601">
        <v>2</v>
      </c>
      <c r="AT601">
        <v>2</v>
      </c>
      <c r="AU601">
        <v>2</v>
      </c>
      <c r="AV601">
        <v>2</v>
      </c>
      <c r="AW601">
        <v>4.5999999999999996</v>
      </c>
      <c r="AX601">
        <v>4.3</v>
      </c>
      <c r="AY601">
        <v>4.4000000000000004</v>
      </c>
      <c r="AZ601">
        <v>2</v>
      </c>
      <c r="BA601">
        <v>3</v>
      </c>
      <c r="BB601">
        <v>36</v>
      </c>
      <c r="BC601">
        <v>26</v>
      </c>
      <c r="BD601">
        <v>31.73</v>
      </c>
      <c r="BE601">
        <v>152</v>
      </c>
      <c r="BF601">
        <v>88.1</v>
      </c>
      <c r="BG601">
        <v>37</v>
      </c>
      <c r="BH601">
        <v>26</v>
      </c>
      <c r="BI601">
        <v>32.880000000000003</v>
      </c>
      <c r="BJ601">
        <v>161</v>
      </c>
      <c r="BK601">
        <v>88.9</v>
      </c>
      <c r="BL601">
        <v>304</v>
      </c>
      <c r="BM601">
        <v>18.5565</v>
      </c>
    </row>
    <row r="602" spans="1:65" x14ac:dyDescent="0.25">
      <c r="A602" t="s">
        <v>665</v>
      </c>
      <c r="B602" t="s">
        <v>1645</v>
      </c>
      <c r="C602" t="s">
        <v>2158</v>
      </c>
      <c r="D602" s="1">
        <v>45550</v>
      </c>
      <c r="E602" s="1">
        <v>45579</v>
      </c>
      <c r="F602" s="1">
        <v>45625</v>
      </c>
      <c r="G602" t="s">
        <v>2162</v>
      </c>
      <c r="I602" t="s">
        <v>2176</v>
      </c>
      <c r="J602">
        <v>2346</v>
      </c>
      <c r="K602">
        <v>70</v>
      </c>
      <c r="L602">
        <v>2.1</v>
      </c>
      <c r="M602">
        <v>4.9000000000000004</v>
      </c>
      <c r="N602">
        <v>2</v>
      </c>
      <c r="O602">
        <v>5778</v>
      </c>
      <c r="P602" t="s">
        <v>2176</v>
      </c>
      <c r="Q602">
        <v>2</v>
      </c>
      <c r="R602">
        <v>3</v>
      </c>
      <c r="S602">
        <v>4</v>
      </c>
      <c r="T602">
        <v>260</v>
      </c>
      <c r="U602" t="s">
        <v>2162</v>
      </c>
      <c r="W602" t="s">
        <v>2208</v>
      </c>
      <c r="X602" t="s">
        <v>2210</v>
      </c>
      <c r="Y602" t="s">
        <v>2212</v>
      </c>
      <c r="Z602" s="1">
        <v>45588</v>
      </c>
      <c r="AA602" s="1">
        <v>45603</v>
      </c>
      <c r="AB602" t="s">
        <v>2214</v>
      </c>
      <c r="AC602" t="s">
        <v>2209</v>
      </c>
      <c r="AD602" t="s">
        <v>2216</v>
      </c>
      <c r="AE602" t="s">
        <v>2162</v>
      </c>
      <c r="AG602" t="s">
        <v>2220</v>
      </c>
      <c r="AH602">
        <v>9</v>
      </c>
      <c r="AI602">
        <v>24</v>
      </c>
      <c r="AJ602">
        <v>15</v>
      </c>
      <c r="AK602">
        <v>10</v>
      </c>
      <c r="AL602" t="s">
        <v>2230</v>
      </c>
      <c r="AM602">
        <v>1</v>
      </c>
      <c r="AN602" t="s">
        <v>2176</v>
      </c>
      <c r="AO602" t="s">
        <v>2176</v>
      </c>
      <c r="AP602" t="s">
        <v>2176</v>
      </c>
      <c r="AQ602">
        <v>10.29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4.2</v>
      </c>
      <c r="AY602">
        <v>4.2</v>
      </c>
      <c r="AZ602">
        <v>2</v>
      </c>
      <c r="BA602">
        <v>1</v>
      </c>
      <c r="BB602">
        <v>25</v>
      </c>
      <c r="BC602">
        <v>27</v>
      </c>
      <c r="BD602">
        <v>21.89</v>
      </c>
      <c r="BE602">
        <v>108</v>
      </c>
      <c r="BF602">
        <v>87.6</v>
      </c>
      <c r="BG602">
        <v>25</v>
      </c>
      <c r="BH602">
        <v>27</v>
      </c>
      <c r="BI602">
        <v>21.89</v>
      </c>
      <c r="BJ602">
        <v>108</v>
      </c>
      <c r="BK602">
        <v>87.6</v>
      </c>
      <c r="BL602">
        <v>108</v>
      </c>
      <c r="BM602">
        <v>0.80430000000000001</v>
      </c>
    </row>
    <row r="603" spans="1:65" x14ac:dyDescent="0.25">
      <c r="A603" t="s">
        <v>666</v>
      </c>
      <c r="B603" t="s">
        <v>1646</v>
      </c>
      <c r="C603" t="s">
        <v>2160</v>
      </c>
      <c r="D603" s="1">
        <v>45293</v>
      </c>
      <c r="E603" s="1">
        <v>45352</v>
      </c>
      <c r="F603" s="1">
        <v>45373</v>
      </c>
      <c r="G603" t="s">
        <v>2162</v>
      </c>
      <c r="I603" t="s">
        <v>2176</v>
      </c>
      <c r="J603">
        <v>1276</v>
      </c>
      <c r="K603">
        <v>38</v>
      </c>
      <c r="L603">
        <v>3.3</v>
      </c>
      <c r="M603">
        <v>7.7</v>
      </c>
      <c r="N603">
        <v>1</v>
      </c>
      <c r="O603">
        <v>5114</v>
      </c>
      <c r="P603" t="s">
        <v>2176</v>
      </c>
      <c r="Q603">
        <v>1</v>
      </c>
      <c r="R603">
        <v>1</v>
      </c>
      <c r="S603">
        <v>2</v>
      </c>
      <c r="T603">
        <v>319</v>
      </c>
      <c r="U603" t="s">
        <v>2162</v>
      </c>
      <c r="W603" t="s">
        <v>2208</v>
      </c>
      <c r="X603" t="s">
        <v>2210</v>
      </c>
      <c r="Y603" t="s">
        <v>2212</v>
      </c>
      <c r="Z603" s="1">
        <v>45356</v>
      </c>
      <c r="AA603" s="1">
        <v>45370</v>
      </c>
      <c r="AB603" t="s">
        <v>2214</v>
      </c>
      <c r="AC603" t="s">
        <v>2209</v>
      </c>
      <c r="AD603" t="s">
        <v>2216</v>
      </c>
      <c r="AE603" t="s">
        <v>2162</v>
      </c>
      <c r="AG603" t="s">
        <v>2220</v>
      </c>
      <c r="AH603">
        <v>4</v>
      </c>
      <c r="AI603">
        <v>18</v>
      </c>
      <c r="AJ603">
        <v>14</v>
      </c>
      <c r="AK603">
        <v>3</v>
      </c>
      <c r="AL603" t="s">
        <v>2227</v>
      </c>
      <c r="AM603">
        <v>0</v>
      </c>
      <c r="AN603" t="s">
        <v>2176</v>
      </c>
      <c r="AO603" t="s">
        <v>2176</v>
      </c>
      <c r="AP603" t="s">
        <v>2176</v>
      </c>
      <c r="AQ603">
        <v>25.41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4.2</v>
      </c>
      <c r="AY603">
        <v>4.2</v>
      </c>
      <c r="AZ603">
        <v>1</v>
      </c>
      <c r="BA603">
        <v>1</v>
      </c>
      <c r="BB603">
        <v>31</v>
      </c>
      <c r="BC603">
        <v>26</v>
      </c>
      <c r="BD603">
        <v>27.27</v>
      </c>
      <c r="BE603">
        <v>130</v>
      </c>
      <c r="BF603">
        <v>88</v>
      </c>
      <c r="BG603">
        <v>31</v>
      </c>
      <c r="BH603">
        <v>26</v>
      </c>
      <c r="BI603">
        <v>27.27</v>
      </c>
      <c r="BJ603">
        <v>130</v>
      </c>
      <c r="BK603">
        <v>88</v>
      </c>
      <c r="BL603">
        <v>130</v>
      </c>
      <c r="BM603">
        <v>0.37740000000000001</v>
      </c>
    </row>
    <row r="604" spans="1:65" x14ac:dyDescent="0.25">
      <c r="A604" t="s">
        <v>667</v>
      </c>
      <c r="B604" t="s">
        <v>1647</v>
      </c>
      <c r="C604" t="s">
        <v>2158</v>
      </c>
      <c r="D604" s="1">
        <v>45247</v>
      </c>
      <c r="E604" s="1">
        <v>45302</v>
      </c>
      <c r="F604" s="1">
        <v>45336</v>
      </c>
      <c r="G604" t="s">
        <v>2162</v>
      </c>
      <c r="I604" t="s">
        <v>2174</v>
      </c>
      <c r="J604">
        <v>3694</v>
      </c>
      <c r="K604">
        <v>110</v>
      </c>
      <c r="L604">
        <v>2.4</v>
      </c>
      <c r="M604">
        <v>2</v>
      </c>
      <c r="N604">
        <v>1</v>
      </c>
      <c r="O604">
        <v>3235</v>
      </c>
      <c r="P604" t="s">
        <v>2176</v>
      </c>
      <c r="Q604">
        <v>4</v>
      </c>
      <c r="R604">
        <v>5</v>
      </c>
      <c r="S604">
        <v>10</v>
      </c>
      <c r="T604">
        <v>194</v>
      </c>
      <c r="U604" t="s">
        <v>2162</v>
      </c>
      <c r="W604" t="s">
        <v>2208</v>
      </c>
      <c r="X604" t="s">
        <v>2210</v>
      </c>
      <c r="Y604" t="s">
        <v>2212</v>
      </c>
      <c r="Z604" s="1">
        <v>45321</v>
      </c>
      <c r="AA604" s="1">
        <v>45334</v>
      </c>
      <c r="AB604" t="s">
        <v>2214</v>
      </c>
      <c r="AC604" t="s">
        <v>2209</v>
      </c>
      <c r="AD604" t="s">
        <v>2216</v>
      </c>
      <c r="AE604" t="s">
        <v>2162</v>
      </c>
      <c r="AG604" t="s">
        <v>2220</v>
      </c>
      <c r="AH604">
        <v>19</v>
      </c>
      <c r="AI604">
        <v>32</v>
      </c>
      <c r="AJ604">
        <v>13</v>
      </c>
      <c r="AK604">
        <v>1</v>
      </c>
      <c r="AL604" t="s">
        <v>2233</v>
      </c>
      <c r="AM604">
        <v>0</v>
      </c>
      <c r="AN604" t="s">
        <v>2176</v>
      </c>
      <c r="AO604" t="s">
        <v>2176</v>
      </c>
      <c r="AP604" t="s">
        <v>2176</v>
      </c>
      <c r="AQ604">
        <v>4.8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4.2</v>
      </c>
      <c r="AY604">
        <v>4.2</v>
      </c>
      <c r="AZ604">
        <v>2</v>
      </c>
      <c r="BA604">
        <v>0</v>
      </c>
      <c r="BB604">
        <v>26</v>
      </c>
      <c r="BC604">
        <v>27</v>
      </c>
      <c r="BD604">
        <v>23.19</v>
      </c>
      <c r="BE604">
        <v>113</v>
      </c>
      <c r="BF604">
        <v>89.2</v>
      </c>
      <c r="BG604">
        <v>26</v>
      </c>
      <c r="BH604">
        <v>27</v>
      </c>
      <c r="BI604">
        <v>23.19</v>
      </c>
      <c r="BJ604">
        <v>113</v>
      </c>
      <c r="BK604">
        <v>89.2</v>
      </c>
      <c r="BL604">
        <v>113</v>
      </c>
      <c r="BM604">
        <v>1.2103999999999999</v>
      </c>
    </row>
    <row r="605" spans="1:65" x14ac:dyDescent="0.25">
      <c r="A605" t="s">
        <v>668</v>
      </c>
      <c r="B605" t="s">
        <v>1648</v>
      </c>
      <c r="C605" t="s">
        <v>2158</v>
      </c>
      <c r="D605" s="1">
        <v>45447</v>
      </c>
      <c r="E605" s="1">
        <v>45485</v>
      </c>
      <c r="F605" s="1">
        <v>45512</v>
      </c>
      <c r="G605" t="s">
        <v>2165</v>
      </c>
      <c r="I605" t="s">
        <v>2176</v>
      </c>
      <c r="J605">
        <v>3750</v>
      </c>
      <c r="K605">
        <v>112</v>
      </c>
      <c r="L605">
        <v>4.4000000000000004</v>
      </c>
      <c r="M605">
        <v>2.4</v>
      </c>
      <c r="N605">
        <v>2</v>
      </c>
      <c r="O605">
        <v>1909</v>
      </c>
      <c r="P605" t="s">
        <v>2176</v>
      </c>
      <c r="Q605">
        <v>2</v>
      </c>
      <c r="R605">
        <v>2</v>
      </c>
      <c r="S605">
        <v>5</v>
      </c>
      <c r="T605">
        <v>416</v>
      </c>
      <c r="U605" t="s">
        <v>2165</v>
      </c>
      <c r="W605" t="s">
        <v>2208</v>
      </c>
      <c r="X605" t="s">
        <v>2210</v>
      </c>
      <c r="Y605" t="s">
        <v>2212</v>
      </c>
      <c r="Z605" s="1">
        <v>45494</v>
      </c>
      <c r="AA605" s="1">
        <v>45510</v>
      </c>
      <c r="AB605" t="s">
        <v>2214</v>
      </c>
      <c r="AC605" t="s">
        <v>2209</v>
      </c>
      <c r="AD605" t="s">
        <v>2216</v>
      </c>
      <c r="AE605" t="s">
        <v>2165</v>
      </c>
      <c r="AG605" t="s">
        <v>2220</v>
      </c>
      <c r="AH605">
        <v>9</v>
      </c>
      <c r="AI605">
        <v>25</v>
      </c>
      <c r="AJ605">
        <v>16</v>
      </c>
      <c r="AK605">
        <v>7</v>
      </c>
      <c r="AL605" t="s">
        <v>2226</v>
      </c>
      <c r="AM605">
        <v>0</v>
      </c>
      <c r="AN605" t="s">
        <v>2176</v>
      </c>
      <c r="AO605" t="s">
        <v>2176</v>
      </c>
      <c r="AP605" t="s">
        <v>2176</v>
      </c>
      <c r="AQ605">
        <v>10.56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4.5999999999999996</v>
      </c>
      <c r="AY605">
        <v>4.5999999999999996</v>
      </c>
      <c r="AZ605">
        <v>2</v>
      </c>
      <c r="BA605">
        <v>1</v>
      </c>
      <c r="BB605">
        <v>38</v>
      </c>
      <c r="BC605">
        <v>27</v>
      </c>
      <c r="BD605">
        <v>34</v>
      </c>
      <c r="BE605">
        <v>174</v>
      </c>
      <c r="BF605">
        <v>89.5</v>
      </c>
      <c r="BG605">
        <v>38</v>
      </c>
      <c r="BH605">
        <v>27</v>
      </c>
      <c r="BI605">
        <v>34</v>
      </c>
      <c r="BJ605">
        <v>174</v>
      </c>
      <c r="BK605">
        <v>89.5</v>
      </c>
      <c r="BL605">
        <v>174</v>
      </c>
      <c r="BM605">
        <v>0.79800000000000004</v>
      </c>
    </row>
    <row r="606" spans="1:65" x14ac:dyDescent="0.25">
      <c r="A606" t="s">
        <v>669</v>
      </c>
      <c r="B606" t="s">
        <v>1649</v>
      </c>
      <c r="C606" t="s">
        <v>2158</v>
      </c>
      <c r="D606" s="1">
        <v>45253</v>
      </c>
      <c r="E606" s="1">
        <v>45306</v>
      </c>
      <c r="F606" s="1">
        <v>45342</v>
      </c>
      <c r="G606" t="s">
        <v>2162</v>
      </c>
      <c r="I606" t="s">
        <v>2174</v>
      </c>
      <c r="J606">
        <v>2551</v>
      </c>
      <c r="K606">
        <v>76</v>
      </c>
      <c r="L606">
        <v>4.9000000000000004</v>
      </c>
      <c r="M606">
        <v>2.9</v>
      </c>
      <c r="N606">
        <v>1</v>
      </c>
      <c r="O606">
        <v>3158</v>
      </c>
      <c r="P606" t="s">
        <v>2176</v>
      </c>
      <c r="Q606">
        <v>1</v>
      </c>
      <c r="R606">
        <v>1</v>
      </c>
      <c r="S606">
        <v>4</v>
      </c>
      <c r="T606">
        <v>425</v>
      </c>
      <c r="U606" t="s">
        <v>2162</v>
      </c>
      <c r="W606" t="s">
        <v>2208</v>
      </c>
      <c r="X606" t="s">
        <v>2210</v>
      </c>
      <c r="Y606" t="s">
        <v>2212</v>
      </c>
      <c r="Z606" s="1">
        <v>45312</v>
      </c>
      <c r="AA606" s="1">
        <v>45331</v>
      </c>
      <c r="AB606" t="s">
        <v>2214</v>
      </c>
      <c r="AC606" t="s">
        <v>2209</v>
      </c>
      <c r="AD606" t="s">
        <v>2216</v>
      </c>
      <c r="AE606" t="s">
        <v>2162</v>
      </c>
      <c r="AG606" t="s">
        <v>2220</v>
      </c>
      <c r="AH606">
        <v>6</v>
      </c>
      <c r="AI606">
        <v>25</v>
      </c>
      <c r="AJ606">
        <v>19</v>
      </c>
      <c r="AK606">
        <v>1</v>
      </c>
      <c r="AL606" t="s">
        <v>2233</v>
      </c>
      <c r="AM606">
        <v>0</v>
      </c>
      <c r="AN606" t="s">
        <v>2176</v>
      </c>
      <c r="AO606" t="s">
        <v>2176</v>
      </c>
      <c r="AP606" t="s">
        <v>2176</v>
      </c>
      <c r="AQ606">
        <v>14.21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4.2</v>
      </c>
      <c r="AY606">
        <v>4.2</v>
      </c>
      <c r="AZ606">
        <v>2</v>
      </c>
      <c r="BA606">
        <v>0</v>
      </c>
      <c r="BB606">
        <v>26</v>
      </c>
      <c r="BC606">
        <v>27</v>
      </c>
      <c r="BD606">
        <v>23.19</v>
      </c>
      <c r="BE606">
        <v>113</v>
      </c>
      <c r="BF606">
        <v>89.2</v>
      </c>
      <c r="BG606">
        <v>26</v>
      </c>
      <c r="BH606">
        <v>27</v>
      </c>
      <c r="BI606">
        <v>23.19</v>
      </c>
      <c r="BJ606">
        <v>113</v>
      </c>
      <c r="BK606">
        <v>89.2</v>
      </c>
      <c r="BL606">
        <v>113</v>
      </c>
      <c r="BM606">
        <v>0.83579999999999999</v>
      </c>
    </row>
    <row r="607" spans="1:65" x14ac:dyDescent="0.25">
      <c r="A607" t="s">
        <v>670</v>
      </c>
      <c r="B607" t="s">
        <v>1650</v>
      </c>
      <c r="C607" t="s">
        <v>2158</v>
      </c>
      <c r="D607" s="1">
        <v>45359</v>
      </c>
      <c r="E607" s="1">
        <v>45397</v>
      </c>
      <c r="F607" s="1">
        <v>45449</v>
      </c>
      <c r="G607" t="s">
        <v>2164</v>
      </c>
      <c r="I607" t="s">
        <v>2176</v>
      </c>
      <c r="J607">
        <v>3951</v>
      </c>
      <c r="K607">
        <v>118</v>
      </c>
      <c r="L607">
        <v>3.9</v>
      </c>
      <c r="M607">
        <v>4.9000000000000004</v>
      </c>
      <c r="N607">
        <v>1</v>
      </c>
      <c r="O607">
        <v>1436</v>
      </c>
      <c r="P607" t="s">
        <v>2176</v>
      </c>
      <c r="Q607">
        <v>2</v>
      </c>
      <c r="R607">
        <v>2</v>
      </c>
      <c r="S607">
        <v>12</v>
      </c>
      <c r="T607">
        <v>246</v>
      </c>
      <c r="U607" t="s">
        <v>2164</v>
      </c>
      <c r="W607" t="s">
        <v>2208</v>
      </c>
      <c r="X607" t="s">
        <v>2210</v>
      </c>
      <c r="Y607" t="s">
        <v>2212</v>
      </c>
      <c r="Z607" s="1">
        <v>45413</v>
      </c>
      <c r="AA607" s="1">
        <v>45430</v>
      </c>
      <c r="AB607" t="s">
        <v>2214</v>
      </c>
      <c r="AC607" t="s">
        <v>2209</v>
      </c>
      <c r="AD607" t="s">
        <v>2216</v>
      </c>
      <c r="AE607" t="s">
        <v>2164</v>
      </c>
      <c r="AG607" t="s">
        <v>2220</v>
      </c>
      <c r="AH607">
        <v>16</v>
      </c>
      <c r="AI607">
        <v>33</v>
      </c>
      <c r="AJ607">
        <v>17</v>
      </c>
      <c r="AK607">
        <v>4</v>
      </c>
      <c r="AL607" t="s">
        <v>2225</v>
      </c>
      <c r="AM607">
        <v>0</v>
      </c>
      <c r="AN607" t="s">
        <v>2176</v>
      </c>
      <c r="AO607" t="s">
        <v>2176</v>
      </c>
      <c r="AP607" t="s">
        <v>2176</v>
      </c>
      <c r="AQ607">
        <v>19.11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4.5</v>
      </c>
      <c r="AY607">
        <v>4.5</v>
      </c>
      <c r="AZ607">
        <v>2</v>
      </c>
      <c r="BA607">
        <v>1</v>
      </c>
      <c r="BB607">
        <v>30</v>
      </c>
      <c r="BC607">
        <v>26</v>
      </c>
      <c r="BD607">
        <v>26.42</v>
      </c>
      <c r="BE607">
        <v>126</v>
      </c>
      <c r="BF607">
        <v>88.1</v>
      </c>
      <c r="BG607">
        <v>30</v>
      </c>
      <c r="BH607">
        <v>26</v>
      </c>
      <c r="BI607">
        <v>26.42</v>
      </c>
      <c r="BJ607">
        <v>126</v>
      </c>
      <c r="BK607">
        <v>88.1</v>
      </c>
      <c r="BL607">
        <v>126</v>
      </c>
      <c r="BM607">
        <v>1.2057</v>
      </c>
    </row>
    <row r="608" spans="1:65" x14ac:dyDescent="0.25">
      <c r="A608" t="s">
        <v>671</v>
      </c>
      <c r="B608" t="s">
        <v>1651</v>
      </c>
      <c r="C608" t="s">
        <v>2159</v>
      </c>
      <c r="D608" s="1">
        <v>45381</v>
      </c>
      <c r="E608" s="1">
        <v>45424</v>
      </c>
      <c r="F608" s="1">
        <v>45473</v>
      </c>
      <c r="G608" t="s">
        <v>2164</v>
      </c>
      <c r="I608" t="s">
        <v>2174</v>
      </c>
      <c r="J608">
        <v>4384</v>
      </c>
      <c r="K608">
        <v>131</v>
      </c>
      <c r="L608">
        <v>5.5</v>
      </c>
      <c r="M608">
        <v>5.7</v>
      </c>
      <c r="N608">
        <v>2</v>
      </c>
      <c r="O608">
        <v>1159</v>
      </c>
      <c r="P608" t="s">
        <v>2176</v>
      </c>
      <c r="Q608">
        <v>5</v>
      </c>
      <c r="R608">
        <v>7</v>
      </c>
      <c r="S608">
        <v>13</v>
      </c>
      <c r="T608">
        <v>175</v>
      </c>
      <c r="U608" t="s">
        <v>2164</v>
      </c>
      <c r="W608" t="s">
        <v>2208</v>
      </c>
      <c r="X608" t="s">
        <v>2210</v>
      </c>
      <c r="Y608" t="s">
        <v>2212</v>
      </c>
      <c r="Z608" s="1">
        <v>45449</v>
      </c>
      <c r="AA608" s="1">
        <v>45463</v>
      </c>
      <c r="AB608" t="s">
        <v>2214</v>
      </c>
      <c r="AC608" t="s">
        <v>2209</v>
      </c>
      <c r="AD608" t="s">
        <v>2216</v>
      </c>
      <c r="AE608" t="s">
        <v>2164</v>
      </c>
      <c r="AG608" t="s">
        <v>2220</v>
      </c>
      <c r="AH608">
        <v>25</v>
      </c>
      <c r="AI608">
        <v>39</v>
      </c>
      <c r="AJ608">
        <v>14</v>
      </c>
      <c r="AK608">
        <v>5</v>
      </c>
      <c r="AL608" t="s">
        <v>2224</v>
      </c>
      <c r="AM608">
        <v>0</v>
      </c>
      <c r="AN608" t="s">
        <v>2177</v>
      </c>
      <c r="AO608" t="s">
        <v>2176</v>
      </c>
      <c r="AP608" t="s">
        <v>2176</v>
      </c>
      <c r="AQ608">
        <v>31.35</v>
      </c>
      <c r="AR608">
        <v>1</v>
      </c>
      <c r="AS608">
        <v>2</v>
      </c>
      <c r="AT608">
        <v>1</v>
      </c>
      <c r="AU608">
        <v>1</v>
      </c>
      <c r="AV608">
        <v>1.333333333333333</v>
      </c>
      <c r="AW608">
        <v>4.5</v>
      </c>
      <c r="AY608">
        <v>4.5</v>
      </c>
      <c r="AZ608">
        <v>0</v>
      </c>
      <c r="BA608">
        <v>0</v>
      </c>
      <c r="BB608">
        <v>35</v>
      </c>
      <c r="BC608">
        <v>27</v>
      </c>
      <c r="BD608">
        <v>30.96</v>
      </c>
      <c r="BE608">
        <v>158</v>
      </c>
      <c r="BF608">
        <v>88.5</v>
      </c>
      <c r="BG608">
        <v>35</v>
      </c>
      <c r="BH608">
        <v>27</v>
      </c>
      <c r="BI608">
        <v>30.96</v>
      </c>
      <c r="BJ608">
        <v>158</v>
      </c>
      <c r="BK608">
        <v>88.5</v>
      </c>
      <c r="BL608">
        <v>158</v>
      </c>
      <c r="BM608">
        <v>1.0274000000000001</v>
      </c>
    </row>
    <row r="609" spans="1:65" x14ac:dyDescent="0.25">
      <c r="A609" t="s">
        <v>672</v>
      </c>
      <c r="B609" t="s">
        <v>1652</v>
      </c>
      <c r="C609" t="s">
        <v>2158</v>
      </c>
      <c r="D609" s="1">
        <v>45268</v>
      </c>
      <c r="E609" s="1">
        <v>45299</v>
      </c>
      <c r="F609" s="1">
        <v>45339</v>
      </c>
      <c r="G609" t="s">
        <v>2162</v>
      </c>
      <c r="I609" t="s">
        <v>2174</v>
      </c>
      <c r="J609">
        <v>2053</v>
      </c>
      <c r="K609">
        <v>61</v>
      </c>
      <c r="L609">
        <v>4.4000000000000004</v>
      </c>
      <c r="M609">
        <v>3</v>
      </c>
      <c r="N609">
        <v>2</v>
      </c>
      <c r="O609">
        <v>5449</v>
      </c>
      <c r="P609" t="s">
        <v>2176</v>
      </c>
      <c r="Q609">
        <v>2</v>
      </c>
      <c r="R609">
        <v>3</v>
      </c>
      <c r="S609">
        <v>3</v>
      </c>
      <c r="T609">
        <v>256</v>
      </c>
      <c r="U609" t="s">
        <v>2162</v>
      </c>
      <c r="W609" t="s">
        <v>2208</v>
      </c>
      <c r="X609" t="s">
        <v>2210</v>
      </c>
      <c r="Y609" t="s">
        <v>2212</v>
      </c>
      <c r="Z609" s="1">
        <v>45307</v>
      </c>
      <c r="AA609" s="1">
        <v>45326</v>
      </c>
      <c r="AB609" t="s">
        <v>2214</v>
      </c>
      <c r="AC609" t="s">
        <v>2209</v>
      </c>
      <c r="AD609" t="s">
        <v>2216</v>
      </c>
      <c r="AE609" t="s">
        <v>2162</v>
      </c>
      <c r="AG609" t="s">
        <v>2220</v>
      </c>
      <c r="AH609">
        <v>8</v>
      </c>
      <c r="AI609">
        <v>27</v>
      </c>
      <c r="AJ609">
        <v>19</v>
      </c>
      <c r="AK609">
        <v>1</v>
      </c>
      <c r="AL609" t="s">
        <v>2233</v>
      </c>
      <c r="AM609">
        <v>0</v>
      </c>
      <c r="AN609" t="s">
        <v>2176</v>
      </c>
      <c r="AO609" t="s">
        <v>2176</v>
      </c>
      <c r="AP609" t="s">
        <v>2176</v>
      </c>
      <c r="AQ609">
        <v>13.2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4.2</v>
      </c>
      <c r="AY609">
        <v>4.2</v>
      </c>
      <c r="AZ609">
        <v>2</v>
      </c>
      <c r="BA609">
        <v>0</v>
      </c>
      <c r="BB609">
        <v>26</v>
      </c>
      <c r="BC609">
        <v>27</v>
      </c>
      <c r="BD609">
        <v>23.19</v>
      </c>
      <c r="BE609">
        <v>113</v>
      </c>
      <c r="BF609">
        <v>89.2</v>
      </c>
      <c r="BG609">
        <v>26</v>
      </c>
      <c r="BH609">
        <v>27</v>
      </c>
      <c r="BI609">
        <v>23.19</v>
      </c>
      <c r="BJ609">
        <v>113</v>
      </c>
      <c r="BK609">
        <v>89.2</v>
      </c>
      <c r="BL609">
        <v>113</v>
      </c>
      <c r="BM609">
        <v>0.67269999999999996</v>
      </c>
    </row>
    <row r="610" spans="1:65" x14ac:dyDescent="0.25">
      <c r="A610" t="s">
        <v>673</v>
      </c>
      <c r="B610" t="s">
        <v>1653</v>
      </c>
      <c r="C610" t="s">
        <v>2159</v>
      </c>
      <c r="D610" s="1">
        <v>45491</v>
      </c>
      <c r="E610" s="1">
        <v>45539</v>
      </c>
      <c r="F610" s="1">
        <v>45566</v>
      </c>
      <c r="G610" t="s">
        <v>2166</v>
      </c>
      <c r="I610" t="s">
        <v>2174</v>
      </c>
      <c r="J610">
        <v>1990</v>
      </c>
      <c r="K610">
        <v>59</v>
      </c>
      <c r="L610">
        <v>7.4</v>
      </c>
      <c r="M610">
        <v>5.5</v>
      </c>
      <c r="N610">
        <v>1</v>
      </c>
      <c r="O610">
        <v>3437</v>
      </c>
      <c r="P610" t="s">
        <v>2176</v>
      </c>
      <c r="Q610">
        <v>2</v>
      </c>
      <c r="R610">
        <v>2</v>
      </c>
      <c r="S610">
        <v>3</v>
      </c>
      <c r="T610">
        <v>284</v>
      </c>
      <c r="U610" t="s">
        <v>2166</v>
      </c>
      <c r="W610" t="s">
        <v>2208</v>
      </c>
      <c r="X610" t="s">
        <v>2210</v>
      </c>
      <c r="Y610" t="s">
        <v>2212</v>
      </c>
      <c r="Z610" s="1">
        <v>45546</v>
      </c>
      <c r="AA610" s="1">
        <v>45563</v>
      </c>
      <c r="AB610" t="s">
        <v>2214</v>
      </c>
      <c r="AC610" t="s">
        <v>2209</v>
      </c>
      <c r="AD610" t="s">
        <v>2216</v>
      </c>
      <c r="AE610" t="s">
        <v>2166</v>
      </c>
      <c r="AG610" t="s">
        <v>2220</v>
      </c>
      <c r="AH610">
        <v>7</v>
      </c>
      <c r="AI610">
        <v>24</v>
      </c>
      <c r="AJ610">
        <v>17</v>
      </c>
      <c r="AK610">
        <v>9</v>
      </c>
      <c r="AL610" t="s">
        <v>2234</v>
      </c>
      <c r="AM610">
        <v>0</v>
      </c>
      <c r="AN610" t="s">
        <v>2177</v>
      </c>
      <c r="AO610" t="s">
        <v>2176</v>
      </c>
      <c r="AP610" t="s">
        <v>2176</v>
      </c>
      <c r="AQ610">
        <v>40.700000000000003</v>
      </c>
      <c r="AR610">
        <v>1</v>
      </c>
      <c r="AS610">
        <v>2</v>
      </c>
      <c r="AT610">
        <v>1</v>
      </c>
      <c r="AU610">
        <v>1</v>
      </c>
      <c r="AV610">
        <v>1.333333333333333</v>
      </c>
      <c r="AW610">
        <v>4.8</v>
      </c>
      <c r="AY610">
        <v>4.8</v>
      </c>
      <c r="AZ610">
        <v>0</v>
      </c>
      <c r="BA610">
        <v>0</v>
      </c>
      <c r="BB610">
        <v>48</v>
      </c>
      <c r="BC610">
        <v>26</v>
      </c>
      <c r="BD610">
        <v>42</v>
      </c>
      <c r="BE610">
        <v>204</v>
      </c>
      <c r="BF610">
        <v>87.5</v>
      </c>
      <c r="BG610">
        <v>48</v>
      </c>
      <c r="BH610">
        <v>26</v>
      </c>
      <c r="BI610">
        <v>42</v>
      </c>
      <c r="BJ610">
        <v>204</v>
      </c>
      <c r="BK610">
        <v>87.5</v>
      </c>
      <c r="BL610">
        <v>204</v>
      </c>
      <c r="BM610">
        <v>0.37509999999999999</v>
      </c>
    </row>
    <row r="611" spans="1:65" x14ac:dyDescent="0.25">
      <c r="A611" t="s">
        <v>674</v>
      </c>
      <c r="B611" t="s">
        <v>1654</v>
      </c>
      <c r="C611" t="s">
        <v>2157</v>
      </c>
      <c r="D611" s="1">
        <v>45267</v>
      </c>
      <c r="E611" s="1">
        <v>45298</v>
      </c>
      <c r="F611" s="1">
        <v>45329</v>
      </c>
      <c r="G611" t="s">
        <v>2164</v>
      </c>
      <c r="I611" t="s">
        <v>2176</v>
      </c>
      <c r="J611">
        <v>1632</v>
      </c>
      <c r="K611">
        <v>48</v>
      </c>
      <c r="L611">
        <v>5.4</v>
      </c>
      <c r="M611">
        <v>7.4</v>
      </c>
      <c r="N611">
        <v>1</v>
      </c>
      <c r="O611">
        <v>2106</v>
      </c>
      <c r="P611" t="s">
        <v>2176</v>
      </c>
      <c r="Q611">
        <v>1</v>
      </c>
      <c r="R611">
        <v>1</v>
      </c>
      <c r="S611">
        <v>3</v>
      </c>
      <c r="T611">
        <v>326</v>
      </c>
      <c r="U611" t="s">
        <v>2164</v>
      </c>
      <c r="W611" t="s">
        <v>2208</v>
      </c>
      <c r="X611" t="s">
        <v>2210</v>
      </c>
      <c r="Y611" t="s">
        <v>2212</v>
      </c>
      <c r="Z611" s="1">
        <v>45303</v>
      </c>
      <c r="AA611" s="1">
        <v>45316</v>
      </c>
      <c r="AB611" t="s">
        <v>2214</v>
      </c>
      <c r="AC611" t="s">
        <v>2209</v>
      </c>
      <c r="AD611" t="s">
        <v>2216</v>
      </c>
      <c r="AE611" t="s">
        <v>2164</v>
      </c>
      <c r="AG611" t="s">
        <v>2220</v>
      </c>
      <c r="AH611">
        <v>5</v>
      </c>
      <c r="AI611">
        <v>18</v>
      </c>
      <c r="AJ611">
        <v>13</v>
      </c>
      <c r="AK611">
        <v>1</v>
      </c>
      <c r="AL611" t="s">
        <v>2233</v>
      </c>
      <c r="AM611">
        <v>0</v>
      </c>
      <c r="AN611" t="s">
        <v>2177</v>
      </c>
      <c r="AO611" t="s">
        <v>2176</v>
      </c>
      <c r="AP611" t="s">
        <v>2176</v>
      </c>
      <c r="AQ611">
        <v>39.960000000000008</v>
      </c>
      <c r="AR611">
        <v>1</v>
      </c>
      <c r="AS611">
        <v>2</v>
      </c>
      <c r="AT611">
        <v>1</v>
      </c>
      <c r="AU611">
        <v>1</v>
      </c>
      <c r="AV611">
        <v>1.333333333333333</v>
      </c>
      <c r="AW611">
        <v>4.5</v>
      </c>
      <c r="AY611">
        <v>4.5</v>
      </c>
      <c r="AZ611">
        <v>3</v>
      </c>
      <c r="BA611">
        <v>1</v>
      </c>
      <c r="BB611">
        <v>30</v>
      </c>
      <c r="BC611">
        <v>27</v>
      </c>
      <c r="BD611">
        <v>25.85</v>
      </c>
      <c r="BE611">
        <v>132</v>
      </c>
      <c r="BF611">
        <v>86.2</v>
      </c>
      <c r="BG611">
        <v>30</v>
      </c>
      <c r="BH611">
        <v>27</v>
      </c>
      <c r="BI611">
        <v>25.85</v>
      </c>
      <c r="BJ611">
        <v>132</v>
      </c>
      <c r="BK611">
        <v>86.2</v>
      </c>
      <c r="BL611">
        <v>132</v>
      </c>
      <c r="BM611">
        <v>0.45779999999999998</v>
      </c>
    </row>
    <row r="612" spans="1:65" x14ac:dyDescent="0.25">
      <c r="A612" t="s">
        <v>675</v>
      </c>
      <c r="B612" t="s">
        <v>1655</v>
      </c>
      <c r="C612" t="s">
        <v>2158</v>
      </c>
      <c r="D612" s="1">
        <v>45539</v>
      </c>
      <c r="E612" s="1">
        <v>45569</v>
      </c>
      <c r="F612" s="1">
        <v>45617</v>
      </c>
      <c r="G612" t="s">
        <v>2161</v>
      </c>
      <c r="I612" t="s">
        <v>2176</v>
      </c>
      <c r="J612">
        <v>3448</v>
      </c>
      <c r="K612">
        <v>103</v>
      </c>
      <c r="L612">
        <v>6.2</v>
      </c>
      <c r="M612">
        <v>2</v>
      </c>
      <c r="N612">
        <v>1</v>
      </c>
      <c r="O612">
        <v>4988</v>
      </c>
      <c r="P612" t="s">
        <v>2176</v>
      </c>
      <c r="Q612">
        <v>2</v>
      </c>
      <c r="R612">
        <v>2</v>
      </c>
      <c r="S612">
        <v>5</v>
      </c>
      <c r="T612">
        <v>383</v>
      </c>
      <c r="U612" t="s">
        <v>2161</v>
      </c>
      <c r="W612" t="s">
        <v>2208</v>
      </c>
      <c r="X612" t="s">
        <v>2210</v>
      </c>
      <c r="Y612" t="s">
        <v>2212</v>
      </c>
      <c r="Z612" s="1">
        <v>45578</v>
      </c>
      <c r="AA612" s="1">
        <v>45593</v>
      </c>
      <c r="AB612" t="s">
        <v>2214</v>
      </c>
      <c r="AC612" t="s">
        <v>2209</v>
      </c>
      <c r="AD612" t="s">
        <v>2216</v>
      </c>
      <c r="AE612" t="s">
        <v>2161</v>
      </c>
      <c r="AG612" t="s">
        <v>2220</v>
      </c>
      <c r="AH612">
        <v>9</v>
      </c>
      <c r="AI612">
        <v>24</v>
      </c>
      <c r="AJ612">
        <v>15</v>
      </c>
      <c r="AK612">
        <v>10</v>
      </c>
      <c r="AL612" t="s">
        <v>2230</v>
      </c>
      <c r="AM612">
        <v>1</v>
      </c>
      <c r="AN612" t="s">
        <v>2176</v>
      </c>
      <c r="AO612" t="s">
        <v>2176</v>
      </c>
      <c r="AP612" t="s">
        <v>2176</v>
      </c>
      <c r="AQ612">
        <v>12.4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4.3</v>
      </c>
      <c r="AY612">
        <v>4.3</v>
      </c>
      <c r="AZ612">
        <v>2</v>
      </c>
      <c r="BA612">
        <v>1</v>
      </c>
      <c r="BB612">
        <v>34</v>
      </c>
      <c r="BC612">
        <v>27</v>
      </c>
      <c r="BD612">
        <v>29.93</v>
      </c>
      <c r="BE612">
        <v>149</v>
      </c>
      <c r="BF612">
        <v>88</v>
      </c>
      <c r="BG612">
        <v>34</v>
      </c>
      <c r="BH612">
        <v>27</v>
      </c>
      <c r="BI612">
        <v>29.93</v>
      </c>
      <c r="BJ612">
        <v>149</v>
      </c>
      <c r="BK612">
        <v>88</v>
      </c>
      <c r="BL612">
        <v>149</v>
      </c>
      <c r="BM612">
        <v>0.8569</v>
      </c>
    </row>
    <row r="613" spans="1:65" x14ac:dyDescent="0.25">
      <c r="A613" t="s">
        <v>676</v>
      </c>
      <c r="B613" t="s">
        <v>1656</v>
      </c>
      <c r="C613" t="s">
        <v>2159</v>
      </c>
      <c r="D613" s="1">
        <v>45387</v>
      </c>
      <c r="E613" s="1">
        <v>45424</v>
      </c>
      <c r="F613" s="1">
        <v>45461</v>
      </c>
      <c r="G613" t="s">
        <v>2163</v>
      </c>
      <c r="I613" t="s">
        <v>2176</v>
      </c>
      <c r="J613">
        <v>1430</v>
      </c>
      <c r="K613">
        <v>42</v>
      </c>
      <c r="L613">
        <v>5.8</v>
      </c>
      <c r="M613">
        <v>8</v>
      </c>
      <c r="N613">
        <v>1</v>
      </c>
      <c r="O613">
        <v>3587</v>
      </c>
      <c r="P613" t="s">
        <v>2176</v>
      </c>
      <c r="Q613">
        <v>1</v>
      </c>
      <c r="R613">
        <v>1</v>
      </c>
      <c r="S613">
        <v>2</v>
      </c>
      <c r="T613">
        <v>357</v>
      </c>
      <c r="U613" t="s">
        <v>2163</v>
      </c>
      <c r="W613" t="s">
        <v>2208</v>
      </c>
      <c r="X613" t="s">
        <v>2210</v>
      </c>
      <c r="Y613" t="s">
        <v>2212</v>
      </c>
      <c r="Z613" s="1">
        <v>45428</v>
      </c>
      <c r="AA613" s="1">
        <v>45441</v>
      </c>
      <c r="AB613" t="s">
        <v>2214</v>
      </c>
      <c r="AC613" t="s">
        <v>2209</v>
      </c>
      <c r="AD613" t="s">
        <v>2216</v>
      </c>
      <c r="AE613" t="s">
        <v>2163</v>
      </c>
      <c r="AG613" t="s">
        <v>2220</v>
      </c>
      <c r="AH613">
        <v>4</v>
      </c>
      <c r="AI613">
        <v>17</v>
      </c>
      <c r="AJ613">
        <v>13</v>
      </c>
      <c r="AK613">
        <v>5</v>
      </c>
      <c r="AL613" t="s">
        <v>2224</v>
      </c>
      <c r="AM613">
        <v>0</v>
      </c>
      <c r="AN613" t="s">
        <v>2177</v>
      </c>
      <c r="AO613" t="s">
        <v>2176</v>
      </c>
      <c r="AP613" t="s">
        <v>2176</v>
      </c>
      <c r="AQ613">
        <v>46.4</v>
      </c>
      <c r="AR613">
        <v>1</v>
      </c>
      <c r="AS613">
        <v>2</v>
      </c>
      <c r="AT613">
        <v>1</v>
      </c>
      <c r="AU613">
        <v>1</v>
      </c>
      <c r="AV613">
        <v>1.333333333333333</v>
      </c>
      <c r="AW613">
        <v>4.4000000000000004</v>
      </c>
      <c r="AY613">
        <v>4.4000000000000004</v>
      </c>
      <c r="AZ613">
        <v>0</v>
      </c>
      <c r="BA613">
        <v>1</v>
      </c>
      <c r="BB613">
        <v>38</v>
      </c>
      <c r="BC613">
        <v>27</v>
      </c>
      <c r="BD613">
        <v>33.33</v>
      </c>
      <c r="BE613">
        <v>171</v>
      </c>
      <c r="BF613">
        <v>87.7</v>
      </c>
      <c r="BG613">
        <v>38</v>
      </c>
      <c r="BH613">
        <v>27</v>
      </c>
      <c r="BI613">
        <v>33.33</v>
      </c>
      <c r="BJ613">
        <v>171</v>
      </c>
      <c r="BK613">
        <v>87.7</v>
      </c>
      <c r="BL613">
        <v>171</v>
      </c>
      <c r="BM613">
        <v>0.30969999999999998</v>
      </c>
    </row>
    <row r="614" spans="1:65" x14ac:dyDescent="0.25">
      <c r="A614" t="s">
        <v>677</v>
      </c>
      <c r="B614" t="s">
        <v>1657</v>
      </c>
      <c r="C614" t="s">
        <v>2157</v>
      </c>
      <c r="D614" s="1">
        <v>45477</v>
      </c>
      <c r="E614" s="1">
        <v>45518</v>
      </c>
      <c r="F614" s="1">
        <v>45539</v>
      </c>
      <c r="G614" t="s">
        <v>2162</v>
      </c>
      <c r="I614" t="s">
        <v>2174</v>
      </c>
      <c r="J614">
        <v>1226</v>
      </c>
      <c r="K614">
        <v>36</v>
      </c>
      <c r="L614">
        <v>6.9</v>
      </c>
      <c r="M614">
        <v>7.1</v>
      </c>
      <c r="N614">
        <v>1</v>
      </c>
      <c r="O614">
        <v>5424</v>
      </c>
      <c r="P614" t="s">
        <v>2176</v>
      </c>
      <c r="Q614">
        <v>0</v>
      </c>
      <c r="R614">
        <v>0</v>
      </c>
      <c r="S614">
        <v>2</v>
      </c>
      <c r="T614">
        <v>613</v>
      </c>
      <c r="U614" t="s">
        <v>2162</v>
      </c>
      <c r="W614" t="s">
        <v>2208</v>
      </c>
      <c r="X614" t="s">
        <v>2210</v>
      </c>
      <c r="Y614" t="s">
        <v>2212</v>
      </c>
      <c r="Z614" s="1">
        <v>45520</v>
      </c>
      <c r="AA614" s="1">
        <v>45538</v>
      </c>
      <c r="AB614" t="s">
        <v>2214</v>
      </c>
      <c r="AC614" t="s">
        <v>2209</v>
      </c>
      <c r="AD614" t="s">
        <v>2216</v>
      </c>
      <c r="AE614" t="s">
        <v>2162</v>
      </c>
      <c r="AG614" t="s">
        <v>2220</v>
      </c>
      <c r="AH614">
        <v>2</v>
      </c>
      <c r="AI614">
        <v>20</v>
      </c>
      <c r="AJ614">
        <v>18</v>
      </c>
      <c r="AK614">
        <v>8</v>
      </c>
      <c r="AL614" t="s">
        <v>2232</v>
      </c>
      <c r="AM614">
        <v>0</v>
      </c>
      <c r="AN614" t="s">
        <v>2177</v>
      </c>
      <c r="AO614" t="s">
        <v>2176</v>
      </c>
      <c r="AP614" t="s">
        <v>2176</v>
      </c>
      <c r="AQ614">
        <v>48.99</v>
      </c>
      <c r="AR614">
        <v>1</v>
      </c>
      <c r="AS614">
        <v>2</v>
      </c>
      <c r="AT614">
        <v>1</v>
      </c>
      <c r="AU614">
        <v>1</v>
      </c>
      <c r="AV614">
        <v>1.333333333333333</v>
      </c>
      <c r="AW614">
        <v>4.2</v>
      </c>
      <c r="AY614">
        <v>4.2</v>
      </c>
      <c r="AZ614">
        <v>3</v>
      </c>
      <c r="BA614">
        <v>0</v>
      </c>
      <c r="BB614">
        <v>29</v>
      </c>
      <c r="BC614">
        <v>26</v>
      </c>
      <c r="BD614">
        <v>25.54</v>
      </c>
      <c r="BE614">
        <v>124</v>
      </c>
      <c r="BF614">
        <v>88.1</v>
      </c>
      <c r="BG614">
        <v>29</v>
      </c>
      <c r="BH614">
        <v>26</v>
      </c>
      <c r="BI614">
        <v>25.54</v>
      </c>
      <c r="BJ614">
        <v>124</v>
      </c>
      <c r="BK614">
        <v>88.1</v>
      </c>
      <c r="BL614">
        <v>124</v>
      </c>
      <c r="BM614">
        <v>0.38019999999999998</v>
      </c>
    </row>
    <row r="615" spans="1:65" x14ac:dyDescent="0.25">
      <c r="A615" t="s">
        <v>678</v>
      </c>
      <c r="B615" t="s">
        <v>1658</v>
      </c>
      <c r="C615" t="s">
        <v>2159</v>
      </c>
      <c r="D615" s="1">
        <v>45338</v>
      </c>
      <c r="E615" s="1">
        <v>45397</v>
      </c>
      <c r="F615" s="1">
        <v>45446</v>
      </c>
      <c r="G615" t="s">
        <v>2163</v>
      </c>
      <c r="I615" t="s">
        <v>2176</v>
      </c>
      <c r="J615">
        <v>3668</v>
      </c>
      <c r="K615">
        <v>110</v>
      </c>
      <c r="L615">
        <v>7.6</v>
      </c>
      <c r="M615">
        <v>2.8</v>
      </c>
      <c r="N615">
        <v>2</v>
      </c>
      <c r="O615">
        <v>1939</v>
      </c>
      <c r="P615" t="s">
        <v>2176</v>
      </c>
      <c r="Q615">
        <v>3</v>
      </c>
      <c r="R615">
        <v>3</v>
      </c>
      <c r="S615">
        <v>5</v>
      </c>
      <c r="T615">
        <v>333</v>
      </c>
      <c r="U615" t="s">
        <v>2163</v>
      </c>
      <c r="W615" t="s">
        <v>2208</v>
      </c>
      <c r="X615" t="s">
        <v>2210</v>
      </c>
      <c r="Y615" t="s">
        <v>2212</v>
      </c>
      <c r="Z615" s="1">
        <v>45408</v>
      </c>
      <c r="AA615" s="1">
        <v>45425</v>
      </c>
      <c r="AB615" t="s">
        <v>2214</v>
      </c>
      <c r="AC615" t="s">
        <v>2209</v>
      </c>
      <c r="AD615" t="s">
        <v>2216</v>
      </c>
      <c r="AE615" t="s">
        <v>2163</v>
      </c>
      <c r="AG615" t="s">
        <v>2220</v>
      </c>
      <c r="AH615">
        <v>11</v>
      </c>
      <c r="AI615">
        <v>28</v>
      </c>
      <c r="AJ615">
        <v>17</v>
      </c>
      <c r="AK615">
        <v>4</v>
      </c>
      <c r="AL615" t="s">
        <v>2225</v>
      </c>
      <c r="AM615">
        <v>0</v>
      </c>
      <c r="AN615" t="s">
        <v>2176</v>
      </c>
      <c r="AO615" t="s">
        <v>2176</v>
      </c>
      <c r="AP615" t="s">
        <v>2176</v>
      </c>
      <c r="AQ615">
        <v>21.28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4.4000000000000004</v>
      </c>
      <c r="AY615">
        <v>4.4000000000000004</v>
      </c>
      <c r="AZ615">
        <v>0</v>
      </c>
      <c r="BA615">
        <v>1</v>
      </c>
      <c r="BB615">
        <v>31</v>
      </c>
      <c r="BC615">
        <v>26</v>
      </c>
      <c r="BD615">
        <v>27.23</v>
      </c>
      <c r="BE615">
        <v>132</v>
      </c>
      <c r="BF615">
        <v>87.8</v>
      </c>
      <c r="BG615">
        <v>31</v>
      </c>
      <c r="BH615">
        <v>26</v>
      </c>
      <c r="BI615">
        <v>27.23</v>
      </c>
      <c r="BJ615">
        <v>132</v>
      </c>
      <c r="BK615">
        <v>87.8</v>
      </c>
      <c r="BL615">
        <v>132</v>
      </c>
      <c r="BM615">
        <v>1.0685</v>
      </c>
    </row>
    <row r="616" spans="1:65" x14ac:dyDescent="0.25">
      <c r="A616" t="s">
        <v>679</v>
      </c>
      <c r="B616" t="s">
        <v>1659</v>
      </c>
      <c r="C616" t="s">
        <v>2160</v>
      </c>
      <c r="D616" s="1">
        <v>45395</v>
      </c>
      <c r="E616" s="1">
        <v>45452</v>
      </c>
      <c r="F616" s="1">
        <v>45484</v>
      </c>
      <c r="G616" t="s">
        <v>2162</v>
      </c>
      <c r="I616" t="s">
        <v>2174</v>
      </c>
      <c r="J616">
        <v>2088</v>
      </c>
      <c r="K616">
        <v>62</v>
      </c>
      <c r="L616">
        <v>2.2999999999999998</v>
      </c>
      <c r="M616">
        <v>2.7</v>
      </c>
      <c r="N616">
        <v>1</v>
      </c>
      <c r="O616">
        <v>3100</v>
      </c>
      <c r="P616" t="s">
        <v>2176</v>
      </c>
      <c r="Q616">
        <v>1</v>
      </c>
      <c r="R616">
        <v>1</v>
      </c>
      <c r="S616">
        <v>3</v>
      </c>
      <c r="T616">
        <v>417</v>
      </c>
      <c r="U616" t="s">
        <v>2162</v>
      </c>
      <c r="W616" t="s">
        <v>2208</v>
      </c>
      <c r="X616" t="s">
        <v>2210</v>
      </c>
      <c r="Y616" t="s">
        <v>2212</v>
      </c>
      <c r="Z616" s="1">
        <v>45457</v>
      </c>
      <c r="AA616" s="1">
        <v>45471</v>
      </c>
      <c r="AB616" t="s">
        <v>2214</v>
      </c>
      <c r="AC616" t="s">
        <v>2209</v>
      </c>
      <c r="AD616" t="s">
        <v>2216</v>
      </c>
      <c r="AE616" t="s">
        <v>2162</v>
      </c>
      <c r="AG616" t="s">
        <v>2220</v>
      </c>
      <c r="AH616">
        <v>5</v>
      </c>
      <c r="AI616">
        <v>19</v>
      </c>
      <c r="AJ616">
        <v>14</v>
      </c>
      <c r="AK616">
        <v>6</v>
      </c>
      <c r="AL616" t="s">
        <v>2223</v>
      </c>
      <c r="AM616">
        <v>0</v>
      </c>
      <c r="AN616" t="s">
        <v>2176</v>
      </c>
      <c r="AO616" t="s">
        <v>2176</v>
      </c>
      <c r="AP616" t="s">
        <v>2176</v>
      </c>
      <c r="AQ616">
        <v>6.21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4.2</v>
      </c>
      <c r="AY616">
        <v>4.2</v>
      </c>
      <c r="AZ616">
        <v>1</v>
      </c>
      <c r="BA616">
        <v>0</v>
      </c>
      <c r="BB616">
        <v>29</v>
      </c>
      <c r="BC616">
        <v>25</v>
      </c>
      <c r="BD616">
        <v>25.56</v>
      </c>
      <c r="BE616">
        <v>117</v>
      </c>
      <c r="BF616">
        <v>88.1</v>
      </c>
      <c r="BG616">
        <v>29</v>
      </c>
      <c r="BH616">
        <v>25</v>
      </c>
      <c r="BI616">
        <v>25.56</v>
      </c>
      <c r="BJ616">
        <v>117</v>
      </c>
      <c r="BK616">
        <v>88.1</v>
      </c>
      <c r="BL616">
        <v>117</v>
      </c>
      <c r="BM616">
        <v>0.71360000000000001</v>
      </c>
    </row>
    <row r="617" spans="1:65" x14ac:dyDescent="0.25">
      <c r="A617" t="s">
        <v>680</v>
      </c>
      <c r="B617" t="s">
        <v>1660</v>
      </c>
      <c r="C617" t="s">
        <v>2157</v>
      </c>
      <c r="D617" s="1">
        <v>45318</v>
      </c>
      <c r="E617" s="1">
        <v>45363</v>
      </c>
      <c r="F617" s="1">
        <v>45400</v>
      </c>
      <c r="G617" t="s">
        <v>2165</v>
      </c>
      <c r="I617" t="s">
        <v>2174</v>
      </c>
      <c r="J617">
        <v>3005</v>
      </c>
      <c r="K617">
        <v>90</v>
      </c>
      <c r="L617">
        <v>4</v>
      </c>
      <c r="M617">
        <v>7.4</v>
      </c>
      <c r="N617">
        <v>2</v>
      </c>
      <c r="O617">
        <v>5636</v>
      </c>
      <c r="P617" t="s">
        <v>2176</v>
      </c>
      <c r="Q617">
        <v>2</v>
      </c>
      <c r="R617">
        <v>2</v>
      </c>
      <c r="S617">
        <v>4</v>
      </c>
      <c r="T617">
        <v>375</v>
      </c>
      <c r="U617" t="s">
        <v>2165</v>
      </c>
      <c r="W617" t="s">
        <v>2208</v>
      </c>
      <c r="X617" t="s">
        <v>2210</v>
      </c>
      <c r="Y617" t="s">
        <v>2212</v>
      </c>
      <c r="Z617" s="1">
        <v>45371</v>
      </c>
      <c r="AA617" s="1">
        <v>45386</v>
      </c>
      <c r="AB617" t="s">
        <v>2214</v>
      </c>
      <c r="AC617" t="s">
        <v>2209</v>
      </c>
      <c r="AD617" t="s">
        <v>2216</v>
      </c>
      <c r="AE617" t="s">
        <v>2165</v>
      </c>
      <c r="AG617" t="s">
        <v>2220</v>
      </c>
      <c r="AH617">
        <v>8</v>
      </c>
      <c r="AI617">
        <v>23</v>
      </c>
      <c r="AJ617">
        <v>15</v>
      </c>
      <c r="AK617">
        <v>3</v>
      </c>
      <c r="AL617" t="s">
        <v>2227</v>
      </c>
      <c r="AM617">
        <v>0</v>
      </c>
      <c r="AN617" t="s">
        <v>2176</v>
      </c>
      <c r="AO617" t="s">
        <v>2176</v>
      </c>
      <c r="AP617" t="s">
        <v>2176</v>
      </c>
      <c r="AQ617">
        <v>29.6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4.5999999999999996</v>
      </c>
      <c r="AY617">
        <v>4.5999999999999996</v>
      </c>
      <c r="AZ617">
        <v>3</v>
      </c>
      <c r="BA617">
        <v>0</v>
      </c>
      <c r="BB617">
        <v>48</v>
      </c>
      <c r="BC617">
        <v>26</v>
      </c>
      <c r="BD617">
        <v>42.38</v>
      </c>
      <c r="BE617">
        <v>212</v>
      </c>
      <c r="BF617">
        <v>88.3</v>
      </c>
      <c r="BG617">
        <v>48</v>
      </c>
      <c r="BH617">
        <v>26</v>
      </c>
      <c r="BI617">
        <v>42.38</v>
      </c>
      <c r="BJ617">
        <v>212</v>
      </c>
      <c r="BK617">
        <v>88.3</v>
      </c>
      <c r="BL617">
        <v>212</v>
      </c>
      <c r="BM617">
        <v>0.54510000000000003</v>
      </c>
    </row>
    <row r="618" spans="1:65" x14ac:dyDescent="0.25">
      <c r="A618" t="s">
        <v>681</v>
      </c>
      <c r="B618" t="s">
        <v>1661</v>
      </c>
      <c r="C618" t="s">
        <v>2160</v>
      </c>
      <c r="D618" s="1">
        <v>45526</v>
      </c>
      <c r="E618" s="1">
        <v>45577</v>
      </c>
      <c r="F618" s="1">
        <v>45626</v>
      </c>
      <c r="G618" t="s">
        <v>2166</v>
      </c>
      <c r="I618" t="s">
        <v>2176</v>
      </c>
      <c r="J618">
        <v>4923</v>
      </c>
      <c r="K618">
        <v>147</v>
      </c>
      <c r="L618">
        <v>2.8</v>
      </c>
      <c r="M618">
        <v>2.1</v>
      </c>
      <c r="N618">
        <v>1</v>
      </c>
      <c r="O618">
        <v>3792</v>
      </c>
      <c r="P618" t="s">
        <v>2176</v>
      </c>
      <c r="Q618">
        <v>5</v>
      </c>
      <c r="R618">
        <v>6</v>
      </c>
      <c r="S618">
        <v>12</v>
      </c>
      <c r="T618">
        <v>214</v>
      </c>
      <c r="U618" t="s">
        <v>2166</v>
      </c>
      <c r="W618" t="s">
        <v>2208</v>
      </c>
      <c r="X618" t="s">
        <v>2210</v>
      </c>
      <c r="Y618" t="s">
        <v>2212</v>
      </c>
      <c r="Z618" s="1">
        <v>45600</v>
      </c>
      <c r="AA618" s="1">
        <v>45614</v>
      </c>
      <c r="AB618" t="s">
        <v>2214</v>
      </c>
      <c r="AC618" t="s">
        <v>2209</v>
      </c>
      <c r="AD618" t="s">
        <v>2216</v>
      </c>
      <c r="AE618" t="s">
        <v>2166</v>
      </c>
      <c r="AG618" t="s">
        <v>2220</v>
      </c>
      <c r="AH618">
        <v>23</v>
      </c>
      <c r="AI618">
        <v>37</v>
      </c>
      <c r="AJ618">
        <v>14</v>
      </c>
      <c r="AK618">
        <v>10</v>
      </c>
      <c r="AL618" t="s">
        <v>2230</v>
      </c>
      <c r="AM618">
        <v>1</v>
      </c>
      <c r="AN618" t="s">
        <v>2176</v>
      </c>
      <c r="AO618" t="s">
        <v>2176</v>
      </c>
      <c r="AP618" t="s">
        <v>2176</v>
      </c>
      <c r="AQ618">
        <v>5.88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4.8</v>
      </c>
      <c r="AY618">
        <v>4.8</v>
      </c>
      <c r="AZ618">
        <v>1</v>
      </c>
      <c r="BA618">
        <v>1</v>
      </c>
      <c r="BB618">
        <v>50</v>
      </c>
      <c r="BC618">
        <v>27</v>
      </c>
      <c r="BD618">
        <v>42.44</v>
      </c>
      <c r="BE618">
        <v>220</v>
      </c>
      <c r="BF618">
        <v>84.9</v>
      </c>
      <c r="BG618">
        <v>50</v>
      </c>
      <c r="BH618">
        <v>27</v>
      </c>
      <c r="BI618">
        <v>42.44</v>
      </c>
      <c r="BJ618">
        <v>220</v>
      </c>
      <c r="BK618">
        <v>84.9</v>
      </c>
      <c r="BL618">
        <v>220</v>
      </c>
      <c r="BM618">
        <v>0.8286</v>
      </c>
    </row>
    <row r="619" spans="1:65" x14ac:dyDescent="0.25">
      <c r="A619" t="s">
        <v>682</v>
      </c>
      <c r="B619" t="s">
        <v>1662</v>
      </c>
      <c r="C619" t="s">
        <v>2159</v>
      </c>
      <c r="D619" s="1">
        <v>45549</v>
      </c>
      <c r="E619" s="1">
        <v>45577</v>
      </c>
      <c r="F619" s="1">
        <v>45605</v>
      </c>
      <c r="G619" t="s">
        <v>2166</v>
      </c>
      <c r="I619" t="s">
        <v>2174</v>
      </c>
      <c r="J619">
        <v>1032</v>
      </c>
      <c r="K619">
        <v>30</v>
      </c>
      <c r="L619">
        <v>2</v>
      </c>
      <c r="M619">
        <v>3.8</v>
      </c>
      <c r="N619">
        <v>1</v>
      </c>
      <c r="O619">
        <v>4718</v>
      </c>
      <c r="P619" t="s">
        <v>2176</v>
      </c>
      <c r="Q619">
        <v>0</v>
      </c>
      <c r="R619">
        <v>0</v>
      </c>
      <c r="S619">
        <v>2</v>
      </c>
      <c r="T619">
        <v>516</v>
      </c>
      <c r="U619" t="s">
        <v>2166</v>
      </c>
      <c r="W619" t="s">
        <v>2208</v>
      </c>
      <c r="X619" t="s">
        <v>2210</v>
      </c>
      <c r="Y619" t="s">
        <v>2212</v>
      </c>
      <c r="Z619" s="1">
        <v>45579</v>
      </c>
      <c r="AA619" s="1">
        <v>45595</v>
      </c>
      <c r="AB619" t="s">
        <v>2214</v>
      </c>
      <c r="AC619" t="s">
        <v>2209</v>
      </c>
      <c r="AD619" t="s">
        <v>2216</v>
      </c>
      <c r="AE619" t="s">
        <v>2166</v>
      </c>
      <c r="AG619" t="s">
        <v>2220</v>
      </c>
      <c r="AH619">
        <v>2</v>
      </c>
      <c r="AI619">
        <v>18</v>
      </c>
      <c r="AJ619">
        <v>16</v>
      </c>
      <c r="AK619">
        <v>10</v>
      </c>
      <c r="AL619" t="s">
        <v>2230</v>
      </c>
      <c r="AM619">
        <v>1</v>
      </c>
      <c r="AN619" t="s">
        <v>2176</v>
      </c>
      <c r="AO619" t="s">
        <v>2176</v>
      </c>
      <c r="AP619" t="s">
        <v>2176</v>
      </c>
      <c r="AQ619">
        <v>7.6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4.8</v>
      </c>
      <c r="AY619">
        <v>4.8</v>
      </c>
      <c r="AZ619">
        <v>0</v>
      </c>
      <c r="BA619">
        <v>0</v>
      </c>
      <c r="BB619">
        <v>50</v>
      </c>
      <c r="BC619">
        <v>27</v>
      </c>
      <c r="BD619">
        <v>42.44</v>
      </c>
      <c r="BE619">
        <v>220</v>
      </c>
      <c r="BF619">
        <v>84.9</v>
      </c>
      <c r="BG619">
        <v>50</v>
      </c>
      <c r="BH619">
        <v>27</v>
      </c>
      <c r="BI619">
        <v>42.44</v>
      </c>
      <c r="BJ619">
        <v>220</v>
      </c>
      <c r="BK619">
        <v>84.9</v>
      </c>
      <c r="BL619">
        <v>220</v>
      </c>
      <c r="BM619">
        <v>0.17369999999999999</v>
      </c>
    </row>
    <row r="620" spans="1:65" x14ac:dyDescent="0.25">
      <c r="A620" t="s">
        <v>683</v>
      </c>
      <c r="B620" t="s">
        <v>1663</v>
      </c>
      <c r="C620" t="s">
        <v>2157</v>
      </c>
      <c r="D620" s="1">
        <v>45405</v>
      </c>
      <c r="E620" s="1">
        <v>45447</v>
      </c>
      <c r="F620" s="1">
        <v>45476</v>
      </c>
      <c r="G620" t="s">
        <v>2164</v>
      </c>
      <c r="I620" t="s">
        <v>2176</v>
      </c>
      <c r="J620">
        <v>3823</v>
      </c>
      <c r="K620">
        <v>114</v>
      </c>
      <c r="L620">
        <v>7.4</v>
      </c>
      <c r="M620">
        <v>6.3</v>
      </c>
      <c r="N620">
        <v>2</v>
      </c>
      <c r="O620">
        <v>4276</v>
      </c>
      <c r="P620" t="s">
        <v>2176</v>
      </c>
      <c r="Q620">
        <v>2</v>
      </c>
      <c r="R620">
        <v>2</v>
      </c>
      <c r="S620">
        <v>7</v>
      </c>
      <c r="T620">
        <v>347</v>
      </c>
      <c r="U620" t="s">
        <v>2164</v>
      </c>
      <c r="W620" t="s">
        <v>2208</v>
      </c>
      <c r="X620" t="s">
        <v>2210</v>
      </c>
      <c r="Y620" t="s">
        <v>2212</v>
      </c>
      <c r="Z620" s="1">
        <v>45458</v>
      </c>
      <c r="AA620" s="1">
        <v>45477</v>
      </c>
      <c r="AB620" t="s">
        <v>2214</v>
      </c>
      <c r="AC620" t="s">
        <v>2209</v>
      </c>
      <c r="AD620" t="s">
        <v>2216</v>
      </c>
      <c r="AE620" t="s">
        <v>2164</v>
      </c>
      <c r="AG620" t="s">
        <v>2220</v>
      </c>
      <c r="AH620">
        <v>11</v>
      </c>
      <c r="AI620">
        <v>30</v>
      </c>
      <c r="AJ620">
        <v>19</v>
      </c>
      <c r="AK620">
        <v>6</v>
      </c>
      <c r="AL620" t="s">
        <v>2223</v>
      </c>
      <c r="AM620">
        <v>0</v>
      </c>
      <c r="AN620" t="s">
        <v>2177</v>
      </c>
      <c r="AO620" t="s">
        <v>2176</v>
      </c>
      <c r="AP620" t="s">
        <v>2176</v>
      </c>
      <c r="AQ620">
        <v>46.62</v>
      </c>
      <c r="AR620">
        <v>1</v>
      </c>
      <c r="AS620">
        <v>2</v>
      </c>
      <c r="AT620">
        <v>1</v>
      </c>
      <c r="AU620">
        <v>1</v>
      </c>
      <c r="AV620">
        <v>1.333333333333333</v>
      </c>
      <c r="AW620">
        <v>4.5</v>
      </c>
      <c r="AY620">
        <v>4.5</v>
      </c>
      <c r="AZ620">
        <v>3</v>
      </c>
      <c r="BA620">
        <v>1</v>
      </c>
      <c r="BB620">
        <v>33</v>
      </c>
      <c r="BC620">
        <v>25</v>
      </c>
      <c r="BD620">
        <v>28.64</v>
      </c>
      <c r="BE620">
        <v>133</v>
      </c>
      <c r="BF620">
        <v>86.8</v>
      </c>
      <c r="BG620">
        <v>33</v>
      </c>
      <c r="BH620">
        <v>25</v>
      </c>
      <c r="BI620">
        <v>28.64</v>
      </c>
      <c r="BJ620">
        <v>133</v>
      </c>
      <c r="BK620">
        <v>86.8</v>
      </c>
      <c r="BL620">
        <v>133</v>
      </c>
      <c r="BM620">
        <v>1.1494</v>
      </c>
    </row>
    <row r="621" spans="1:65" x14ac:dyDescent="0.25">
      <c r="A621" t="s">
        <v>684</v>
      </c>
      <c r="B621" t="s">
        <v>1664</v>
      </c>
      <c r="C621" t="s">
        <v>2157</v>
      </c>
      <c r="D621" s="1">
        <v>45370</v>
      </c>
      <c r="E621" s="1">
        <v>45415</v>
      </c>
      <c r="F621" s="1">
        <v>45458</v>
      </c>
      <c r="G621" t="s">
        <v>2165</v>
      </c>
      <c r="I621" t="s">
        <v>2176</v>
      </c>
      <c r="J621">
        <v>1515</v>
      </c>
      <c r="K621">
        <v>45</v>
      </c>
      <c r="L621">
        <v>7.9</v>
      </c>
      <c r="M621">
        <v>5.3</v>
      </c>
      <c r="N621">
        <v>2</v>
      </c>
      <c r="O621">
        <v>1277</v>
      </c>
      <c r="P621" t="s">
        <v>2176</v>
      </c>
      <c r="Q621">
        <v>1</v>
      </c>
      <c r="R621">
        <v>1</v>
      </c>
      <c r="S621">
        <v>3</v>
      </c>
      <c r="T621">
        <v>303</v>
      </c>
      <c r="U621" t="s">
        <v>2165</v>
      </c>
      <c r="W621" t="s">
        <v>2208</v>
      </c>
      <c r="X621" t="s">
        <v>2210</v>
      </c>
      <c r="Y621" t="s">
        <v>2212</v>
      </c>
      <c r="Z621" s="1">
        <v>45420</v>
      </c>
      <c r="AA621" s="1">
        <v>45433</v>
      </c>
      <c r="AB621" t="s">
        <v>2214</v>
      </c>
      <c r="AC621" t="s">
        <v>2209</v>
      </c>
      <c r="AD621" t="s">
        <v>2216</v>
      </c>
      <c r="AE621" t="s">
        <v>2165</v>
      </c>
      <c r="AG621" t="s">
        <v>2220</v>
      </c>
      <c r="AH621">
        <v>5</v>
      </c>
      <c r="AI621">
        <v>18</v>
      </c>
      <c r="AJ621">
        <v>13</v>
      </c>
      <c r="AK621">
        <v>5</v>
      </c>
      <c r="AL621" t="s">
        <v>2224</v>
      </c>
      <c r="AM621">
        <v>0</v>
      </c>
      <c r="AN621" t="s">
        <v>2177</v>
      </c>
      <c r="AO621" t="s">
        <v>2176</v>
      </c>
      <c r="AP621" t="s">
        <v>2176</v>
      </c>
      <c r="AQ621">
        <v>41.87</v>
      </c>
      <c r="AR621">
        <v>1</v>
      </c>
      <c r="AS621">
        <v>2</v>
      </c>
      <c r="AT621">
        <v>1</v>
      </c>
      <c r="AU621">
        <v>1</v>
      </c>
      <c r="AV621">
        <v>1.333333333333333</v>
      </c>
      <c r="AW621">
        <v>4.5999999999999996</v>
      </c>
      <c r="AY621">
        <v>4.5999999999999996</v>
      </c>
      <c r="AZ621">
        <v>3</v>
      </c>
      <c r="BA621">
        <v>1</v>
      </c>
      <c r="BB621">
        <v>36</v>
      </c>
      <c r="BC621">
        <v>27</v>
      </c>
      <c r="BD621">
        <v>31.37</v>
      </c>
      <c r="BE621">
        <v>158</v>
      </c>
      <c r="BF621">
        <v>87.1</v>
      </c>
      <c r="BG621">
        <v>36</v>
      </c>
      <c r="BH621">
        <v>27</v>
      </c>
      <c r="BI621">
        <v>31.37</v>
      </c>
      <c r="BJ621">
        <v>158</v>
      </c>
      <c r="BK621">
        <v>87.1</v>
      </c>
      <c r="BL621">
        <v>158</v>
      </c>
      <c r="BM621">
        <v>0.35510000000000003</v>
      </c>
    </row>
    <row r="622" spans="1:65" x14ac:dyDescent="0.25">
      <c r="A622" t="s">
        <v>685</v>
      </c>
      <c r="B622" t="s">
        <v>1665</v>
      </c>
      <c r="C622" t="s">
        <v>2157</v>
      </c>
      <c r="D622" s="1">
        <v>45395</v>
      </c>
      <c r="E622" s="1">
        <v>45415</v>
      </c>
      <c r="F622" s="1">
        <v>45467</v>
      </c>
      <c r="G622" t="s">
        <v>2165</v>
      </c>
      <c r="I622" t="s">
        <v>2174</v>
      </c>
      <c r="J622">
        <v>4512</v>
      </c>
      <c r="K622">
        <v>135</v>
      </c>
      <c r="L622">
        <v>2.9</v>
      </c>
      <c r="M622">
        <v>6.9</v>
      </c>
      <c r="N622">
        <v>2</v>
      </c>
      <c r="O622">
        <v>4483</v>
      </c>
      <c r="P622" t="s">
        <v>2176</v>
      </c>
      <c r="Q622">
        <v>5</v>
      </c>
      <c r="R622">
        <v>7</v>
      </c>
      <c r="S622">
        <v>7</v>
      </c>
      <c r="T622">
        <v>237</v>
      </c>
      <c r="U622" t="s">
        <v>2165</v>
      </c>
      <c r="W622" t="s">
        <v>2208</v>
      </c>
      <c r="X622" t="s">
        <v>2210</v>
      </c>
      <c r="Y622" t="s">
        <v>2212</v>
      </c>
      <c r="Z622" s="1">
        <v>45434</v>
      </c>
      <c r="AA622" s="1">
        <v>45449</v>
      </c>
      <c r="AB622" t="s">
        <v>2214</v>
      </c>
      <c r="AC622" t="s">
        <v>2209</v>
      </c>
      <c r="AD622" t="s">
        <v>2216</v>
      </c>
      <c r="AE622" t="s">
        <v>2165</v>
      </c>
      <c r="AG622" t="s">
        <v>2220</v>
      </c>
      <c r="AH622">
        <v>19</v>
      </c>
      <c r="AI622">
        <v>34</v>
      </c>
      <c r="AJ622">
        <v>15</v>
      </c>
      <c r="AK622">
        <v>5</v>
      </c>
      <c r="AL622" t="s">
        <v>2224</v>
      </c>
      <c r="AM622">
        <v>0</v>
      </c>
      <c r="AN622" t="s">
        <v>2176</v>
      </c>
      <c r="AO622" t="s">
        <v>2176</v>
      </c>
      <c r="AP622" t="s">
        <v>2176</v>
      </c>
      <c r="AQ622">
        <v>20.010000000000002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4.5999999999999996</v>
      </c>
      <c r="AY622">
        <v>4.5999999999999996</v>
      </c>
      <c r="AZ622">
        <v>3</v>
      </c>
      <c r="BA622">
        <v>0</v>
      </c>
      <c r="BB622">
        <v>36</v>
      </c>
      <c r="BC622">
        <v>27</v>
      </c>
      <c r="BD622">
        <v>31.37</v>
      </c>
      <c r="BE622">
        <v>158</v>
      </c>
      <c r="BF622">
        <v>87.1</v>
      </c>
      <c r="BG622">
        <v>36</v>
      </c>
      <c r="BH622">
        <v>27</v>
      </c>
      <c r="BI622">
        <v>31.37</v>
      </c>
      <c r="BJ622">
        <v>158</v>
      </c>
      <c r="BK622">
        <v>87.1</v>
      </c>
      <c r="BL622">
        <v>158</v>
      </c>
      <c r="BM622">
        <v>1.0573999999999999</v>
      </c>
    </row>
    <row r="623" spans="1:65" x14ac:dyDescent="0.25">
      <c r="A623" t="s">
        <v>686</v>
      </c>
      <c r="B623" t="s">
        <v>1666</v>
      </c>
      <c r="C623" t="s">
        <v>2159</v>
      </c>
      <c r="D623" s="1">
        <v>45344</v>
      </c>
      <c r="E623" s="1">
        <v>45401</v>
      </c>
      <c r="F623" s="1">
        <v>45443</v>
      </c>
      <c r="G623" t="s">
        <v>2163</v>
      </c>
      <c r="I623" t="s">
        <v>2174</v>
      </c>
      <c r="J623">
        <v>4173</v>
      </c>
      <c r="K623">
        <v>125</v>
      </c>
      <c r="L623">
        <v>6.1</v>
      </c>
      <c r="M623">
        <v>6.1</v>
      </c>
      <c r="N623">
        <v>1</v>
      </c>
      <c r="O623">
        <v>3295</v>
      </c>
      <c r="P623" t="s">
        <v>2176</v>
      </c>
      <c r="Q623">
        <v>3</v>
      </c>
      <c r="R623">
        <v>4</v>
      </c>
      <c r="S623">
        <v>12</v>
      </c>
      <c r="T623">
        <v>219</v>
      </c>
      <c r="U623" t="s">
        <v>2163</v>
      </c>
      <c r="W623" t="s">
        <v>2208</v>
      </c>
      <c r="X623" t="s">
        <v>2210</v>
      </c>
      <c r="Y623" t="s">
        <v>2212</v>
      </c>
      <c r="Z623" s="1">
        <v>45420</v>
      </c>
      <c r="AA623" s="1">
        <v>45438</v>
      </c>
      <c r="AB623" t="s">
        <v>2214</v>
      </c>
      <c r="AC623" t="s">
        <v>2209</v>
      </c>
      <c r="AD623" t="s">
        <v>2216</v>
      </c>
      <c r="AE623" t="s">
        <v>2163</v>
      </c>
      <c r="AG623" t="s">
        <v>2220</v>
      </c>
      <c r="AH623">
        <v>19</v>
      </c>
      <c r="AI623">
        <v>37</v>
      </c>
      <c r="AJ623">
        <v>18</v>
      </c>
      <c r="AK623">
        <v>4</v>
      </c>
      <c r="AL623" t="s">
        <v>2225</v>
      </c>
      <c r="AM623">
        <v>0</v>
      </c>
      <c r="AN623" t="s">
        <v>2177</v>
      </c>
      <c r="AO623" t="s">
        <v>2176</v>
      </c>
      <c r="AP623" t="s">
        <v>2176</v>
      </c>
      <c r="AQ623">
        <v>37.209999999999987</v>
      </c>
      <c r="AR623">
        <v>1</v>
      </c>
      <c r="AS623">
        <v>2</v>
      </c>
      <c r="AT623">
        <v>1</v>
      </c>
      <c r="AU623">
        <v>1</v>
      </c>
      <c r="AV623">
        <v>1.333333333333333</v>
      </c>
      <c r="AW623">
        <v>4.4000000000000004</v>
      </c>
      <c r="AY623">
        <v>4.4000000000000004</v>
      </c>
      <c r="AZ623">
        <v>0</v>
      </c>
      <c r="BA623">
        <v>0</v>
      </c>
      <c r="BB623">
        <v>31</v>
      </c>
      <c r="BC623">
        <v>26</v>
      </c>
      <c r="BD623">
        <v>27.23</v>
      </c>
      <c r="BE623">
        <v>132</v>
      </c>
      <c r="BF623">
        <v>87.8</v>
      </c>
      <c r="BG623">
        <v>31</v>
      </c>
      <c r="BH623">
        <v>26</v>
      </c>
      <c r="BI623">
        <v>27.23</v>
      </c>
      <c r="BJ623">
        <v>132</v>
      </c>
      <c r="BK623">
        <v>87.8</v>
      </c>
      <c r="BL623">
        <v>132</v>
      </c>
      <c r="BM623">
        <v>1.2156</v>
      </c>
    </row>
    <row r="624" spans="1:65" x14ac:dyDescent="0.25">
      <c r="A624" t="s">
        <v>687</v>
      </c>
      <c r="B624" t="s">
        <v>1667</v>
      </c>
      <c r="C624" t="s">
        <v>2158</v>
      </c>
      <c r="D624" s="1">
        <v>45439</v>
      </c>
      <c r="E624" s="1">
        <v>45461</v>
      </c>
      <c r="F624" s="1">
        <v>45493</v>
      </c>
      <c r="G624" t="s">
        <v>2165</v>
      </c>
      <c r="I624" t="s">
        <v>2174</v>
      </c>
      <c r="J624">
        <v>3062</v>
      </c>
      <c r="K624">
        <v>91</v>
      </c>
      <c r="L624">
        <v>5.7</v>
      </c>
      <c r="M624">
        <v>7.6</v>
      </c>
      <c r="N624">
        <v>2</v>
      </c>
      <c r="O624">
        <v>3349</v>
      </c>
      <c r="P624" t="s">
        <v>2176</v>
      </c>
      <c r="Q624">
        <v>2</v>
      </c>
      <c r="R624">
        <v>3</v>
      </c>
      <c r="S624">
        <v>8</v>
      </c>
      <c r="T624">
        <v>235</v>
      </c>
      <c r="U624" t="s">
        <v>2165</v>
      </c>
      <c r="W624" t="s">
        <v>2208</v>
      </c>
      <c r="X624" t="s">
        <v>2210</v>
      </c>
      <c r="Y624" t="s">
        <v>2212</v>
      </c>
      <c r="Z624" s="1">
        <v>45474</v>
      </c>
      <c r="AA624" s="1">
        <v>45491</v>
      </c>
      <c r="AB624" t="s">
        <v>2214</v>
      </c>
      <c r="AC624" t="s">
        <v>2209</v>
      </c>
      <c r="AD624" t="s">
        <v>2216</v>
      </c>
      <c r="AE624" t="s">
        <v>2165</v>
      </c>
      <c r="AG624" t="s">
        <v>2220</v>
      </c>
      <c r="AH624">
        <v>13</v>
      </c>
      <c r="AI624">
        <v>30</v>
      </c>
      <c r="AJ624">
        <v>17</v>
      </c>
      <c r="AK624">
        <v>6</v>
      </c>
      <c r="AL624" t="s">
        <v>2223</v>
      </c>
      <c r="AM624">
        <v>0</v>
      </c>
      <c r="AN624" t="s">
        <v>2177</v>
      </c>
      <c r="AO624" t="s">
        <v>2176</v>
      </c>
      <c r="AP624" t="s">
        <v>2176</v>
      </c>
      <c r="AQ624">
        <v>43.32</v>
      </c>
      <c r="AR624">
        <v>1</v>
      </c>
      <c r="AS624">
        <v>2</v>
      </c>
      <c r="AT624">
        <v>1</v>
      </c>
      <c r="AU624">
        <v>1</v>
      </c>
      <c r="AV624">
        <v>1.333333333333333</v>
      </c>
      <c r="AW624">
        <v>4.5999999999999996</v>
      </c>
      <c r="AY624">
        <v>4.5999999999999996</v>
      </c>
      <c r="AZ624">
        <v>2</v>
      </c>
      <c r="BA624">
        <v>0</v>
      </c>
      <c r="BB624">
        <v>40</v>
      </c>
      <c r="BC624">
        <v>25</v>
      </c>
      <c r="BD624">
        <v>34.72</v>
      </c>
      <c r="BE624">
        <v>161</v>
      </c>
      <c r="BF624">
        <v>86.8</v>
      </c>
      <c r="BG624">
        <v>40</v>
      </c>
      <c r="BH624">
        <v>25</v>
      </c>
      <c r="BI624">
        <v>34.72</v>
      </c>
      <c r="BJ624">
        <v>161</v>
      </c>
      <c r="BK624">
        <v>86.8</v>
      </c>
      <c r="BL624">
        <v>161</v>
      </c>
      <c r="BM624">
        <v>0.76060000000000005</v>
      </c>
    </row>
    <row r="625" spans="1:65" x14ac:dyDescent="0.25">
      <c r="A625" t="s">
        <v>688</v>
      </c>
      <c r="B625" t="s">
        <v>1668</v>
      </c>
      <c r="C625" t="s">
        <v>2160</v>
      </c>
      <c r="D625" s="1">
        <v>45288</v>
      </c>
      <c r="E625" s="1">
        <v>45333</v>
      </c>
      <c r="F625" s="1">
        <v>45355</v>
      </c>
      <c r="G625" t="s">
        <v>2162</v>
      </c>
      <c r="I625" t="s">
        <v>2174</v>
      </c>
      <c r="J625">
        <v>2116</v>
      </c>
      <c r="K625">
        <v>63</v>
      </c>
      <c r="L625">
        <v>2.8</v>
      </c>
      <c r="M625">
        <v>8</v>
      </c>
      <c r="N625">
        <v>1</v>
      </c>
      <c r="O625">
        <v>5958</v>
      </c>
      <c r="P625" t="s">
        <v>2176</v>
      </c>
      <c r="Q625">
        <v>1</v>
      </c>
      <c r="R625">
        <v>1</v>
      </c>
      <c r="S625">
        <v>5</v>
      </c>
      <c r="T625">
        <v>302</v>
      </c>
      <c r="U625" t="s">
        <v>2162</v>
      </c>
      <c r="W625" t="s">
        <v>2208</v>
      </c>
      <c r="X625" t="s">
        <v>2210</v>
      </c>
      <c r="Y625" t="s">
        <v>2212</v>
      </c>
      <c r="Z625" s="1">
        <v>45340</v>
      </c>
      <c r="AA625" s="1">
        <v>45356</v>
      </c>
      <c r="AB625" t="s">
        <v>2214</v>
      </c>
      <c r="AC625" t="s">
        <v>2209</v>
      </c>
      <c r="AD625" t="s">
        <v>2216</v>
      </c>
      <c r="AE625" t="s">
        <v>2162</v>
      </c>
      <c r="AG625" t="s">
        <v>2220</v>
      </c>
      <c r="AH625">
        <v>7</v>
      </c>
      <c r="AI625">
        <v>23</v>
      </c>
      <c r="AJ625">
        <v>16</v>
      </c>
      <c r="AK625">
        <v>2</v>
      </c>
      <c r="AL625" t="s">
        <v>2228</v>
      </c>
      <c r="AM625">
        <v>0</v>
      </c>
      <c r="AN625" t="s">
        <v>2176</v>
      </c>
      <c r="AO625" t="s">
        <v>2176</v>
      </c>
      <c r="AP625" t="s">
        <v>2176</v>
      </c>
      <c r="AQ625">
        <v>22.4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4.2</v>
      </c>
      <c r="AY625">
        <v>4.2</v>
      </c>
      <c r="AZ625">
        <v>1</v>
      </c>
      <c r="BA625">
        <v>0</v>
      </c>
      <c r="BB625">
        <v>34</v>
      </c>
      <c r="BC625">
        <v>24</v>
      </c>
      <c r="BD625">
        <v>30.5</v>
      </c>
      <c r="BE625">
        <v>136</v>
      </c>
      <c r="BF625">
        <v>89.7</v>
      </c>
      <c r="BG625">
        <v>34</v>
      </c>
      <c r="BH625">
        <v>24</v>
      </c>
      <c r="BI625">
        <v>30.5</v>
      </c>
      <c r="BJ625">
        <v>136</v>
      </c>
      <c r="BK625">
        <v>89.7</v>
      </c>
      <c r="BL625">
        <v>136</v>
      </c>
      <c r="BM625">
        <v>0.64810000000000001</v>
      </c>
    </row>
    <row r="626" spans="1:65" x14ac:dyDescent="0.25">
      <c r="A626" t="s">
        <v>689</v>
      </c>
      <c r="B626" t="s">
        <v>1669</v>
      </c>
      <c r="C626" t="s">
        <v>2160</v>
      </c>
      <c r="D626" s="1">
        <v>45277</v>
      </c>
      <c r="E626" s="1">
        <v>45325</v>
      </c>
      <c r="F626" s="1">
        <v>45373</v>
      </c>
      <c r="G626" t="s">
        <v>2166</v>
      </c>
      <c r="I626" t="s">
        <v>2174</v>
      </c>
      <c r="J626">
        <v>2355</v>
      </c>
      <c r="K626">
        <v>70</v>
      </c>
      <c r="L626">
        <v>2.4</v>
      </c>
      <c r="M626">
        <v>5.7</v>
      </c>
      <c r="N626">
        <v>2</v>
      </c>
      <c r="O626">
        <v>2283</v>
      </c>
      <c r="P626" t="s">
        <v>2176</v>
      </c>
      <c r="Q626">
        <v>2</v>
      </c>
      <c r="R626">
        <v>2</v>
      </c>
      <c r="S626">
        <v>7</v>
      </c>
      <c r="T626">
        <v>214</v>
      </c>
      <c r="U626" t="s">
        <v>2166</v>
      </c>
      <c r="W626" t="s">
        <v>2208</v>
      </c>
      <c r="X626" t="s">
        <v>2210</v>
      </c>
      <c r="Y626" t="s">
        <v>2212</v>
      </c>
      <c r="Z626" s="1">
        <v>45336</v>
      </c>
      <c r="AA626" s="1">
        <v>45352</v>
      </c>
      <c r="AB626" t="s">
        <v>2214</v>
      </c>
      <c r="AC626" t="s">
        <v>2209</v>
      </c>
      <c r="AD626" t="s">
        <v>2216</v>
      </c>
      <c r="AE626" t="s">
        <v>2166</v>
      </c>
      <c r="AG626" t="s">
        <v>2220</v>
      </c>
      <c r="AH626">
        <v>11</v>
      </c>
      <c r="AI626">
        <v>27</v>
      </c>
      <c r="AJ626">
        <v>16</v>
      </c>
      <c r="AK626">
        <v>2</v>
      </c>
      <c r="AL626" t="s">
        <v>2228</v>
      </c>
      <c r="AM626">
        <v>0</v>
      </c>
      <c r="AN626" t="s">
        <v>2176</v>
      </c>
      <c r="AO626" t="s">
        <v>2176</v>
      </c>
      <c r="AP626" t="s">
        <v>2176</v>
      </c>
      <c r="AQ626">
        <v>13.68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4.8</v>
      </c>
      <c r="AY626">
        <v>4.8</v>
      </c>
      <c r="AZ626">
        <v>1</v>
      </c>
      <c r="BA626">
        <v>0</v>
      </c>
      <c r="BB626">
        <v>40</v>
      </c>
      <c r="BC626">
        <v>24</v>
      </c>
      <c r="BD626">
        <v>35.54</v>
      </c>
      <c r="BE626">
        <v>160</v>
      </c>
      <c r="BF626">
        <v>88.8</v>
      </c>
      <c r="BG626">
        <v>40</v>
      </c>
      <c r="BH626">
        <v>24</v>
      </c>
      <c r="BI626">
        <v>35.54</v>
      </c>
      <c r="BJ626">
        <v>160</v>
      </c>
      <c r="BK626">
        <v>88.8</v>
      </c>
      <c r="BL626">
        <v>160</v>
      </c>
      <c r="BM626">
        <v>0.61309999999999998</v>
      </c>
    </row>
    <row r="627" spans="1:65" x14ac:dyDescent="0.25">
      <c r="A627" t="s">
        <v>690</v>
      </c>
      <c r="B627" t="s">
        <v>1670</v>
      </c>
      <c r="C627" t="s">
        <v>2158</v>
      </c>
      <c r="D627" s="1">
        <v>45305</v>
      </c>
      <c r="E627" s="1">
        <v>45363</v>
      </c>
      <c r="F627" s="1">
        <v>45392</v>
      </c>
      <c r="G627" t="s">
        <v>2161</v>
      </c>
      <c r="I627" t="s">
        <v>2174</v>
      </c>
      <c r="J627">
        <v>4425</v>
      </c>
      <c r="K627">
        <v>132</v>
      </c>
      <c r="L627">
        <v>7.8</v>
      </c>
      <c r="M627">
        <v>4.4000000000000004</v>
      </c>
      <c r="N627">
        <v>2</v>
      </c>
      <c r="O627">
        <v>3525</v>
      </c>
      <c r="P627" t="s">
        <v>2176</v>
      </c>
      <c r="Q627">
        <v>3</v>
      </c>
      <c r="R627">
        <v>4</v>
      </c>
      <c r="S627">
        <v>6</v>
      </c>
      <c r="T627">
        <v>340</v>
      </c>
      <c r="U627" t="s">
        <v>2161</v>
      </c>
      <c r="W627" t="s">
        <v>2208</v>
      </c>
      <c r="X627" t="s">
        <v>2210</v>
      </c>
      <c r="Y627" t="s">
        <v>2212</v>
      </c>
      <c r="Z627" s="1">
        <v>45376</v>
      </c>
      <c r="AA627" s="1">
        <v>45392</v>
      </c>
      <c r="AB627" t="s">
        <v>2214</v>
      </c>
      <c r="AC627" t="s">
        <v>2209</v>
      </c>
      <c r="AD627" t="s">
        <v>2216</v>
      </c>
      <c r="AE627" t="s">
        <v>2161</v>
      </c>
      <c r="AG627" t="s">
        <v>2220</v>
      </c>
      <c r="AH627">
        <v>13</v>
      </c>
      <c r="AI627">
        <v>29</v>
      </c>
      <c r="AJ627">
        <v>16</v>
      </c>
      <c r="AK627">
        <v>3</v>
      </c>
      <c r="AL627" t="s">
        <v>2227</v>
      </c>
      <c r="AM627">
        <v>0</v>
      </c>
      <c r="AN627" t="s">
        <v>2176</v>
      </c>
      <c r="AO627" t="s">
        <v>2176</v>
      </c>
      <c r="AP627" t="s">
        <v>2176</v>
      </c>
      <c r="AQ627">
        <v>34.32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4.3</v>
      </c>
      <c r="AY627">
        <v>4.3</v>
      </c>
      <c r="AZ627">
        <v>2</v>
      </c>
      <c r="BA627">
        <v>0</v>
      </c>
      <c r="BB627">
        <v>38</v>
      </c>
      <c r="BC627">
        <v>26</v>
      </c>
      <c r="BD627">
        <v>33.729999999999997</v>
      </c>
      <c r="BE627">
        <v>164</v>
      </c>
      <c r="BF627">
        <v>88.8</v>
      </c>
      <c r="BG627">
        <v>38</v>
      </c>
      <c r="BH627">
        <v>26</v>
      </c>
      <c r="BI627">
        <v>33.729999999999997</v>
      </c>
      <c r="BJ627">
        <v>164</v>
      </c>
      <c r="BK627">
        <v>88.8</v>
      </c>
      <c r="BL627">
        <v>164</v>
      </c>
      <c r="BM627">
        <v>1.0375000000000001</v>
      </c>
    </row>
    <row r="628" spans="1:65" x14ac:dyDescent="0.25">
      <c r="A628" t="s">
        <v>691</v>
      </c>
      <c r="B628" t="s">
        <v>1671</v>
      </c>
      <c r="C628" t="s">
        <v>2159</v>
      </c>
      <c r="D628" s="1">
        <v>45358</v>
      </c>
      <c r="E628" s="1">
        <v>45401</v>
      </c>
      <c r="F628" s="1">
        <v>45441</v>
      </c>
      <c r="G628" t="s">
        <v>2164</v>
      </c>
      <c r="I628" t="s">
        <v>2174</v>
      </c>
      <c r="J628">
        <v>4667</v>
      </c>
      <c r="K628">
        <v>140</v>
      </c>
      <c r="L628">
        <v>2.1</v>
      </c>
      <c r="M628">
        <v>4.0999999999999996</v>
      </c>
      <c r="N628">
        <v>2</v>
      </c>
      <c r="O628">
        <v>5009</v>
      </c>
      <c r="P628" t="s">
        <v>2176</v>
      </c>
      <c r="Q628">
        <v>5</v>
      </c>
      <c r="R628">
        <v>6</v>
      </c>
      <c r="S628">
        <v>10</v>
      </c>
      <c r="T628">
        <v>222</v>
      </c>
      <c r="U628" t="s">
        <v>2164</v>
      </c>
      <c r="W628" t="s">
        <v>2208</v>
      </c>
      <c r="X628" t="s">
        <v>2210</v>
      </c>
      <c r="Y628" t="s">
        <v>2212</v>
      </c>
      <c r="Z628" s="1">
        <v>45422</v>
      </c>
      <c r="AA628" s="1">
        <v>45441</v>
      </c>
      <c r="AB628" t="s">
        <v>2214</v>
      </c>
      <c r="AC628" t="s">
        <v>2209</v>
      </c>
      <c r="AD628" t="s">
        <v>2216</v>
      </c>
      <c r="AE628" t="s">
        <v>2164</v>
      </c>
      <c r="AG628" t="s">
        <v>2220</v>
      </c>
      <c r="AH628">
        <v>21</v>
      </c>
      <c r="AI628">
        <v>40</v>
      </c>
      <c r="AJ628">
        <v>19</v>
      </c>
      <c r="AK628">
        <v>4</v>
      </c>
      <c r="AL628" t="s">
        <v>2225</v>
      </c>
      <c r="AM628">
        <v>0</v>
      </c>
      <c r="AN628" t="s">
        <v>2176</v>
      </c>
      <c r="AO628" t="s">
        <v>2176</v>
      </c>
      <c r="AP628" t="s">
        <v>2176</v>
      </c>
      <c r="AQ628">
        <v>8.61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4.5</v>
      </c>
      <c r="AY628">
        <v>4.5</v>
      </c>
      <c r="AZ628">
        <v>0</v>
      </c>
      <c r="BA628">
        <v>0</v>
      </c>
      <c r="BB628">
        <v>30</v>
      </c>
      <c r="BC628">
        <v>26</v>
      </c>
      <c r="BD628">
        <v>26.42</v>
      </c>
      <c r="BE628">
        <v>126</v>
      </c>
      <c r="BF628">
        <v>88.1</v>
      </c>
      <c r="BG628">
        <v>30</v>
      </c>
      <c r="BH628">
        <v>26</v>
      </c>
      <c r="BI628">
        <v>26.42</v>
      </c>
      <c r="BJ628">
        <v>126</v>
      </c>
      <c r="BK628">
        <v>88.1</v>
      </c>
      <c r="BL628">
        <v>126</v>
      </c>
      <c r="BM628">
        <v>1.4241999999999999</v>
      </c>
    </row>
    <row r="629" spans="1:65" x14ac:dyDescent="0.25">
      <c r="A629" t="s">
        <v>692</v>
      </c>
      <c r="B629" t="s">
        <v>1672</v>
      </c>
      <c r="C629" t="s">
        <v>2160</v>
      </c>
      <c r="D629" s="1">
        <v>45278</v>
      </c>
      <c r="E629" s="1">
        <v>45306</v>
      </c>
      <c r="F629" s="1">
        <v>45348</v>
      </c>
      <c r="G629" t="s">
        <v>2163</v>
      </c>
      <c r="I629" t="s">
        <v>2176</v>
      </c>
      <c r="J629">
        <v>1871</v>
      </c>
      <c r="K629">
        <v>56</v>
      </c>
      <c r="L629">
        <v>4.5999999999999996</v>
      </c>
      <c r="M629">
        <v>2.2000000000000002</v>
      </c>
      <c r="N629">
        <v>2</v>
      </c>
      <c r="O629">
        <v>2676</v>
      </c>
      <c r="P629" t="s">
        <v>2176</v>
      </c>
      <c r="Q629">
        <v>1</v>
      </c>
      <c r="R629">
        <v>1</v>
      </c>
      <c r="S629">
        <v>4</v>
      </c>
      <c r="T629">
        <v>311</v>
      </c>
      <c r="U629" t="s">
        <v>2163</v>
      </c>
      <c r="W629" t="s">
        <v>2208</v>
      </c>
      <c r="X629" t="s">
        <v>2210</v>
      </c>
      <c r="Y629" t="s">
        <v>2212</v>
      </c>
      <c r="Z629" s="1">
        <v>45312</v>
      </c>
      <c r="AA629" s="1">
        <v>45329</v>
      </c>
      <c r="AB629" t="s">
        <v>2214</v>
      </c>
      <c r="AC629" t="s">
        <v>2209</v>
      </c>
      <c r="AD629" t="s">
        <v>2216</v>
      </c>
      <c r="AE629" t="s">
        <v>2163</v>
      </c>
      <c r="AG629" t="s">
        <v>2220</v>
      </c>
      <c r="AH629">
        <v>6</v>
      </c>
      <c r="AI629">
        <v>23</v>
      </c>
      <c r="AJ629">
        <v>17</v>
      </c>
      <c r="AK629">
        <v>1</v>
      </c>
      <c r="AL629" t="s">
        <v>2233</v>
      </c>
      <c r="AM629">
        <v>0</v>
      </c>
      <c r="AN629" t="s">
        <v>2176</v>
      </c>
      <c r="AO629" t="s">
        <v>2176</v>
      </c>
      <c r="AP629" t="s">
        <v>2176</v>
      </c>
      <c r="AQ629">
        <v>10.119999999999999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4.4000000000000004</v>
      </c>
      <c r="AY629">
        <v>4.4000000000000004</v>
      </c>
      <c r="AZ629">
        <v>1</v>
      </c>
      <c r="BA629">
        <v>1</v>
      </c>
      <c r="BB629">
        <v>40</v>
      </c>
      <c r="BC629">
        <v>27</v>
      </c>
      <c r="BD629">
        <v>34.93</v>
      </c>
      <c r="BE629">
        <v>178</v>
      </c>
      <c r="BF629">
        <v>87.3</v>
      </c>
      <c r="BG629">
        <v>40</v>
      </c>
      <c r="BH629">
        <v>27</v>
      </c>
      <c r="BI629">
        <v>34.93</v>
      </c>
      <c r="BJ629">
        <v>178</v>
      </c>
      <c r="BK629">
        <v>87.3</v>
      </c>
      <c r="BL629">
        <v>178</v>
      </c>
      <c r="BM629">
        <v>0.38919999999999999</v>
      </c>
    </row>
    <row r="630" spans="1:65" x14ac:dyDescent="0.25">
      <c r="A630" t="s">
        <v>693</v>
      </c>
      <c r="B630" t="s">
        <v>1673</v>
      </c>
      <c r="C630" t="s">
        <v>2160</v>
      </c>
      <c r="D630" s="1">
        <v>45496</v>
      </c>
      <c r="E630" s="1">
        <v>45541</v>
      </c>
      <c r="F630" s="1">
        <v>45577</v>
      </c>
      <c r="G630" t="s">
        <v>2164</v>
      </c>
      <c r="I630" t="s">
        <v>2176</v>
      </c>
      <c r="J630">
        <v>3593</v>
      </c>
      <c r="K630">
        <v>107</v>
      </c>
      <c r="L630">
        <v>4.2</v>
      </c>
      <c r="M630">
        <v>4.4000000000000004</v>
      </c>
      <c r="N630">
        <v>2</v>
      </c>
      <c r="O630">
        <v>4696</v>
      </c>
      <c r="P630" t="s">
        <v>2176</v>
      </c>
      <c r="Q630">
        <v>3</v>
      </c>
      <c r="R630">
        <v>3</v>
      </c>
      <c r="S630">
        <v>9</v>
      </c>
      <c r="T630">
        <v>239</v>
      </c>
      <c r="U630" t="s">
        <v>2164</v>
      </c>
      <c r="W630" t="s">
        <v>2208</v>
      </c>
      <c r="X630" t="s">
        <v>2210</v>
      </c>
      <c r="Y630" t="s">
        <v>2212</v>
      </c>
      <c r="Z630" s="1">
        <v>45556</v>
      </c>
      <c r="AA630" s="1">
        <v>45575</v>
      </c>
      <c r="AB630" t="s">
        <v>2214</v>
      </c>
      <c r="AC630" t="s">
        <v>2209</v>
      </c>
      <c r="AD630" t="s">
        <v>2216</v>
      </c>
      <c r="AE630" t="s">
        <v>2164</v>
      </c>
      <c r="AG630" t="s">
        <v>2220</v>
      </c>
      <c r="AH630">
        <v>15</v>
      </c>
      <c r="AI630">
        <v>34</v>
      </c>
      <c r="AJ630">
        <v>19</v>
      </c>
      <c r="AK630">
        <v>9</v>
      </c>
      <c r="AL630" t="s">
        <v>2234</v>
      </c>
      <c r="AM630">
        <v>0</v>
      </c>
      <c r="AN630" t="s">
        <v>2176</v>
      </c>
      <c r="AO630" t="s">
        <v>2176</v>
      </c>
      <c r="AP630" t="s">
        <v>2176</v>
      </c>
      <c r="AQ630">
        <v>18.48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4.5</v>
      </c>
      <c r="AY630">
        <v>4.5</v>
      </c>
      <c r="AZ630">
        <v>1</v>
      </c>
      <c r="BA630">
        <v>1</v>
      </c>
      <c r="BB630">
        <v>34</v>
      </c>
      <c r="BC630">
        <v>26</v>
      </c>
      <c r="BD630">
        <v>29.81</v>
      </c>
      <c r="BE630">
        <v>147</v>
      </c>
      <c r="BF630">
        <v>87.7</v>
      </c>
      <c r="BG630">
        <v>34</v>
      </c>
      <c r="BH630">
        <v>26</v>
      </c>
      <c r="BI630">
        <v>29.81</v>
      </c>
      <c r="BJ630">
        <v>147</v>
      </c>
      <c r="BK630">
        <v>87.7</v>
      </c>
      <c r="BL630">
        <v>147</v>
      </c>
      <c r="BM630">
        <v>0.93979999999999997</v>
      </c>
    </row>
    <row r="631" spans="1:65" x14ac:dyDescent="0.25">
      <c r="A631" t="s">
        <v>694</v>
      </c>
      <c r="B631" t="s">
        <v>1674</v>
      </c>
      <c r="C631" t="s">
        <v>2160</v>
      </c>
      <c r="D631" s="1">
        <v>45497</v>
      </c>
      <c r="E631" s="1">
        <v>45521</v>
      </c>
      <c r="F631" s="1">
        <v>45557</v>
      </c>
      <c r="G631" t="s">
        <v>2166</v>
      </c>
      <c r="I631" t="s">
        <v>2174</v>
      </c>
      <c r="J631">
        <v>1273</v>
      </c>
      <c r="K631">
        <v>38</v>
      </c>
      <c r="L631">
        <v>5.9</v>
      </c>
      <c r="M631">
        <v>3.4</v>
      </c>
      <c r="N631">
        <v>2</v>
      </c>
      <c r="O631">
        <v>4699</v>
      </c>
      <c r="P631" t="s">
        <v>2176</v>
      </c>
      <c r="Q631">
        <v>1</v>
      </c>
      <c r="R631">
        <v>1</v>
      </c>
      <c r="S631">
        <v>2</v>
      </c>
      <c r="T631">
        <v>318</v>
      </c>
      <c r="U631" t="s">
        <v>2166</v>
      </c>
      <c r="W631" t="s">
        <v>2208</v>
      </c>
      <c r="X631" t="s">
        <v>2210</v>
      </c>
      <c r="Y631" t="s">
        <v>2212</v>
      </c>
      <c r="Z631" s="1">
        <v>45525</v>
      </c>
      <c r="AA631" s="1">
        <v>45544</v>
      </c>
      <c r="AB631" t="s">
        <v>2214</v>
      </c>
      <c r="AC631" t="s">
        <v>2209</v>
      </c>
      <c r="AD631" t="s">
        <v>2216</v>
      </c>
      <c r="AE631" t="s">
        <v>2166</v>
      </c>
      <c r="AG631" t="s">
        <v>2220</v>
      </c>
      <c r="AH631">
        <v>4</v>
      </c>
      <c r="AI631">
        <v>23</v>
      </c>
      <c r="AJ631">
        <v>19</v>
      </c>
      <c r="AK631">
        <v>8</v>
      </c>
      <c r="AL631" t="s">
        <v>2232</v>
      </c>
      <c r="AM631">
        <v>0</v>
      </c>
      <c r="AN631" t="s">
        <v>2176</v>
      </c>
      <c r="AO631" t="s">
        <v>2176</v>
      </c>
      <c r="AP631" t="s">
        <v>2176</v>
      </c>
      <c r="AQ631">
        <v>20.059999999999999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4.8</v>
      </c>
      <c r="AY631">
        <v>4.8</v>
      </c>
      <c r="AZ631">
        <v>1</v>
      </c>
      <c r="BA631">
        <v>0</v>
      </c>
      <c r="BB631">
        <v>41</v>
      </c>
      <c r="BC631">
        <v>26</v>
      </c>
      <c r="BD631">
        <v>36.15</v>
      </c>
      <c r="BE631">
        <v>176</v>
      </c>
      <c r="BF631">
        <v>88.2</v>
      </c>
      <c r="BG631">
        <v>41</v>
      </c>
      <c r="BH631">
        <v>26</v>
      </c>
      <c r="BI631">
        <v>36.15</v>
      </c>
      <c r="BJ631">
        <v>176</v>
      </c>
      <c r="BK631">
        <v>88.2</v>
      </c>
      <c r="BL631">
        <v>176</v>
      </c>
      <c r="BM631">
        <v>0.27810000000000001</v>
      </c>
    </row>
    <row r="632" spans="1:65" x14ac:dyDescent="0.25">
      <c r="A632" t="s">
        <v>695</v>
      </c>
      <c r="B632" t="s">
        <v>1675</v>
      </c>
      <c r="C632" t="s">
        <v>2160</v>
      </c>
      <c r="D632" s="1">
        <v>45371</v>
      </c>
      <c r="E632" s="1">
        <v>45397</v>
      </c>
      <c r="F632" s="1">
        <v>45423</v>
      </c>
      <c r="G632" t="s">
        <v>2166</v>
      </c>
      <c r="I632" t="s">
        <v>2176</v>
      </c>
      <c r="J632">
        <v>2424</v>
      </c>
      <c r="K632">
        <v>72</v>
      </c>
      <c r="L632">
        <v>5.5</v>
      </c>
      <c r="M632">
        <v>4.5999999999999996</v>
      </c>
      <c r="N632">
        <v>1</v>
      </c>
      <c r="O632">
        <v>3635</v>
      </c>
      <c r="P632" t="s">
        <v>2176</v>
      </c>
      <c r="Q632">
        <v>2</v>
      </c>
      <c r="R632">
        <v>2</v>
      </c>
      <c r="S632">
        <v>4</v>
      </c>
      <c r="T632">
        <v>303</v>
      </c>
      <c r="U632" t="s">
        <v>2166</v>
      </c>
      <c r="W632" t="s">
        <v>2208</v>
      </c>
      <c r="X632" t="s">
        <v>2210</v>
      </c>
      <c r="Y632" t="s">
        <v>2212</v>
      </c>
      <c r="Z632" s="1">
        <v>45405</v>
      </c>
      <c r="AA632" s="1">
        <v>45419</v>
      </c>
      <c r="AB632" t="s">
        <v>2214</v>
      </c>
      <c r="AC632" t="s">
        <v>2209</v>
      </c>
      <c r="AD632" t="s">
        <v>2216</v>
      </c>
      <c r="AE632" t="s">
        <v>2166</v>
      </c>
      <c r="AG632" t="s">
        <v>2220</v>
      </c>
      <c r="AH632">
        <v>8</v>
      </c>
      <c r="AI632">
        <v>22</v>
      </c>
      <c r="AJ632">
        <v>14</v>
      </c>
      <c r="AK632">
        <v>4</v>
      </c>
      <c r="AL632" t="s">
        <v>2225</v>
      </c>
      <c r="AM632">
        <v>0</v>
      </c>
      <c r="AN632" t="s">
        <v>2176</v>
      </c>
      <c r="AO632" t="s">
        <v>2176</v>
      </c>
      <c r="AP632" t="s">
        <v>2176</v>
      </c>
      <c r="AQ632">
        <v>25.3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4.8</v>
      </c>
      <c r="AY632">
        <v>4.8</v>
      </c>
      <c r="AZ632">
        <v>1</v>
      </c>
      <c r="BA632">
        <v>1</v>
      </c>
      <c r="BB632">
        <v>45</v>
      </c>
      <c r="BC632">
        <v>26</v>
      </c>
      <c r="BD632">
        <v>40.270000000000003</v>
      </c>
      <c r="BE632">
        <v>199</v>
      </c>
      <c r="BF632">
        <v>89.5</v>
      </c>
      <c r="BG632">
        <v>45</v>
      </c>
      <c r="BH632">
        <v>26</v>
      </c>
      <c r="BI632">
        <v>40.270000000000003</v>
      </c>
      <c r="BJ632">
        <v>199</v>
      </c>
      <c r="BK632">
        <v>89.5</v>
      </c>
      <c r="BL632">
        <v>199</v>
      </c>
      <c r="BM632">
        <v>0.46839999999999998</v>
      </c>
    </row>
    <row r="633" spans="1:65" x14ac:dyDescent="0.25">
      <c r="A633" t="s">
        <v>696</v>
      </c>
      <c r="B633" t="s">
        <v>1676</v>
      </c>
      <c r="C633" t="s">
        <v>2158</v>
      </c>
      <c r="D633" s="1">
        <v>45251</v>
      </c>
      <c r="E633" s="1">
        <v>45298</v>
      </c>
      <c r="F633" s="1">
        <v>45326</v>
      </c>
      <c r="G633" t="s">
        <v>2165</v>
      </c>
      <c r="I633" t="s">
        <v>2176</v>
      </c>
      <c r="J633">
        <v>1551</v>
      </c>
      <c r="K633">
        <v>46</v>
      </c>
      <c r="L633">
        <v>7.3</v>
      </c>
      <c r="M633">
        <v>5.3</v>
      </c>
      <c r="N633">
        <v>1</v>
      </c>
      <c r="O633">
        <v>4975</v>
      </c>
      <c r="P633" t="s">
        <v>2176</v>
      </c>
      <c r="Q633">
        <v>1</v>
      </c>
      <c r="R633">
        <v>1</v>
      </c>
      <c r="S633">
        <v>2</v>
      </c>
      <c r="T633">
        <v>387</v>
      </c>
      <c r="U633" t="s">
        <v>2165</v>
      </c>
      <c r="W633" t="s">
        <v>2208</v>
      </c>
      <c r="X633" t="s">
        <v>2210</v>
      </c>
      <c r="Y633" t="s">
        <v>2212</v>
      </c>
      <c r="Z633" s="1">
        <v>45302</v>
      </c>
      <c r="AA633" s="1">
        <v>45315</v>
      </c>
      <c r="AB633" t="s">
        <v>2214</v>
      </c>
      <c r="AC633" t="s">
        <v>2209</v>
      </c>
      <c r="AD633" t="s">
        <v>2216</v>
      </c>
      <c r="AE633" t="s">
        <v>2165</v>
      </c>
      <c r="AG633" t="s">
        <v>2220</v>
      </c>
      <c r="AH633">
        <v>4</v>
      </c>
      <c r="AI633">
        <v>17</v>
      </c>
      <c r="AJ633">
        <v>13</v>
      </c>
      <c r="AK633">
        <v>1</v>
      </c>
      <c r="AL633" t="s">
        <v>2233</v>
      </c>
      <c r="AM633">
        <v>0</v>
      </c>
      <c r="AN633" t="s">
        <v>2177</v>
      </c>
      <c r="AO633" t="s">
        <v>2176</v>
      </c>
      <c r="AP633" t="s">
        <v>2176</v>
      </c>
      <c r="AQ633">
        <v>38.69</v>
      </c>
      <c r="AR633">
        <v>1</v>
      </c>
      <c r="AS633">
        <v>2</v>
      </c>
      <c r="AT633">
        <v>1</v>
      </c>
      <c r="AU633">
        <v>1</v>
      </c>
      <c r="AV633">
        <v>1.333333333333333</v>
      </c>
      <c r="AW633">
        <v>4.5999999999999996</v>
      </c>
      <c r="AY633">
        <v>4.5999999999999996</v>
      </c>
      <c r="AZ633">
        <v>2</v>
      </c>
      <c r="BA633">
        <v>1</v>
      </c>
      <c r="BB633">
        <v>43</v>
      </c>
      <c r="BC633">
        <v>27</v>
      </c>
      <c r="BD633">
        <v>38.299999999999997</v>
      </c>
      <c r="BE633">
        <v>197</v>
      </c>
      <c r="BF633">
        <v>89.1</v>
      </c>
      <c r="BG633">
        <v>43</v>
      </c>
      <c r="BH633">
        <v>27</v>
      </c>
      <c r="BI633">
        <v>38.299999999999997</v>
      </c>
      <c r="BJ633">
        <v>197</v>
      </c>
      <c r="BK633">
        <v>89.1</v>
      </c>
      <c r="BL633">
        <v>197</v>
      </c>
      <c r="BM633">
        <v>0.29149999999999998</v>
      </c>
    </row>
    <row r="634" spans="1:65" x14ac:dyDescent="0.25">
      <c r="A634" t="s">
        <v>697</v>
      </c>
      <c r="B634" t="s">
        <v>1677</v>
      </c>
      <c r="C634" t="s">
        <v>2160</v>
      </c>
      <c r="D634" s="1">
        <v>45277</v>
      </c>
      <c r="E634" s="1">
        <v>45299</v>
      </c>
      <c r="F634" s="1">
        <v>45320</v>
      </c>
      <c r="G634" t="s">
        <v>2166</v>
      </c>
      <c r="I634" t="s">
        <v>2176</v>
      </c>
      <c r="J634">
        <v>1474</v>
      </c>
      <c r="K634">
        <v>44</v>
      </c>
      <c r="L634">
        <v>2.6</v>
      </c>
      <c r="M634">
        <v>7</v>
      </c>
      <c r="N634">
        <v>1</v>
      </c>
      <c r="O634">
        <v>4607</v>
      </c>
      <c r="P634" t="s">
        <v>2176</v>
      </c>
      <c r="Q634">
        <v>1</v>
      </c>
      <c r="R634">
        <v>1</v>
      </c>
      <c r="S634">
        <v>2</v>
      </c>
      <c r="T634">
        <v>368</v>
      </c>
      <c r="U634" t="s">
        <v>2166</v>
      </c>
      <c r="W634" t="s">
        <v>2208</v>
      </c>
      <c r="X634" t="s">
        <v>2210</v>
      </c>
      <c r="Y634" t="s">
        <v>2212</v>
      </c>
      <c r="Z634" s="1">
        <v>45303</v>
      </c>
      <c r="AA634" s="1">
        <v>45317</v>
      </c>
      <c r="AB634" t="s">
        <v>2214</v>
      </c>
      <c r="AC634" t="s">
        <v>2209</v>
      </c>
      <c r="AD634" t="s">
        <v>2216</v>
      </c>
      <c r="AE634" t="s">
        <v>2166</v>
      </c>
      <c r="AG634" t="s">
        <v>2220</v>
      </c>
      <c r="AH634">
        <v>4</v>
      </c>
      <c r="AI634">
        <v>18</v>
      </c>
      <c r="AJ634">
        <v>14</v>
      </c>
      <c r="AK634">
        <v>1</v>
      </c>
      <c r="AL634" t="s">
        <v>2233</v>
      </c>
      <c r="AM634">
        <v>0</v>
      </c>
      <c r="AN634" t="s">
        <v>2176</v>
      </c>
      <c r="AO634" t="s">
        <v>2176</v>
      </c>
      <c r="AP634" t="s">
        <v>2176</v>
      </c>
      <c r="AQ634">
        <v>18.2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4.8</v>
      </c>
      <c r="AY634">
        <v>4.8</v>
      </c>
      <c r="AZ634">
        <v>1</v>
      </c>
      <c r="BA634">
        <v>1</v>
      </c>
      <c r="BB634">
        <v>40</v>
      </c>
      <c r="BC634">
        <v>27</v>
      </c>
      <c r="BD634">
        <v>35.07</v>
      </c>
      <c r="BE634">
        <v>181</v>
      </c>
      <c r="BF634">
        <v>87.7</v>
      </c>
      <c r="BG634">
        <v>40</v>
      </c>
      <c r="BH634">
        <v>27</v>
      </c>
      <c r="BI634">
        <v>35.07</v>
      </c>
      <c r="BJ634">
        <v>181</v>
      </c>
      <c r="BK634">
        <v>87.7</v>
      </c>
      <c r="BL634">
        <v>181</v>
      </c>
      <c r="BM634">
        <v>0.30159999999999998</v>
      </c>
    </row>
    <row r="635" spans="1:65" x14ac:dyDescent="0.25">
      <c r="A635" t="s">
        <v>698</v>
      </c>
      <c r="B635" t="s">
        <v>1678</v>
      </c>
      <c r="C635" t="s">
        <v>2160</v>
      </c>
      <c r="D635" s="1">
        <v>45372</v>
      </c>
      <c r="E635" s="1">
        <v>45397</v>
      </c>
      <c r="F635" s="1">
        <v>45436</v>
      </c>
      <c r="G635" t="s">
        <v>2166</v>
      </c>
      <c r="I635" t="s">
        <v>2174</v>
      </c>
      <c r="J635">
        <v>3480</v>
      </c>
      <c r="K635">
        <v>104</v>
      </c>
      <c r="L635">
        <v>2.2000000000000002</v>
      </c>
      <c r="M635">
        <v>2.8</v>
      </c>
      <c r="N635">
        <v>1</v>
      </c>
      <c r="O635">
        <v>1824</v>
      </c>
      <c r="P635" t="s">
        <v>2176</v>
      </c>
      <c r="Q635">
        <v>3</v>
      </c>
      <c r="R635">
        <v>3</v>
      </c>
      <c r="S635">
        <v>6</v>
      </c>
      <c r="T635">
        <v>290</v>
      </c>
      <c r="U635" t="s">
        <v>2166</v>
      </c>
      <c r="W635" t="s">
        <v>2208</v>
      </c>
      <c r="X635" t="s">
        <v>2210</v>
      </c>
      <c r="Y635" t="s">
        <v>2212</v>
      </c>
      <c r="Z635" s="1">
        <v>45409</v>
      </c>
      <c r="AA635" s="1">
        <v>45426</v>
      </c>
      <c r="AB635" t="s">
        <v>2214</v>
      </c>
      <c r="AC635" t="s">
        <v>2209</v>
      </c>
      <c r="AD635" t="s">
        <v>2216</v>
      </c>
      <c r="AE635" t="s">
        <v>2166</v>
      </c>
      <c r="AG635" t="s">
        <v>2220</v>
      </c>
      <c r="AH635">
        <v>12</v>
      </c>
      <c r="AI635">
        <v>29</v>
      </c>
      <c r="AJ635">
        <v>17</v>
      </c>
      <c r="AK635">
        <v>4</v>
      </c>
      <c r="AL635" t="s">
        <v>2225</v>
      </c>
      <c r="AM635">
        <v>0</v>
      </c>
      <c r="AN635" t="s">
        <v>2176</v>
      </c>
      <c r="AO635" t="s">
        <v>2176</v>
      </c>
      <c r="AP635" t="s">
        <v>2176</v>
      </c>
      <c r="AQ635">
        <v>6.16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4.8</v>
      </c>
      <c r="AY635">
        <v>4.8</v>
      </c>
      <c r="AZ635">
        <v>1</v>
      </c>
      <c r="BA635">
        <v>0</v>
      </c>
      <c r="BB635">
        <v>45</v>
      </c>
      <c r="BC635">
        <v>26</v>
      </c>
      <c r="BD635">
        <v>40.270000000000003</v>
      </c>
      <c r="BE635">
        <v>199</v>
      </c>
      <c r="BF635">
        <v>89.5</v>
      </c>
      <c r="BG635">
        <v>45</v>
      </c>
      <c r="BH635">
        <v>26</v>
      </c>
      <c r="BI635">
        <v>40.270000000000003</v>
      </c>
      <c r="BJ635">
        <v>199</v>
      </c>
      <c r="BK635">
        <v>89.5</v>
      </c>
      <c r="BL635">
        <v>199</v>
      </c>
      <c r="BM635">
        <v>0.67249999999999999</v>
      </c>
    </row>
    <row r="636" spans="1:65" x14ac:dyDescent="0.25">
      <c r="A636" t="s">
        <v>699</v>
      </c>
      <c r="B636" t="s">
        <v>1679</v>
      </c>
      <c r="C636" t="s">
        <v>2159</v>
      </c>
      <c r="D636" s="1">
        <v>45430</v>
      </c>
      <c r="E636" s="1">
        <v>45485</v>
      </c>
      <c r="F636" s="1">
        <v>45529</v>
      </c>
      <c r="G636" t="s">
        <v>2166</v>
      </c>
      <c r="I636" t="s">
        <v>2176</v>
      </c>
      <c r="J636">
        <v>2673</v>
      </c>
      <c r="K636">
        <v>80</v>
      </c>
      <c r="L636">
        <v>3.4</v>
      </c>
      <c r="M636">
        <v>2</v>
      </c>
      <c r="N636">
        <v>2</v>
      </c>
      <c r="O636">
        <v>5059</v>
      </c>
      <c r="P636" t="s">
        <v>2176</v>
      </c>
      <c r="Q636">
        <v>2</v>
      </c>
      <c r="R636">
        <v>2</v>
      </c>
      <c r="S636">
        <v>6</v>
      </c>
      <c r="T636">
        <v>267</v>
      </c>
      <c r="U636" t="s">
        <v>2166</v>
      </c>
      <c r="W636" t="s">
        <v>2208</v>
      </c>
      <c r="X636" t="s">
        <v>2210</v>
      </c>
      <c r="Y636" t="s">
        <v>2212</v>
      </c>
      <c r="Z636" s="1">
        <v>45495</v>
      </c>
      <c r="AA636" s="1">
        <v>45511</v>
      </c>
      <c r="AB636" t="s">
        <v>2214</v>
      </c>
      <c r="AC636" t="s">
        <v>2209</v>
      </c>
      <c r="AD636" t="s">
        <v>2216</v>
      </c>
      <c r="AE636" t="s">
        <v>2166</v>
      </c>
      <c r="AG636" t="s">
        <v>2220</v>
      </c>
      <c r="AH636">
        <v>10</v>
      </c>
      <c r="AI636">
        <v>26</v>
      </c>
      <c r="AJ636">
        <v>16</v>
      </c>
      <c r="AK636">
        <v>7</v>
      </c>
      <c r="AL636" t="s">
        <v>2226</v>
      </c>
      <c r="AM636">
        <v>0</v>
      </c>
      <c r="AN636" t="s">
        <v>2176</v>
      </c>
      <c r="AO636" t="s">
        <v>2176</v>
      </c>
      <c r="AP636" t="s">
        <v>2176</v>
      </c>
      <c r="AQ636">
        <v>6.8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4.8</v>
      </c>
      <c r="AY636">
        <v>4.8</v>
      </c>
      <c r="AZ636">
        <v>0</v>
      </c>
      <c r="BA636">
        <v>1</v>
      </c>
      <c r="BB636">
        <v>48</v>
      </c>
      <c r="BC636">
        <v>27</v>
      </c>
      <c r="BD636">
        <v>42.33</v>
      </c>
      <c r="BE636">
        <v>216</v>
      </c>
      <c r="BF636">
        <v>88.2</v>
      </c>
      <c r="BG636">
        <v>48</v>
      </c>
      <c r="BH636">
        <v>27</v>
      </c>
      <c r="BI636">
        <v>42.33</v>
      </c>
      <c r="BJ636">
        <v>216</v>
      </c>
      <c r="BK636">
        <v>88.2</v>
      </c>
      <c r="BL636">
        <v>216</v>
      </c>
      <c r="BM636">
        <v>0.45829999999999999</v>
      </c>
    </row>
    <row r="637" spans="1:65" x14ac:dyDescent="0.25">
      <c r="A637" t="s">
        <v>700</v>
      </c>
      <c r="B637" t="s">
        <v>1680</v>
      </c>
      <c r="C637" t="s">
        <v>2158</v>
      </c>
      <c r="D637" s="1">
        <v>45308</v>
      </c>
      <c r="E637" s="1">
        <v>45363</v>
      </c>
      <c r="F637" s="1">
        <v>45395</v>
      </c>
      <c r="G637" t="s">
        <v>2166</v>
      </c>
      <c r="I637" t="s">
        <v>2174</v>
      </c>
      <c r="J637">
        <v>2988</v>
      </c>
      <c r="K637">
        <v>89</v>
      </c>
      <c r="L637">
        <v>6.3</v>
      </c>
      <c r="M637">
        <v>6.9</v>
      </c>
      <c r="N637">
        <v>1</v>
      </c>
      <c r="O637">
        <v>5591</v>
      </c>
      <c r="P637" t="s">
        <v>2176</v>
      </c>
      <c r="Q637">
        <v>2</v>
      </c>
      <c r="R637">
        <v>2</v>
      </c>
      <c r="S637">
        <v>9</v>
      </c>
      <c r="T637">
        <v>229</v>
      </c>
      <c r="U637" t="s">
        <v>2166</v>
      </c>
      <c r="W637" t="s">
        <v>2208</v>
      </c>
      <c r="X637" t="s">
        <v>2210</v>
      </c>
      <c r="Y637" t="s">
        <v>2212</v>
      </c>
      <c r="Z637" s="1">
        <v>45376</v>
      </c>
      <c r="AA637" s="1">
        <v>45391</v>
      </c>
      <c r="AB637" t="s">
        <v>2214</v>
      </c>
      <c r="AC637" t="s">
        <v>2209</v>
      </c>
      <c r="AD637" t="s">
        <v>2216</v>
      </c>
      <c r="AE637" t="s">
        <v>2166</v>
      </c>
      <c r="AG637" t="s">
        <v>2220</v>
      </c>
      <c r="AH637">
        <v>13</v>
      </c>
      <c r="AI637">
        <v>28</v>
      </c>
      <c r="AJ637">
        <v>15</v>
      </c>
      <c r="AK637">
        <v>3</v>
      </c>
      <c r="AL637" t="s">
        <v>2227</v>
      </c>
      <c r="AM637">
        <v>0</v>
      </c>
      <c r="AN637" t="s">
        <v>2177</v>
      </c>
      <c r="AO637" t="s">
        <v>2176</v>
      </c>
      <c r="AP637" t="s">
        <v>2176</v>
      </c>
      <c r="AQ637">
        <v>43.47</v>
      </c>
      <c r="AR637">
        <v>1</v>
      </c>
      <c r="AS637">
        <v>2</v>
      </c>
      <c r="AT637">
        <v>1</v>
      </c>
      <c r="AU637">
        <v>1</v>
      </c>
      <c r="AV637">
        <v>1.333333333333333</v>
      </c>
      <c r="AW637">
        <v>4.8</v>
      </c>
      <c r="AY637">
        <v>4.8</v>
      </c>
      <c r="AZ637">
        <v>2</v>
      </c>
      <c r="BA637">
        <v>0</v>
      </c>
      <c r="BB637">
        <v>49</v>
      </c>
      <c r="BC637">
        <v>26</v>
      </c>
      <c r="BD637">
        <v>43.12</v>
      </c>
      <c r="BE637">
        <v>216</v>
      </c>
      <c r="BF637">
        <v>88</v>
      </c>
      <c r="BG637">
        <v>49</v>
      </c>
      <c r="BH637">
        <v>26</v>
      </c>
      <c r="BI637">
        <v>43.12</v>
      </c>
      <c r="BJ637">
        <v>216</v>
      </c>
      <c r="BK637">
        <v>88</v>
      </c>
      <c r="BL637">
        <v>216</v>
      </c>
      <c r="BM637">
        <v>0.53200000000000003</v>
      </c>
    </row>
    <row r="638" spans="1:65" x14ac:dyDescent="0.25">
      <c r="A638" t="s">
        <v>701</v>
      </c>
      <c r="B638" t="s">
        <v>1681</v>
      </c>
      <c r="C638" t="s">
        <v>2158</v>
      </c>
      <c r="D638" s="1">
        <v>45502</v>
      </c>
      <c r="E638" s="1">
        <v>45553</v>
      </c>
      <c r="F638" s="1">
        <v>45592</v>
      </c>
      <c r="G638" t="s">
        <v>2162</v>
      </c>
      <c r="I638" t="s">
        <v>2176</v>
      </c>
      <c r="J638">
        <v>1212</v>
      </c>
      <c r="K638">
        <v>36</v>
      </c>
      <c r="L638">
        <v>5.3</v>
      </c>
      <c r="M638">
        <v>6.3</v>
      </c>
      <c r="N638">
        <v>2</v>
      </c>
      <c r="O638">
        <v>5349</v>
      </c>
      <c r="P638" t="s">
        <v>2176</v>
      </c>
      <c r="Q638">
        <v>0</v>
      </c>
      <c r="R638">
        <v>0</v>
      </c>
      <c r="S638">
        <v>2</v>
      </c>
      <c r="T638">
        <v>606</v>
      </c>
      <c r="U638" t="s">
        <v>2162</v>
      </c>
      <c r="W638" t="s">
        <v>2208</v>
      </c>
      <c r="X638" t="s">
        <v>2210</v>
      </c>
      <c r="Y638" t="s">
        <v>2212</v>
      </c>
      <c r="Z638" s="1">
        <v>45555</v>
      </c>
      <c r="AA638" s="1">
        <v>45568</v>
      </c>
      <c r="AB638" t="s">
        <v>2214</v>
      </c>
      <c r="AC638" t="s">
        <v>2209</v>
      </c>
      <c r="AD638" t="s">
        <v>2216</v>
      </c>
      <c r="AE638" t="s">
        <v>2162</v>
      </c>
      <c r="AG638" t="s">
        <v>2220</v>
      </c>
      <c r="AH638">
        <v>2</v>
      </c>
      <c r="AI638">
        <v>15</v>
      </c>
      <c r="AJ638">
        <v>13</v>
      </c>
      <c r="AK638">
        <v>9</v>
      </c>
      <c r="AL638" t="s">
        <v>2234</v>
      </c>
      <c r="AM638">
        <v>0</v>
      </c>
      <c r="AN638" t="s">
        <v>2177</v>
      </c>
      <c r="AO638" t="s">
        <v>2176</v>
      </c>
      <c r="AP638" t="s">
        <v>2176</v>
      </c>
      <c r="AQ638">
        <v>33.39</v>
      </c>
      <c r="AR638">
        <v>1</v>
      </c>
      <c r="AS638">
        <v>2</v>
      </c>
      <c r="AT638">
        <v>1</v>
      </c>
      <c r="AU638">
        <v>1</v>
      </c>
      <c r="AV638">
        <v>1.333333333333333</v>
      </c>
      <c r="AW638">
        <v>4.2</v>
      </c>
      <c r="AY638">
        <v>4.2</v>
      </c>
      <c r="AZ638">
        <v>2</v>
      </c>
      <c r="BA638">
        <v>1</v>
      </c>
      <c r="BB638">
        <v>30</v>
      </c>
      <c r="BC638">
        <v>26</v>
      </c>
      <c r="BD638">
        <v>26.54</v>
      </c>
      <c r="BE638">
        <v>129</v>
      </c>
      <c r="BF638">
        <v>88.5</v>
      </c>
      <c r="BG638">
        <v>30</v>
      </c>
      <c r="BH638">
        <v>26</v>
      </c>
      <c r="BI638">
        <v>26.54</v>
      </c>
      <c r="BJ638">
        <v>129</v>
      </c>
      <c r="BK638">
        <v>88.5</v>
      </c>
      <c r="BL638">
        <v>129</v>
      </c>
      <c r="BM638">
        <v>0.36130000000000001</v>
      </c>
    </row>
    <row r="639" spans="1:65" x14ac:dyDescent="0.25">
      <c r="A639" t="s">
        <v>702</v>
      </c>
      <c r="B639" t="s">
        <v>1682</v>
      </c>
      <c r="C639" t="s">
        <v>2160</v>
      </c>
      <c r="D639" s="1">
        <v>45320</v>
      </c>
      <c r="E639" s="1">
        <v>45363</v>
      </c>
      <c r="F639" s="1">
        <v>45409</v>
      </c>
      <c r="G639" t="s">
        <v>2162</v>
      </c>
      <c r="I639" t="s">
        <v>2176</v>
      </c>
      <c r="J639">
        <v>3552</v>
      </c>
      <c r="K639">
        <v>106</v>
      </c>
      <c r="L639">
        <v>5.4</v>
      </c>
      <c r="M639">
        <v>6.7</v>
      </c>
      <c r="N639">
        <v>1</v>
      </c>
      <c r="O639">
        <v>3610</v>
      </c>
      <c r="P639" t="s">
        <v>2176</v>
      </c>
      <c r="Q639">
        <v>2</v>
      </c>
      <c r="R639">
        <v>2</v>
      </c>
      <c r="S639">
        <v>7</v>
      </c>
      <c r="T639">
        <v>322</v>
      </c>
      <c r="U639" t="s">
        <v>2162</v>
      </c>
      <c r="W639" t="s">
        <v>2208</v>
      </c>
      <c r="X639" t="s">
        <v>2210</v>
      </c>
      <c r="Y639" t="s">
        <v>2212</v>
      </c>
      <c r="Z639" s="1">
        <v>45374</v>
      </c>
      <c r="AA639" s="1">
        <v>45390</v>
      </c>
      <c r="AB639" t="s">
        <v>2214</v>
      </c>
      <c r="AC639" t="s">
        <v>2209</v>
      </c>
      <c r="AD639" t="s">
        <v>2216</v>
      </c>
      <c r="AE639" t="s">
        <v>2162</v>
      </c>
      <c r="AG639" t="s">
        <v>2220</v>
      </c>
      <c r="AH639">
        <v>11</v>
      </c>
      <c r="AI639">
        <v>27</v>
      </c>
      <c r="AJ639">
        <v>16</v>
      </c>
      <c r="AK639">
        <v>3</v>
      </c>
      <c r="AL639" t="s">
        <v>2227</v>
      </c>
      <c r="AM639">
        <v>0</v>
      </c>
      <c r="AN639" t="s">
        <v>2177</v>
      </c>
      <c r="AO639" t="s">
        <v>2176</v>
      </c>
      <c r="AP639" t="s">
        <v>2176</v>
      </c>
      <c r="AQ639">
        <v>36.180000000000007</v>
      </c>
      <c r="AR639">
        <v>1</v>
      </c>
      <c r="AS639">
        <v>2</v>
      </c>
      <c r="AT639">
        <v>1</v>
      </c>
      <c r="AU639">
        <v>1</v>
      </c>
      <c r="AV639">
        <v>1.333333333333333</v>
      </c>
      <c r="AW639">
        <v>4.2</v>
      </c>
      <c r="AY639">
        <v>4.2</v>
      </c>
      <c r="AZ639">
        <v>1</v>
      </c>
      <c r="BA639">
        <v>1</v>
      </c>
      <c r="BB639">
        <v>31</v>
      </c>
      <c r="BC639">
        <v>26</v>
      </c>
      <c r="BD639">
        <v>27.27</v>
      </c>
      <c r="BE639">
        <v>130</v>
      </c>
      <c r="BF639">
        <v>88</v>
      </c>
      <c r="BG639">
        <v>31</v>
      </c>
      <c r="BH639">
        <v>26</v>
      </c>
      <c r="BI639">
        <v>27.27</v>
      </c>
      <c r="BJ639">
        <v>130</v>
      </c>
      <c r="BK639">
        <v>88</v>
      </c>
      <c r="BL639">
        <v>130</v>
      </c>
      <c r="BM639">
        <v>1.0506</v>
      </c>
    </row>
    <row r="640" spans="1:65" x14ac:dyDescent="0.25">
      <c r="A640" t="s">
        <v>703</v>
      </c>
      <c r="B640" t="s">
        <v>1683</v>
      </c>
      <c r="C640" t="s">
        <v>2160</v>
      </c>
      <c r="D640" s="1">
        <v>45276</v>
      </c>
      <c r="E640" s="1">
        <v>45298</v>
      </c>
      <c r="F640" s="1">
        <v>45353</v>
      </c>
      <c r="G640" t="s">
        <v>2164</v>
      </c>
      <c r="I640" t="s">
        <v>2176</v>
      </c>
      <c r="J640">
        <v>4269</v>
      </c>
      <c r="K640">
        <v>128</v>
      </c>
      <c r="L640">
        <v>3.6</v>
      </c>
      <c r="M640">
        <v>6.8</v>
      </c>
      <c r="N640">
        <v>1</v>
      </c>
      <c r="O640">
        <v>5677</v>
      </c>
      <c r="P640" t="s">
        <v>2176</v>
      </c>
      <c r="Q640">
        <v>3</v>
      </c>
      <c r="R640">
        <v>3</v>
      </c>
      <c r="S640">
        <v>10</v>
      </c>
      <c r="T640">
        <v>266</v>
      </c>
      <c r="U640" t="s">
        <v>2164</v>
      </c>
      <c r="W640" t="s">
        <v>2208</v>
      </c>
      <c r="X640" t="s">
        <v>2210</v>
      </c>
      <c r="Y640" t="s">
        <v>2212</v>
      </c>
      <c r="Z640" s="1">
        <v>45314</v>
      </c>
      <c r="AA640" s="1">
        <v>45332</v>
      </c>
      <c r="AB640" t="s">
        <v>2214</v>
      </c>
      <c r="AC640" t="s">
        <v>2209</v>
      </c>
      <c r="AD640" t="s">
        <v>2216</v>
      </c>
      <c r="AE640" t="s">
        <v>2164</v>
      </c>
      <c r="AG640" t="s">
        <v>2220</v>
      </c>
      <c r="AH640">
        <v>16</v>
      </c>
      <c r="AI640">
        <v>34</v>
      </c>
      <c r="AJ640">
        <v>18</v>
      </c>
      <c r="AK640">
        <v>1</v>
      </c>
      <c r="AL640" t="s">
        <v>2233</v>
      </c>
      <c r="AM640">
        <v>0</v>
      </c>
      <c r="AN640" t="s">
        <v>2176</v>
      </c>
      <c r="AO640" t="s">
        <v>2176</v>
      </c>
      <c r="AP640" t="s">
        <v>2176</v>
      </c>
      <c r="AQ640">
        <v>24.48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4.5</v>
      </c>
      <c r="AY640">
        <v>4.5</v>
      </c>
      <c r="AZ640">
        <v>1</v>
      </c>
      <c r="BA640">
        <v>1</v>
      </c>
      <c r="BB640">
        <v>30</v>
      </c>
      <c r="BC640">
        <v>27</v>
      </c>
      <c r="BD640">
        <v>25.85</v>
      </c>
      <c r="BE640">
        <v>132</v>
      </c>
      <c r="BF640">
        <v>86.2</v>
      </c>
      <c r="BG640">
        <v>30</v>
      </c>
      <c r="BH640">
        <v>27</v>
      </c>
      <c r="BI640">
        <v>25.85</v>
      </c>
      <c r="BJ640">
        <v>132</v>
      </c>
      <c r="BK640">
        <v>86.2</v>
      </c>
      <c r="BL640">
        <v>132</v>
      </c>
      <c r="BM640">
        <v>1.1975</v>
      </c>
    </row>
    <row r="641" spans="1:65" x14ac:dyDescent="0.25">
      <c r="A641" t="s">
        <v>704</v>
      </c>
      <c r="B641" t="s">
        <v>1684</v>
      </c>
      <c r="C641" t="s">
        <v>2159</v>
      </c>
      <c r="D641" s="1">
        <v>45474</v>
      </c>
      <c r="E641" s="1">
        <v>45512</v>
      </c>
      <c r="F641" s="1">
        <v>45535</v>
      </c>
      <c r="G641" t="s">
        <v>2166</v>
      </c>
      <c r="I641" t="s">
        <v>2174</v>
      </c>
      <c r="J641">
        <v>2099</v>
      </c>
      <c r="K641">
        <v>62</v>
      </c>
      <c r="L641">
        <v>3.9</v>
      </c>
      <c r="M641">
        <v>4.9000000000000004</v>
      </c>
      <c r="N641">
        <v>2</v>
      </c>
      <c r="O641">
        <v>2151</v>
      </c>
      <c r="P641" t="s">
        <v>2176</v>
      </c>
      <c r="Q641">
        <v>2</v>
      </c>
      <c r="R641">
        <v>2</v>
      </c>
      <c r="S641">
        <v>4</v>
      </c>
      <c r="T641">
        <v>262</v>
      </c>
      <c r="U641" t="s">
        <v>2166</v>
      </c>
      <c r="W641" t="s">
        <v>2208</v>
      </c>
      <c r="X641" t="s">
        <v>2210</v>
      </c>
      <c r="Y641" t="s">
        <v>2212</v>
      </c>
      <c r="Z641" s="1">
        <v>45520</v>
      </c>
      <c r="AA641" s="1">
        <v>45536</v>
      </c>
      <c r="AB641" t="s">
        <v>2214</v>
      </c>
      <c r="AC641" t="s">
        <v>2209</v>
      </c>
      <c r="AD641" t="s">
        <v>2216</v>
      </c>
      <c r="AE641" t="s">
        <v>2166</v>
      </c>
      <c r="AG641" t="s">
        <v>2220</v>
      </c>
      <c r="AH641">
        <v>8</v>
      </c>
      <c r="AI641">
        <v>24</v>
      </c>
      <c r="AJ641">
        <v>16</v>
      </c>
      <c r="AK641">
        <v>8</v>
      </c>
      <c r="AL641" t="s">
        <v>2232</v>
      </c>
      <c r="AM641">
        <v>0</v>
      </c>
      <c r="AN641" t="s">
        <v>2176</v>
      </c>
      <c r="AO641" t="s">
        <v>2176</v>
      </c>
      <c r="AP641" t="s">
        <v>2176</v>
      </c>
      <c r="AQ641">
        <v>19.11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4.8</v>
      </c>
      <c r="AY641">
        <v>4.8</v>
      </c>
      <c r="AZ641">
        <v>0</v>
      </c>
      <c r="BA641">
        <v>0</v>
      </c>
      <c r="BB641">
        <v>41</v>
      </c>
      <c r="BC641">
        <v>26</v>
      </c>
      <c r="BD641">
        <v>36.15</v>
      </c>
      <c r="BE641">
        <v>176</v>
      </c>
      <c r="BF641">
        <v>88.2</v>
      </c>
      <c r="BG641">
        <v>41</v>
      </c>
      <c r="BH641">
        <v>26</v>
      </c>
      <c r="BI641">
        <v>36.15</v>
      </c>
      <c r="BJ641">
        <v>176</v>
      </c>
      <c r="BK641">
        <v>88.2</v>
      </c>
      <c r="BL641">
        <v>176</v>
      </c>
      <c r="BM641">
        <v>0.45860000000000001</v>
      </c>
    </row>
    <row r="642" spans="1:65" x14ac:dyDescent="0.25">
      <c r="A642" t="s">
        <v>705</v>
      </c>
      <c r="B642" t="s">
        <v>1685</v>
      </c>
      <c r="C642" t="s">
        <v>2158</v>
      </c>
      <c r="D642" s="1">
        <v>45433</v>
      </c>
      <c r="E642" s="1">
        <v>45485</v>
      </c>
      <c r="F642" s="1">
        <v>45520</v>
      </c>
      <c r="G642" t="s">
        <v>2163</v>
      </c>
      <c r="I642" t="s">
        <v>2176</v>
      </c>
      <c r="J642">
        <v>4490</v>
      </c>
      <c r="K642">
        <v>134</v>
      </c>
      <c r="L642">
        <v>4.5999999999999996</v>
      </c>
      <c r="M642">
        <v>3.4</v>
      </c>
      <c r="N642">
        <v>1</v>
      </c>
      <c r="O642">
        <v>4922</v>
      </c>
      <c r="P642" t="s">
        <v>2176</v>
      </c>
      <c r="Q642">
        <v>5</v>
      </c>
      <c r="R642">
        <v>7</v>
      </c>
      <c r="S642">
        <v>7</v>
      </c>
      <c r="T642">
        <v>236</v>
      </c>
      <c r="U642" t="s">
        <v>2163</v>
      </c>
      <c r="W642" t="s">
        <v>2208</v>
      </c>
      <c r="X642" t="s">
        <v>2210</v>
      </c>
      <c r="Y642" t="s">
        <v>2212</v>
      </c>
      <c r="Z642" s="1">
        <v>45504</v>
      </c>
      <c r="AA642" s="1">
        <v>45522</v>
      </c>
      <c r="AB642" t="s">
        <v>2214</v>
      </c>
      <c r="AC642" t="s">
        <v>2209</v>
      </c>
      <c r="AD642" t="s">
        <v>2216</v>
      </c>
      <c r="AE642" t="s">
        <v>2163</v>
      </c>
      <c r="AG642" t="s">
        <v>2220</v>
      </c>
      <c r="AH642">
        <v>19</v>
      </c>
      <c r="AI642">
        <v>37</v>
      </c>
      <c r="AJ642">
        <v>18</v>
      </c>
      <c r="AK642">
        <v>7</v>
      </c>
      <c r="AL642" t="s">
        <v>2226</v>
      </c>
      <c r="AM642">
        <v>0</v>
      </c>
      <c r="AN642" t="s">
        <v>2176</v>
      </c>
      <c r="AO642" t="s">
        <v>2176</v>
      </c>
      <c r="AP642" t="s">
        <v>2176</v>
      </c>
      <c r="AQ642">
        <v>15.64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4.4000000000000004</v>
      </c>
      <c r="AY642">
        <v>4.4000000000000004</v>
      </c>
      <c r="AZ642">
        <v>2</v>
      </c>
      <c r="BA642">
        <v>1</v>
      </c>
      <c r="BB642">
        <v>33</v>
      </c>
      <c r="BC642">
        <v>27</v>
      </c>
      <c r="BD642">
        <v>28.89</v>
      </c>
      <c r="BE642">
        <v>145</v>
      </c>
      <c r="BF642">
        <v>87.5</v>
      </c>
      <c r="BG642">
        <v>33</v>
      </c>
      <c r="BH642">
        <v>27</v>
      </c>
      <c r="BI642">
        <v>28.89</v>
      </c>
      <c r="BJ642">
        <v>145</v>
      </c>
      <c r="BK642">
        <v>87.5</v>
      </c>
      <c r="BL642">
        <v>145</v>
      </c>
      <c r="BM642">
        <v>1.1466000000000001</v>
      </c>
    </row>
    <row r="643" spans="1:65" x14ac:dyDescent="0.25">
      <c r="A643" t="s">
        <v>706</v>
      </c>
      <c r="B643" t="s">
        <v>1686</v>
      </c>
      <c r="C643" t="s">
        <v>2159</v>
      </c>
      <c r="D643" s="1">
        <v>45254</v>
      </c>
      <c r="E643" s="1">
        <v>45298</v>
      </c>
      <c r="F643" s="1">
        <v>45342</v>
      </c>
      <c r="G643" t="s">
        <v>2164</v>
      </c>
      <c r="I643" t="s">
        <v>2174</v>
      </c>
      <c r="J643">
        <v>3240</v>
      </c>
      <c r="K643">
        <v>97</v>
      </c>
      <c r="L643">
        <v>6.8</v>
      </c>
      <c r="M643">
        <v>5.3</v>
      </c>
      <c r="N643">
        <v>2</v>
      </c>
      <c r="O643">
        <v>5986</v>
      </c>
      <c r="P643" t="s">
        <v>2176</v>
      </c>
      <c r="Q643">
        <v>2</v>
      </c>
      <c r="R643">
        <v>2</v>
      </c>
      <c r="S643">
        <v>10</v>
      </c>
      <c r="T643">
        <v>231</v>
      </c>
      <c r="U643" t="s">
        <v>2164</v>
      </c>
      <c r="W643" t="s">
        <v>2208</v>
      </c>
      <c r="X643" t="s">
        <v>2210</v>
      </c>
      <c r="Y643" t="s">
        <v>2212</v>
      </c>
      <c r="Z643" s="1">
        <v>45312</v>
      </c>
      <c r="AA643" s="1">
        <v>45327</v>
      </c>
      <c r="AB643" t="s">
        <v>2214</v>
      </c>
      <c r="AC643" t="s">
        <v>2209</v>
      </c>
      <c r="AD643" t="s">
        <v>2216</v>
      </c>
      <c r="AE643" t="s">
        <v>2164</v>
      </c>
      <c r="AG643" t="s">
        <v>2220</v>
      </c>
      <c r="AH643">
        <v>14</v>
      </c>
      <c r="AI643">
        <v>29</v>
      </c>
      <c r="AJ643">
        <v>15</v>
      </c>
      <c r="AK643">
        <v>1</v>
      </c>
      <c r="AL643" t="s">
        <v>2233</v>
      </c>
      <c r="AM643">
        <v>0</v>
      </c>
      <c r="AN643" t="s">
        <v>2177</v>
      </c>
      <c r="AO643" t="s">
        <v>2176</v>
      </c>
      <c r="AP643" t="s">
        <v>2176</v>
      </c>
      <c r="AQ643">
        <v>36.04</v>
      </c>
      <c r="AR643">
        <v>1</v>
      </c>
      <c r="AS643">
        <v>2</v>
      </c>
      <c r="AT643">
        <v>1</v>
      </c>
      <c r="AU643">
        <v>1</v>
      </c>
      <c r="AV643">
        <v>1.333333333333333</v>
      </c>
      <c r="AW643">
        <v>4.5</v>
      </c>
      <c r="AY643">
        <v>4.5</v>
      </c>
      <c r="AZ643">
        <v>0</v>
      </c>
      <c r="BA643">
        <v>0</v>
      </c>
      <c r="BB643">
        <v>30</v>
      </c>
      <c r="BC643">
        <v>27</v>
      </c>
      <c r="BD643">
        <v>25.85</v>
      </c>
      <c r="BE643">
        <v>132</v>
      </c>
      <c r="BF643">
        <v>86.2</v>
      </c>
      <c r="BG643">
        <v>30</v>
      </c>
      <c r="BH643">
        <v>27</v>
      </c>
      <c r="BI643">
        <v>25.85</v>
      </c>
      <c r="BJ643">
        <v>132</v>
      </c>
      <c r="BK643">
        <v>86.2</v>
      </c>
      <c r="BL643">
        <v>132</v>
      </c>
      <c r="BM643">
        <v>0.90880000000000005</v>
      </c>
    </row>
    <row r="644" spans="1:65" x14ac:dyDescent="0.25">
      <c r="A644" t="s">
        <v>707</v>
      </c>
      <c r="B644" t="s">
        <v>1687</v>
      </c>
      <c r="C644" t="s">
        <v>2157</v>
      </c>
      <c r="D644" s="1">
        <v>45359</v>
      </c>
      <c r="E644" s="1">
        <v>45397</v>
      </c>
      <c r="F644" s="1">
        <v>45446</v>
      </c>
      <c r="G644" t="s">
        <v>2163</v>
      </c>
      <c r="I644" t="s">
        <v>2174</v>
      </c>
      <c r="J644">
        <v>3475</v>
      </c>
      <c r="K644">
        <v>104</v>
      </c>
      <c r="L644">
        <v>6.8</v>
      </c>
      <c r="M644">
        <v>3.5</v>
      </c>
      <c r="N644">
        <v>1</v>
      </c>
      <c r="O644">
        <v>5546</v>
      </c>
      <c r="P644" t="s">
        <v>2176</v>
      </c>
      <c r="Q644">
        <v>2</v>
      </c>
      <c r="R644">
        <v>3</v>
      </c>
      <c r="S644">
        <v>5</v>
      </c>
      <c r="T644">
        <v>347</v>
      </c>
      <c r="U644" t="s">
        <v>2163</v>
      </c>
      <c r="W644" t="s">
        <v>2208</v>
      </c>
      <c r="X644" t="s">
        <v>2210</v>
      </c>
      <c r="Y644" t="s">
        <v>2212</v>
      </c>
      <c r="Z644" s="1">
        <v>45407</v>
      </c>
      <c r="AA644" s="1">
        <v>45421</v>
      </c>
      <c r="AB644" t="s">
        <v>2214</v>
      </c>
      <c r="AC644" t="s">
        <v>2209</v>
      </c>
      <c r="AD644" t="s">
        <v>2216</v>
      </c>
      <c r="AE644" t="s">
        <v>2163</v>
      </c>
      <c r="AG644" t="s">
        <v>2220</v>
      </c>
      <c r="AH644">
        <v>10</v>
      </c>
      <c r="AI644">
        <v>24</v>
      </c>
      <c r="AJ644">
        <v>14</v>
      </c>
      <c r="AK644">
        <v>4</v>
      </c>
      <c r="AL644" t="s">
        <v>2225</v>
      </c>
      <c r="AM644">
        <v>0</v>
      </c>
      <c r="AN644" t="s">
        <v>2176</v>
      </c>
      <c r="AO644" t="s">
        <v>2176</v>
      </c>
      <c r="AP644" t="s">
        <v>2176</v>
      </c>
      <c r="AQ644">
        <v>23.8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4.4000000000000004</v>
      </c>
      <c r="AY644">
        <v>4.4000000000000004</v>
      </c>
      <c r="AZ644">
        <v>3</v>
      </c>
      <c r="BA644">
        <v>0</v>
      </c>
      <c r="BB644">
        <v>31</v>
      </c>
      <c r="BC644">
        <v>26</v>
      </c>
      <c r="BD644">
        <v>27.23</v>
      </c>
      <c r="BE644">
        <v>132</v>
      </c>
      <c r="BF644">
        <v>87.8</v>
      </c>
      <c r="BG644">
        <v>31</v>
      </c>
      <c r="BH644">
        <v>26</v>
      </c>
      <c r="BI644">
        <v>27.23</v>
      </c>
      <c r="BJ644">
        <v>132</v>
      </c>
      <c r="BK644">
        <v>87.8</v>
      </c>
      <c r="BL644">
        <v>132</v>
      </c>
      <c r="BM644">
        <v>1.0122</v>
      </c>
    </row>
    <row r="645" spans="1:65" x14ac:dyDescent="0.25">
      <c r="A645" t="s">
        <v>708</v>
      </c>
      <c r="B645" t="s">
        <v>1688</v>
      </c>
      <c r="C645" t="s">
        <v>2158</v>
      </c>
      <c r="D645" s="1">
        <v>45319</v>
      </c>
      <c r="E645" s="1">
        <v>45352</v>
      </c>
      <c r="F645" s="1">
        <v>45393</v>
      </c>
      <c r="G645" t="s">
        <v>2165</v>
      </c>
      <c r="I645" t="s">
        <v>2176</v>
      </c>
      <c r="J645">
        <v>1499</v>
      </c>
      <c r="K645">
        <v>44</v>
      </c>
      <c r="L645">
        <v>3.8</v>
      </c>
      <c r="M645">
        <v>4.0999999999999996</v>
      </c>
      <c r="N645">
        <v>2</v>
      </c>
      <c r="O645">
        <v>4168</v>
      </c>
      <c r="P645" t="s">
        <v>2176</v>
      </c>
      <c r="Q645">
        <v>1</v>
      </c>
      <c r="R645">
        <v>1</v>
      </c>
      <c r="S645">
        <v>4</v>
      </c>
      <c r="T645">
        <v>249</v>
      </c>
      <c r="U645" t="s">
        <v>2165</v>
      </c>
      <c r="W645" t="s">
        <v>2208</v>
      </c>
      <c r="X645" t="s">
        <v>2210</v>
      </c>
      <c r="Y645" t="s">
        <v>2212</v>
      </c>
      <c r="Z645" s="1">
        <v>45358</v>
      </c>
      <c r="AA645" s="1">
        <v>45375</v>
      </c>
      <c r="AB645" t="s">
        <v>2214</v>
      </c>
      <c r="AC645" t="s">
        <v>2209</v>
      </c>
      <c r="AD645" t="s">
        <v>2216</v>
      </c>
      <c r="AE645" t="s">
        <v>2165</v>
      </c>
      <c r="AG645" t="s">
        <v>2220</v>
      </c>
      <c r="AH645">
        <v>6</v>
      </c>
      <c r="AI645">
        <v>23</v>
      </c>
      <c r="AJ645">
        <v>17</v>
      </c>
      <c r="AK645">
        <v>3</v>
      </c>
      <c r="AL645" t="s">
        <v>2227</v>
      </c>
      <c r="AM645">
        <v>0</v>
      </c>
      <c r="AN645" t="s">
        <v>2176</v>
      </c>
      <c r="AO645" t="s">
        <v>2176</v>
      </c>
      <c r="AP645" t="s">
        <v>2176</v>
      </c>
      <c r="AQ645">
        <v>15.58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4.5999999999999996</v>
      </c>
      <c r="AY645">
        <v>4.5999999999999996</v>
      </c>
      <c r="AZ645">
        <v>2</v>
      </c>
      <c r="BA645">
        <v>1</v>
      </c>
      <c r="BB645">
        <v>48</v>
      </c>
      <c r="BC645">
        <v>26</v>
      </c>
      <c r="BD645">
        <v>42.38</v>
      </c>
      <c r="BE645">
        <v>212</v>
      </c>
      <c r="BF645">
        <v>88.3</v>
      </c>
      <c r="BG645">
        <v>48</v>
      </c>
      <c r="BH645">
        <v>26</v>
      </c>
      <c r="BI645">
        <v>42.38</v>
      </c>
      <c r="BJ645">
        <v>212</v>
      </c>
      <c r="BK645">
        <v>88.3</v>
      </c>
      <c r="BL645">
        <v>212</v>
      </c>
      <c r="BM645">
        <v>0.27189999999999998</v>
      </c>
    </row>
    <row r="646" spans="1:65" x14ac:dyDescent="0.25">
      <c r="A646" t="s">
        <v>709</v>
      </c>
      <c r="B646" t="s">
        <v>1689</v>
      </c>
      <c r="C646" t="s">
        <v>2159</v>
      </c>
      <c r="D646" s="1">
        <v>45527</v>
      </c>
      <c r="E646" s="1">
        <v>45579</v>
      </c>
      <c r="F646" s="1">
        <v>45608</v>
      </c>
      <c r="G646" t="s">
        <v>2162</v>
      </c>
      <c r="I646" t="s">
        <v>2174</v>
      </c>
      <c r="J646">
        <v>1887</v>
      </c>
      <c r="K646">
        <v>56</v>
      </c>
      <c r="L646">
        <v>6.1</v>
      </c>
      <c r="M646">
        <v>4</v>
      </c>
      <c r="N646">
        <v>2</v>
      </c>
      <c r="O646">
        <v>3606</v>
      </c>
      <c r="P646" t="s">
        <v>2176</v>
      </c>
      <c r="Q646">
        <v>2</v>
      </c>
      <c r="R646">
        <v>2</v>
      </c>
      <c r="S646">
        <v>2</v>
      </c>
      <c r="T646">
        <v>314</v>
      </c>
      <c r="U646" t="s">
        <v>2162</v>
      </c>
      <c r="W646" t="s">
        <v>2208</v>
      </c>
      <c r="X646" t="s">
        <v>2210</v>
      </c>
      <c r="Y646" t="s">
        <v>2212</v>
      </c>
      <c r="Z646" s="1">
        <v>45585</v>
      </c>
      <c r="AA646" s="1">
        <v>45604</v>
      </c>
      <c r="AB646" t="s">
        <v>2214</v>
      </c>
      <c r="AC646" t="s">
        <v>2209</v>
      </c>
      <c r="AD646" t="s">
        <v>2216</v>
      </c>
      <c r="AE646" t="s">
        <v>2162</v>
      </c>
      <c r="AG646" t="s">
        <v>2220</v>
      </c>
      <c r="AH646">
        <v>6</v>
      </c>
      <c r="AI646">
        <v>25</v>
      </c>
      <c r="AJ646">
        <v>19</v>
      </c>
      <c r="AK646">
        <v>10</v>
      </c>
      <c r="AL646" t="s">
        <v>2230</v>
      </c>
      <c r="AM646">
        <v>1</v>
      </c>
      <c r="AN646" t="s">
        <v>2176</v>
      </c>
      <c r="AO646" t="s">
        <v>2176</v>
      </c>
      <c r="AP646" t="s">
        <v>2176</v>
      </c>
      <c r="AQ646">
        <v>24.4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4.2</v>
      </c>
      <c r="AY646">
        <v>4.2</v>
      </c>
      <c r="AZ646">
        <v>0</v>
      </c>
      <c r="BA646">
        <v>0</v>
      </c>
      <c r="BB646">
        <v>25</v>
      </c>
      <c r="BC646">
        <v>27</v>
      </c>
      <c r="BD646">
        <v>21.89</v>
      </c>
      <c r="BE646">
        <v>108</v>
      </c>
      <c r="BF646">
        <v>87.6</v>
      </c>
      <c r="BG646">
        <v>25</v>
      </c>
      <c r="BH646">
        <v>27</v>
      </c>
      <c r="BI646">
        <v>21.89</v>
      </c>
      <c r="BJ646">
        <v>108</v>
      </c>
      <c r="BK646">
        <v>87.6</v>
      </c>
      <c r="BL646">
        <v>108</v>
      </c>
      <c r="BM646">
        <v>0.64690000000000003</v>
      </c>
    </row>
    <row r="647" spans="1:65" x14ac:dyDescent="0.25">
      <c r="A647" t="s">
        <v>710</v>
      </c>
      <c r="B647" t="s">
        <v>1690</v>
      </c>
      <c r="C647" t="s">
        <v>2159</v>
      </c>
      <c r="D647" s="1">
        <v>45285</v>
      </c>
      <c r="E647" s="1">
        <v>45333</v>
      </c>
      <c r="F647" s="1">
        <v>45381</v>
      </c>
      <c r="G647" t="s">
        <v>2163</v>
      </c>
      <c r="I647" t="s">
        <v>2174</v>
      </c>
      <c r="J647">
        <v>4765</v>
      </c>
      <c r="K647">
        <v>142</v>
      </c>
      <c r="L647">
        <v>6.7</v>
      </c>
      <c r="M647">
        <v>5.6</v>
      </c>
      <c r="N647">
        <v>1</v>
      </c>
      <c r="O647">
        <v>3761</v>
      </c>
      <c r="P647" t="s">
        <v>2176</v>
      </c>
      <c r="Q647">
        <v>3</v>
      </c>
      <c r="R647">
        <v>3</v>
      </c>
      <c r="S647">
        <v>9</v>
      </c>
      <c r="T647">
        <v>317</v>
      </c>
      <c r="U647" t="s">
        <v>2163</v>
      </c>
      <c r="W647" t="s">
        <v>2208</v>
      </c>
      <c r="X647" t="s">
        <v>2210</v>
      </c>
      <c r="Y647" t="s">
        <v>2212</v>
      </c>
      <c r="Z647" s="1">
        <v>45348</v>
      </c>
      <c r="AA647" s="1">
        <v>45361</v>
      </c>
      <c r="AB647" t="s">
        <v>2214</v>
      </c>
      <c r="AC647" t="s">
        <v>2209</v>
      </c>
      <c r="AD647" t="s">
        <v>2216</v>
      </c>
      <c r="AE647" t="s">
        <v>2163</v>
      </c>
      <c r="AG647" t="s">
        <v>2220</v>
      </c>
      <c r="AH647">
        <v>15</v>
      </c>
      <c r="AI647">
        <v>28</v>
      </c>
      <c r="AJ647">
        <v>13</v>
      </c>
      <c r="AK647">
        <v>2</v>
      </c>
      <c r="AL647" t="s">
        <v>2228</v>
      </c>
      <c r="AM647">
        <v>0</v>
      </c>
      <c r="AN647" t="s">
        <v>2177</v>
      </c>
      <c r="AO647" t="s">
        <v>2176</v>
      </c>
      <c r="AP647" t="s">
        <v>2176</v>
      </c>
      <c r="AQ647">
        <v>37.520000000000003</v>
      </c>
      <c r="AR647">
        <v>1</v>
      </c>
      <c r="AS647">
        <v>2</v>
      </c>
      <c r="AT647">
        <v>1</v>
      </c>
      <c r="AU647">
        <v>1</v>
      </c>
      <c r="AV647">
        <v>1.333333333333333</v>
      </c>
      <c r="AW647">
        <v>4.4000000000000004</v>
      </c>
      <c r="AY647">
        <v>4.4000000000000004</v>
      </c>
      <c r="AZ647">
        <v>0</v>
      </c>
      <c r="BA647">
        <v>0</v>
      </c>
      <c r="BB647">
        <v>30</v>
      </c>
      <c r="BC647">
        <v>24</v>
      </c>
      <c r="BD647">
        <v>26.21</v>
      </c>
      <c r="BE647">
        <v>116</v>
      </c>
      <c r="BF647">
        <v>87.4</v>
      </c>
      <c r="BG647">
        <v>30</v>
      </c>
      <c r="BH647">
        <v>24</v>
      </c>
      <c r="BI647">
        <v>26.21</v>
      </c>
      <c r="BJ647">
        <v>116</v>
      </c>
      <c r="BK647">
        <v>87.4</v>
      </c>
      <c r="BL647">
        <v>116</v>
      </c>
      <c r="BM647">
        <v>1.7110000000000001</v>
      </c>
    </row>
    <row r="648" spans="1:65" x14ac:dyDescent="0.25">
      <c r="A648" t="s">
        <v>711</v>
      </c>
      <c r="B648" t="s">
        <v>1691</v>
      </c>
      <c r="C648" t="s">
        <v>2160</v>
      </c>
      <c r="D648" s="1">
        <v>45288</v>
      </c>
      <c r="E648" s="1">
        <v>45310</v>
      </c>
      <c r="F648" s="1">
        <v>45342</v>
      </c>
      <c r="G648" t="s">
        <v>2166</v>
      </c>
      <c r="I648" t="s">
        <v>2176</v>
      </c>
      <c r="J648">
        <v>3369</v>
      </c>
      <c r="K648">
        <v>101</v>
      </c>
      <c r="L648">
        <v>6.4</v>
      </c>
      <c r="M648">
        <v>6.2</v>
      </c>
      <c r="N648">
        <v>1</v>
      </c>
      <c r="O648">
        <v>4802</v>
      </c>
      <c r="P648" t="s">
        <v>2176</v>
      </c>
      <c r="Q648">
        <v>2</v>
      </c>
      <c r="R648">
        <v>2</v>
      </c>
      <c r="S648">
        <v>5</v>
      </c>
      <c r="T648">
        <v>374</v>
      </c>
      <c r="U648" t="s">
        <v>2166</v>
      </c>
      <c r="W648" t="s">
        <v>2208</v>
      </c>
      <c r="X648" t="s">
        <v>2210</v>
      </c>
      <c r="Y648" t="s">
        <v>2212</v>
      </c>
      <c r="Z648" s="1">
        <v>45319</v>
      </c>
      <c r="AA648" s="1">
        <v>45332</v>
      </c>
      <c r="AB648" t="s">
        <v>2214</v>
      </c>
      <c r="AC648" t="s">
        <v>2209</v>
      </c>
      <c r="AD648" t="s">
        <v>2216</v>
      </c>
      <c r="AE648" t="s">
        <v>2166</v>
      </c>
      <c r="AG648" t="s">
        <v>2220</v>
      </c>
      <c r="AH648">
        <v>9</v>
      </c>
      <c r="AI648">
        <v>22</v>
      </c>
      <c r="AJ648">
        <v>13</v>
      </c>
      <c r="AK648">
        <v>1</v>
      </c>
      <c r="AL648" t="s">
        <v>2233</v>
      </c>
      <c r="AM648">
        <v>0</v>
      </c>
      <c r="AN648" t="s">
        <v>2177</v>
      </c>
      <c r="AO648" t="s">
        <v>2176</v>
      </c>
      <c r="AP648" t="s">
        <v>2176</v>
      </c>
      <c r="AQ648">
        <v>39.680000000000007</v>
      </c>
      <c r="AR648">
        <v>1</v>
      </c>
      <c r="AS648">
        <v>2</v>
      </c>
      <c r="AT648">
        <v>1</v>
      </c>
      <c r="AU648">
        <v>1</v>
      </c>
      <c r="AV648">
        <v>1.333333333333333</v>
      </c>
      <c r="AW648">
        <v>4.8</v>
      </c>
      <c r="AY648">
        <v>4.8</v>
      </c>
      <c r="AZ648">
        <v>1</v>
      </c>
      <c r="BA648">
        <v>1</v>
      </c>
      <c r="BB648">
        <v>40</v>
      </c>
      <c r="BC648">
        <v>27</v>
      </c>
      <c r="BD648">
        <v>35.07</v>
      </c>
      <c r="BE648">
        <v>181</v>
      </c>
      <c r="BF648">
        <v>87.7</v>
      </c>
      <c r="BG648">
        <v>40</v>
      </c>
      <c r="BH648">
        <v>27</v>
      </c>
      <c r="BI648">
        <v>35.07</v>
      </c>
      <c r="BJ648">
        <v>181</v>
      </c>
      <c r="BK648">
        <v>87.7</v>
      </c>
      <c r="BL648">
        <v>181</v>
      </c>
      <c r="BM648">
        <v>0.68920000000000003</v>
      </c>
    </row>
    <row r="649" spans="1:65" x14ac:dyDescent="0.25">
      <c r="A649" t="s">
        <v>712</v>
      </c>
      <c r="B649" t="s">
        <v>1692</v>
      </c>
      <c r="C649" t="s">
        <v>2160</v>
      </c>
      <c r="D649" s="1">
        <v>45404</v>
      </c>
      <c r="E649" s="1">
        <v>45461</v>
      </c>
      <c r="F649" s="1">
        <v>45501</v>
      </c>
      <c r="G649" t="s">
        <v>2165</v>
      </c>
      <c r="I649" t="s">
        <v>2176</v>
      </c>
      <c r="J649">
        <v>4416</v>
      </c>
      <c r="K649">
        <v>132</v>
      </c>
      <c r="L649">
        <v>6.1</v>
      </c>
      <c r="M649">
        <v>2.9</v>
      </c>
      <c r="N649">
        <v>1</v>
      </c>
      <c r="O649">
        <v>5314</v>
      </c>
      <c r="P649" t="s">
        <v>2176</v>
      </c>
      <c r="Q649">
        <v>4</v>
      </c>
      <c r="R649">
        <v>5</v>
      </c>
      <c r="S649">
        <v>7</v>
      </c>
      <c r="T649">
        <v>276</v>
      </c>
      <c r="U649" t="s">
        <v>2165</v>
      </c>
      <c r="W649" t="s">
        <v>2208</v>
      </c>
      <c r="X649" t="s">
        <v>2210</v>
      </c>
      <c r="Y649" t="s">
        <v>2212</v>
      </c>
      <c r="Z649" s="1">
        <v>45477</v>
      </c>
      <c r="AA649" s="1">
        <v>45494</v>
      </c>
      <c r="AB649" t="s">
        <v>2214</v>
      </c>
      <c r="AC649" t="s">
        <v>2209</v>
      </c>
      <c r="AD649" t="s">
        <v>2216</v>
      </c>
      <c r="AE649" t="s">
        <v>2165</v>
      </c>
      <c r="AG649" t="s">
        <v>2220</v>
      </c>
      <c r="AH649">
        <v>16</v>
      </c>
      <c r="AI649">
        <v>33</v>
      </c>
      <c r="AJ649">
        <v>17</v>
      </c>
      <c r="AK649">
        <v>6</v>
      </c>
      <c r="AL649" t="s">
        <v>2223</v>
      </c>
      <c r="AM649">
        <v>0</v>
      </c>
      <c r="AN649" t="s">
        <v>2176</v>
      </c>
      <c r="AO649" t="s">
        <v>2176</v>
      </c>
      <c r="AP649" t="s">
        <v>2176</v>
      </c>
      <c r="AQ649">
        <v>17.690000000000001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4.5999999999999996</v>
      </c>
      <c r="AY649">
        <v>4.5999999999999996</v>
      </c>
      <c r="AZ649">
        <v>1</v>
      </c>
      <c r="BA649">
        <v>1</v>
      </c>
      <c r="BB649">
        <v>40</v>
      </c>
      <c r="BC649">
        <v>25</v>
      </c>
      <c r="BD649">
        <v>34.72</v>
      </c>
      <c r="BE649">
        <v>161</v>
      </c>
      <c r="BF649">
        <v>86.8</v>
      </c>
      <c r="BG649">
        <v>40</v>
      </c>
      <c r="BH649">
        <v>25</v>
      </c>
      <c r="BI649">
        <v>34.72</v>
      </c>
      <c r="BJ649">
        <v>161</v>
      </c>
      <c r="BK649">
        <v>86.8</v>
      </c>
      <c r="BL649">
        <v>161</v>
      </c>
      <c r="BM649">
        <v>1.0969</v>
      </c>
    </row>
    <row r="650" spans="1:65" x14ac:dyDescent="0.25">
      <c r="A650" t="s">
        <v>713</v>
      </c>
      <c r="B650" t="s">
        <v>1693</v>
      </c>
      <c r="C650" t="s">
        <v>2157</v>
      </c>
      <c r="D650" s="1">
        <v>45525</v>
      </c>
      <c r="E650" s="1">
        <v>45553</v>
      </c>
      <c r="F650" s="1">
        <v>45586</v>
      </c>
      <c r="G650" t="s">
        <v>2164</v>
      </c>
      <c r="I650" t="s">
        <v>2174</v>
      </c>
      <c r="J650">
        <v>3600</v>
      </c>
      <c r="K650">
        <v>108</v>
      </c>
      <c r="L650">
        <v>5.9</v>
      </c>
      <c r="M650">
        <v>3.6</v>
      </c>
      <c r="N650">
        <v>2</v>
      </c>
      <c r="O650">
        <v>2742</v>
      </c>
      <c r="P650" t="s">
        <v>2176</v>
      </c>
      <c r="Q650">
        <v>3</v>
      </c>
      <c r="R650">
        <v>4</v>
      </c>
      <c r="S650">
        <v>9</v>
      </c>
      <c r="T650">
        <v>225</v>
      </c>
      <c r="U650" t="s">
        <v>2164</v>
      </c>
      <c r="W650" t="s">
        <v>2208</v>
      </c>
      <c r="X650" t="s">
        <v>2210</v>
      </c>
      <c r="Y650" t="s">
        <v>2212</v>
      </c>
      <c r="Z650" s="1">
        <v>45569</v>
      </c>
      <c r="AA650" s="1">
        <v>45584</v>
      </c>
      <c r="AB650" t="s">
        <v>2214</v>
      </c>
      <c r="AC650" t="s">
        <v>2209</v>
      </c>
      <c r="AD650" t="s">
        <v>2216</v>
      </c>
      <c r="AE650" t="s">
        <v>2164</v>
      </c>
      <c r="AG650" t="s">
        <v>2220</v>
      </c>
      <c r="AH650">
        <v>16</v>
      </c>
      <c r="AI650">
        <v>31</v>
      </c>
      <c r="AJ650">
        <v>15</v>
      </c>
      <c r="AK650">
        <v>9</v>
      </c>
      <c r="AL650" t="s">
        <v>2234</v>
      </c>
      <c r="AM650">
        <v>0</v>
      </c>
      <c r="AN650" t="s">
        <v>2176</v>
      </c>
      <c r="AO650" t="s">
        <v>2176</v>
      </c>
      <c r="AP650" t="s">
        <v>2176</v>
      </c>
      <c r="AQ650">
        <v>21.24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4.5</v>
      </c>
      <c r="AY650">
        <v>4.5</v>
      </c>
      <c r="AZ650">
        <v>3</v>
      </c>
      <c r="BA650">
        <v>0</v>
      </c>
      <c r="BB650">
        <v>34</v>
      </c>
      <c r="BC650">
        <v>26</v>
      </c>
      <c r="BD650">
        <v>29.81</v>
      </c>
      <c r="BE650">
        <v>147</v>
      </c>
      <c r="BF650">
        <v>87.7</v>
      </c>
      <c r="BG650">
        <v>34</v>
      </c>
      <c r="BH650">
        <v>26</v>
      </c>
      <c r="BI650">
        <v>29.81</v>
      </c>
      <c r="BJ650">
        <v>147</v>
      </c>
      <c r="BK650">
        <v>87.7</v>
      </c>
      <c r="BL650">
        <v>147</v>
      </c>
      <c r="BM650">
        <v>0.94169999999999998</v>
      </c>
    </row>
    <row r="651" spans="1:65" x14ac:dyDescent="0.25">
      <c r="A651" t="s">
        <v>714</v>
      </c>
      <c r="B651" t="s">
        <v>1694</v>
      </c>
      <c r="C651" t="s">
        <v>2159</v>
      </c>
      <c r="D651" s="1">
        <v>45539</v>
      </c>
      <c r="E651" s="1">
        <v>45579</v>
      </c>
      <c r="F651" s="1">
        <v>45602</v>
      </c>
      <c r="G651" t="s">
        <v>2162</v>
      </c>
      <c r="I651" t="s">
        <v>2174</v>
      </c>
      <c r="J651">
        <v>1744</v>
      </c>
      <c r="K651">
        <v>52</v>
      </c>
      <c r="L651">
        <v>7.7</v>
      </c>
      <c r="M651">
        <v>2.6</v>
      </c>
      <c r="N651">
        <v>1</v>
      </c>
      <c r="O651">
        <v>5757</v>
      </c>
      <c r="P651" t="s">
        <v>2176</v>
      </c>
      <c r="Q651">
        <v>1</v>
      </c>
      <c r="R651">
        <v>1</v>
      </c>
      <c r="S651">
        <v>3</v>
      </c>
      <c r="T651">
        <v>348</v>
      </c>
      <c r="U651" t="s">
        <v>2162</v>
      </c>
      <c r="W651" t="s">
        <v>2208</v>
      </c>
      <c r="X651" t="s">
        <v>2210</v>
      </c>
      <c r="Y651" t="s">
        <v>2212</v>
      </c>
      <c r="Z651" s="1">
        <v>45584</v>
      </c>
      <c r="AA651" s="1">
        <v>45599</v>
      </c>
      <c r="AB651" t="s">
        <v>2214</v>
      </c>
      <c r="AC651" t="s">
        <v>2209</v>
      </c>
      <c r="AD651" t="s">
        <v>2216</v>
      </c>
      <c r="AE651" t="s">
        <v>2162</v>
      </c>
      <c r="AG651" t="s">
        <v>2220</v>
      </c>
      <c r="AH651">
        <v>5</v>
      </c>
      <c r="AI651">
        <v>20</v>
      </c>
      <c r="AJ651">
        <v>15</v>
      </c>
      <c r="AK651">
        <v>10</v>
      </c>
      <c r="AL651" t="s">
        <v>2230</v>
      </c>
      <c r="AM651">
        <v>1</v>
      </c>
      <c r="AN651" t="s">
        <v>2176</v>
      </c>
      <c r="AO651" t="s">
        <v>2176</v>
      </c>
      <c r="AP651" t="s">
        <v>2176</v>
      </c>
      <c r="AQ651">
        <v>20.02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4.2</v>
      </c>
      <c r="AY651">
        <v>4.2</v>
      </c>
      <c r="AZ651">
        <v>0</v>
      </c>
      <c r="BA651">
        <v>0</v>
      </c>
      <c r="BB651">
        <v>25</v>
      </c>
      <c r="BC651">
        <v>27</v>
      </c>
      <c r="BD651">
        <v>21.89</v>
      </c>
      <c r="BE651">
        <v>108</v>
      </c>
      <c r="BF651">
        <v>87.6</v>
      </c>
      <c r="BG651">
        <v>25</v>
      </c>
      <c r="BH651">
        <v>27</v>
      </c>
      <c r="BI651">
        <v>21.89</v>
      </c>
      <c r="BJ651">
        <v>108</v>
      </c>
      <c r="BK651">
        <v>87.6</v>
      </c>
      <c r="BL651">
        <v>108</v>
      </c>
      <c r="BM651">
        <v>0.59789999999999999</v>
      </c>
    </row>
    <row r="652" spans="1:65" x14ac:dyDescent="0.25">
      <c r="A652" t="s">
        <v>715</v>
      </c>
      <c r="B652" t="s">
        <v>1695</v>
      </c>
      <c r="C652" t="s">
        <v>2158</v>
      </c>
      <c r="D652" s="1">
        <v>45402</v>
      </c>
      <c r="E652" s="1">
        <v>45457</v>
      </c>
      <c r="F652" s="1">
        <v>45485</v>
      </c>
      <c r="G652" t="s">
        <v>2162</v>
      </c>
      <c r="I652" t="s">
        <v>2176</v>
      </c>
      <c r="J652">
        <v>3915</v>
      </c>
      <c r="K652">
        <v>117</v>
      </c>
      <c r="L652">
        <v>2.1</v>
      </c>
      <c r="M652">
        <v>5.5</v>
      </c>
      <c r="N652">
        <v>1</v>
      </c>
      <c r="O652">
        <v>1082</v>
      </c>
      <c r="P652" t="s">
        <v>2176</v>
      </c>
      <c r="Q652">
        <v>3</v>
      </c>
      <c r="R652">
        <v>4</v>
      </c>
      <c r="S652">
        <v>6</v>
      </c>
      <c r="T652">
        <v>301</v>
      </c>
      <c r="U652" t="s">
        <v>2162</v>
      </c>
      <c r="W652" t="s">
        <v>2208</v>
      </c>
      <c r="X652" t="s">
        <v>2210</v>
      </c>
      <c r="Y652" t="s">
        <v>2212</v>
      </c>
      <c r="Z652" s="1">
        <v>45470</v>
      </c>
      <c r="AA652" s="1">
        <v>45483</v>
      </c>
      <c r="AB652" t="s">
        <v>2214</v>
      </c>
      <c r="AC652" t="s">
        <v>2209</v>
      </c>
      <c r="AD652" t="s">
        <v>2216</v>
      </c>
      <c r="AE652" t="s">
        <v>2162</v>
      </c>
      <c r="AG652" t="s">
        <v>2220</v>
      </c>
      <c r="AH652">
        <v>13</v>
      </c>
      <c r="AI652">
        <v>26</v>
      </c>
      <c r="AJ652">
        <v>13</v>
      </c>
      <c r="AK652">
        <v>6</v>
      </c>
      <c r="AL652" t="s">
        <v>2223</v>
      </c>
      <c r="AM652">
        <v>0</v>
      </c>
      <c r="AN652" t="s">
        <v>2176</v>
      </c>
      <c r="AO652" t="s">
        <v>2176</v>
      </c>
      <c r="AP652" t="s">
        <v>2176</v>
      </c>
      <c r="AQ652">
        <v>11.55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4.2</v>
      </c>
      <c r="AY652">
        <v>4.2</v>
      </c>
      <c r="AZ652">
        <v>2</v>
      </c>
      <c r="BA652">
        <v>1</v>
      </c>
      <c r="BB652">
        <v>29</v>
      </c>
      <c r="BC652">
        <v>25</v>
      </c>
      <c r="BD652">
        <v>25.56</v>
      </c>
      <c r="BE652">
        <v>117</v>
      </c>
      <c r="BF652">
        <v>88.1</v>
      </c>
      <c r="BG652">
        <v>29</v>
      </c>
      <c r="BH652">
        <v>25</v>
      </c>
      <c r="BI652">
        <v>25.56</v>
      </c>
      <c r="BJ652">
        <v>117</v>
      </c>
      <c r="BK652">
        <v>88.1</v>
      </c>
      <c r="BL652">
        <v>117</v>
      </c>
      <c r="BM652">
        <v>1.3380000000000001</v>
      </c>
    </row>
    <row r="653" spans="1:65" x14ac:dyDescent="0.25">
      <c r="A653" t="s">
        <v>716</v>
      </c>
      <c r="B653" t="s">
        <v>1696</v>
      </c>
      <c r="C653" t="s">
        <v>2159</v>
      </c>
      <c r="D653" s="1">
        <v>45460</v>
      </c>
      <c r="E653" s="1">
        <v>45488</v>
      </c>
      <c r="F653" s="1">
        <v>45523</v>
      </c>
      <c r="G653" t="s">
        <v>2161</v>
      </c>
      <c r="I653" t="s">
        <v>2176</v>
      </c>
      <c r="J653">
        <v>3093</v>
      </c>
      <c r="K653">
        <v>92</v>
      </c>
      <c r="L653">
        <v>2</v>
      </c>
      <c r="M653">
        <v>4.5999999999999996</v>
      </c>
      <c r="N653">
        <v>2</v>
      </c>
      <c r="O653">
        <v>2364</v>
      </c>
      <c r="P653" t="s">
        <v>2176</v>
      </c>
      <c r="Q653">
        <v>2</v>
      </c>
      <c r="R653">
        <v>3</v>
      </c>
      <c r="S653">
        <v>6</v>
      </c>
      <c r="T653">
        <v>281</v>
      </c>
      <c r="U653" t="s">
        <v>2161</v>
      </c>
      <c r="W653" t="s">
        <v>2208</v>
      </c>
      <c r="X653" t="s">
        <v>2210</v>
      </c>
      <c r="Y653" t="s">
        <v>2212</v>
      </c>
      <c r="Z653" s="1">
        <v>45499</v>
      </c>
      <c r="AA653" s="1">
        <v>45518</v>
      </c>
      <c r="AB653" t="s">
        <v>2214</v>
      </c>
      <c r="AC653" t="s">
        <v>2209</v>
      </c>
      <c r="AD653" t="s">
        <v>2216</v>
      </c>
      <c r="AE653" t="s">
        <v>2161</v>
      </c>
      <c r="AG653" t="s">
        <v>2220</v>
      </c>
      <c r="AH653">
        <v>11</v>
      </c>
      <c r="AI653">
        <v>30</v>
      </c>
      <c r="AJ653">
        <v>19</v>
      </c>
      <c r="AK653">
        <v>7</v>
      </c>
      <c r="AL653" t="s">
        <v>2226</v>
      </c>
      <c r="AM653">
        <v>0</v>
      </c>
      <c r="AN653" t="s">
        <v>2176</v>
      </c>
      <c r="AO653" t="s">
        <v>2176</v>
      </c>
      <c r="AP653" t="s">
        <v>2176</v>
      </c>
      <c r="AQ653">
        <v>9.1999999999999993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4.3</v>
      </c>
      <c r="AY653">
        <v>4.3</v>
      </c>
      <c r="AZ653">
        <v>0</v>
      </c>
      <c r="BA653">
        <v>1</v>
      </c>
      <c r="BB653">
        <v>28</v>
      </c>
      <c r="BC653">
        <v>27</v>
      </c>
      <c r="BD653">
        <v>25.26</v>
      </c>
      <c r="BE653">
        <v>129</v>
      </c>
      <c r="BF653">
        <v>90.2</v>
      </c>
      <c r="BG653">
        <v>28</v>
      </c>
      <c r="BH653">
        <v>27</v>
      </c>
      <c r="BI653">
        <v>25.26</v>
      </c>
      <c r="BJ653">
        <v>129</v>
      </c>
      <c r="BK653">
        <v>90.2</v>
      </c>
      <c r="BL653">
        <v>129</v>
      </c>
      <c r="BM653">
        <v>0.88780000000000003</v>
      </c>
    </row>
    <row r="654" spans="1:65" x14ac:dyDescent="0.25">
      <c r="A654" t="s">
        <v>717</v>
      </c>
      <c r="B654" t="s">
        <v>1697</v>
      </c>
      <c r="C654" t="s">
        <v>2158</v>
      </c>
      <c r="D654" s="1">
        <v>45515</v>
      </c>
      <c r="E654" s="1">
        <v>45567</v>
      </c>
      <c r="F654" s="1">
        <v>45616</v>
      </c>
      <c r="G654" t="s">
        <v>2165</v>
      </c>
      <c r="I654" t="s">
        <v>2176</v>
      </c>
      <c r="J654">
        <v>3962</v>
      </c>
      <c r="K654">
        <v>118</v>
      </c>
      <c r="L654">
        <v>6.3</v>
      </c>
      <c r="M654">
        <v>2.5</v>
      </c>
      <c r="N654">
        <v>1</v>
      </c>
      <c r="O654">
        <v>1150</v>
      </c>
      <c r="P654" t="s">
        <v>2176</v>
      </c>
      <c r="Q654">
        <v>4</v>
      </c>
      <c r="R654">
        <v>5</v>
      </c>
      <c r="S654">
        <v>8</v>
      </c>
      <c r="T654">
        <v>233</v>
      </c>
      <c r="U654" t="s">
        <v>2165</v>
      </c>
      <c r="W654" t="s">
        <v>2208</v>
      </c>
      <c r="X654" t="s">
        <v>2210</v>
      </c>
      <c r="Y654" t="s">
        <v>2212</v>
      </c>
      <c r="Z654" s="1">
        <v>45584</v>
      </c>
      <c r="AA654" s="1">
        <v>45603</v>
      </c>
      <c r="AB654" t="s">
        <v>2214</v>
      </c>
      <c r="AC654" t="s">
        <v>2209</v>
      </c>
      <c r="AD654" t="s">
        <v>2216</v>
      </c>
      <c r="AE654" t="s">
        <v>2165</v>
      </c>
      <c r="AG654" t="s">
        <v>2220</v>
      </c>
      <c r="AH654">
        <v>17</v>
      </c>
      <c r="AI654">
        <v>36</v>
      </c>
      <c r="AJ654">
        <v>19</v>
      </c>
      <c r="AK654">
        <v>10</v>
      </c>
      <c r="AL654" t="s">
        <v>2230</v>
      </c>
      <c r="AM654">
        <v>1</v>
      </c>
      <c r="AN654" t="s">
        <v>2176</v>
      </c>
      <c r="AO654" t="s">
        <v>2176</v>
      </c>
      <c r="AP654" t="s">
        <v>2176</v>
      </c>
      <c r="AQ654">
        <v>15.75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4.5999999999999996</v>
      </c>
      <c r="AY654">
        <v>4.5999999999999996</v>
      </c>
      <c r="AZ654">
        <v>2</v>
      </c>
      <c r="BA654">
        <v>1</v>
      </c>
      <c r="BB654">
        <v>43</v>
      </c>
      <c r="BC654">
        <v>27</v>
      </c>
      <c r="BD654">
        <v>37.33</v>
      </c>
      <c r="BE654">
        <v>194</v>
      </c>
      <c r="BF654">
        <v>86.8</v>
      </c>
      <c r="BG654">
        <v>43</v>
      </c>
      <c r="BH654">
        <v>27</v>
      </c>
      <c r="BI654">
        <v>37.33</v>
      </c>
      <c r="BJ654">
        <v>194</v>
      </c>
      <c r="BK654">
        <v>86.8</v>
      </c>
      <c r="BL654">
        <v>194</v>
      </c>
      <c r="BM654">
        <v>0.75629999999999997</v>
      </c>
    </row>
    <row r="655" spans="1:65" x14ac:dyDescent="0.25">
      <c r="A655" t="s">
        <v>718</v>
      </c>
      <c r="B655" t="s">
        <v>1698</v>
      </c>
      <c r="C655" t="s">
        <v>2159</v>
      </c>
      <c r="D655" s="1">
        <v>45452</v>
      </c>
      <c r="E655" s="1">
        <v>45507</v>
      </c>
      <c r="F655" s="1">
        <v>45523</v>
      </c>
      <c r="G655" t="s">
        <v>2162</v>
      </c>
      <c r="I655" t="s">
        <v>2174</v>
      </c>
      <c r="J655">
        <v>1068</v>
      </c>
      <c r="K655">
        <v>32</v>
      </c>
      <c r="L655">
        <v>6</v>
      </c>
      <c r="M655">
        <v>2.5</v>
      </c>
      <c r="N655">
        <v>1</v>
      </c>
      <c r="O655">
        <v>2673</v>
      </c>
      <c r="P655" t="s">
        <v>2176</v>
      </c>
      <c r="Q655">
        <v>0</v>
      </c>
      <c r="R655">
        <v>0</v>
      </c>
      <c r="S655">
        <v>1</v>
      </c>
      <c r="T655">
        <v>1068</v>
      </c>
      <c r="U655" t="s">
        <v>2162</v>
      </c>
      <c r="W655" t="s">
        <v>2208</v>
      </c>
      <c r="X655" t="s">
        <v>2210</v>
      </c>
      <c r="Y655" t="s">
        <v>2212</v>
      </c>
      <c r="Z655" s="1">
        <v>45508</v>
      </c>
      <c r="AA655" s="1">
        <v>45522</v>
      </c>
      <c r="AB655" t="s">
        <v>2214</v>
      </c>
      <c r="AC655" t="s">
        <v>2209</v>
      </c>
      <c r="AD655" t="s">
        <v>2216</v>
      </c>
      <c r="AE655" t="s">
        <v>2162</v>
      </c>
      <c r="AG655" t="s">
        <v>2220</v>
      </c>
      <c r="AH655">
        <v>1</v>
      </c>
      <c r="AI655">
        <v>15</v>
      </c>
      <c r="AJ655">
        <v>14</v>
      </c>
      <c r="AK655">
        <v>8</v>
      </c>
      <c r="AL655" t="s">
        <v>2232</v>
      </c>
      <c r="AM655">
        <v>0</v>
      </c>
      <c r="AN655" t="s">
        <v>2176</v>
      </c>
      <c r="AO655" t="s">
        <v>2176</v>
      </c>
      <c r="AP655" t="s">
        <v>2176</v>
      </c>
      <c r="AQ655">
        <v>15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4.2</v>
      </c>
      <c r="AY655">
        <v>4.2</v>
      </c>
      <c r="AZ655">
        <v>0</v>
      </c>
      <c r="BA655">
        <v>0</v>
      </c>
      <c r="BB655">
        <v>29</v>
      </c>
      <c r="BC655">
        <v>26</v>
      </c>
      <c r="BD655">
        <v>25.54</v>
      </c>
      <c r="BE655">
        <v>124</v>
      </c>
      <c r="BF655">
        <v>88.1</v>
      </c>
      <c r="BG655">
        <v>29</v>
      </c>
      <c r="BH655">
        <v>26</v>
      </c>
      <c r="BI655">
        <v>25.54</v>
      </c>
      <c r="BJ655">
        <v>124</v>
      </c>
      <c r="BK655">
        <v>88.1</v>
      </c>
      <c r="BL655">
        <v>124</v>
      </c>
      <c r="BM655">
        <v>0.33119999999999999</v>
      </c>
    </row>
    <row r="656" spans="1:65" x14ac:dyDescent="0.25">
      <c r="A656" t="s">
        <v>719</v>
      </c>
      <c r="B656" t="s">
        <v>1699</v>
      </c>
      <c r="C656" t="s">
        <v>2158</v>
      </c>
      <c r="D656" s="1">
        <v>45483</v>
      </c>
      <c r="E656" s="1">
        <v>45508</v>
      </c>
      <c r="F656" s="1">
        <v>45554</v>
      </c>
      <c r="G656" t="s">
        <v>2161</v>
      </c>
      <c r="I656" t="s">
        <v>2176</v>
      </c>
      <c r="J656">
        <v>3551</v>
      </c>
      <c r="K656">
        <v>106</v>
      </c>
      <c r="L656">
        <v>6.4</v>
      </c>
      <c r="M656">
        <v>5.0999999999999996</v>
      </c>
      <c r="N656">
        <v>2</v>
      </c>
      <c r="O656">
        <v>1489</v>
      </c>
      <c r="P656" t="s">
        <v>2176</v>
      </c>
      <c r="Q656">
        <v>2</v>
      </c>
      <c r="R656">
        <v>2</v>
      </c>
      <c r="S656">
        <v>5</v>
      </c>
      <c r="T656">
        <v>394</v>
      </c>
      <c r="U656" t="s">
        <v>2161</v>
      </c>
      <c r="W656" t="s">
        <v>2208</v>
      </c>
      <c r="X656" t="s">
        <v>2210</v>
      </c>
      <c r="Y656" t="s">
        <v>2212</v>
      </c>
      <c r="Z656" s="1">
        <v>45517</v>
      </c>
      <c r="AA656" s="1">
        <v>45530</v>
      </c>
      <c r="AB656" t="s">
        <v>2214</v>
      </c>
      <c r="AC656" t="s">
        <v>2209</v>
      </c>
      <c r="AD656" t="s">
        <v>2216</v>
      </c>
      <c r="AE656" t="s">
        <v>2161</v>
      </c>
      <c r="AG656" t="s">
        <v>2220</v>
      </c>
      <c r="AH656">
        <v>9</v>
      </c>
      <c r="AI656">
        <v>22</v>
      </c>
      <c r="AJ656">
        <v>13</v>
      </c>
      <c r="AK656">
        <v>8</v>
      </c>
      <c r="AL656" t="s">
        <v>2232</v>
      </c>
      <c r="AM656">
        <v>0</v>
      </c>
      <c r="AN656" t="s">
        <v>2177</v>
      </c>
      <c r="AO656" t="s">
        <v>2176</v>
      </c>
      <c r="AP656" t="s">
        <v>2176</v>
      </c>
      <c r="AQ656">
        <v>32.64</v>
      </c>
      <c r="AR656">
        <v>1</v>
      </c>
      <c r="AS656">
        <v>2</v>
      </c>
      <c r="AT656">
        <v>1</v>
      </c>
      <c r="AU656">
        <v>1</v>
      </c>
      <c r="AV656">
        <v>1.333333333333333</v>
      </c>
      <c r="AW656">
        <v>4.3</v>
      </c>
      <c r="AY656">
        <v>4.3</v>
      </c>
      <c r="AZ656">
        <v>2</v>
      </c>
      <c r="BA656">
        <v>1</v>
      </c>
      <c r="BB656">
        <v>36</v>
      </c>
      <c r="BC656">
        <v>26</v>
      </c>
      <c r="BD656">
        <v>31.65</v>
      </c>
      <c r="BE656">
        <v>152</v>
      </c>
      <c r="BF656">
        <v>87.9</v>
      </c>
      <c r="BG656">
        <v>36</v>
      </c>
      <c r="BH656">
        <v>26</v>
      </c>
      <c r="BI656">
        <v>31.65</v>
      </c>
      <c r="BJ656">
        <v>152</v>
      </c>
      <c r="BK656">
        <v>87.9</v>
      </c>
      <c r="BL656">
        <v>152</v>
      </c>
      <c r="BM656">
        <v>0.89829999999999999</v>
      </c>
    </row>
    <row r="657" spans="1:65" x14ac:dyDescent="0.25">
      <c r="A657" t="s">
        <v>720</v>
      </c>
      <c r="B657" t="s">
        <v>1700</v>
      </c>
      <c r="C657" t="s">
        <v>2158</v>
      </c>
      <c r="D657" s="1">
        <v>45484</v>
      </c>
      <c r="E657" s="1">
        <v>45539</v>
      </c>
      <c r="F657" s="1">
        <v>45579</v>
      </c>
      <c r="G657" t="s">
        <v>2166</v>
      </c>
      <c r="I657" t="s">
        <v>2174</v>
      </c>
      <c r="J657">
        <v>1294</v>
      </c>
      <c r="K657">
        <v>38</v>
      </c>
      <c r="L657">
        <v>6.7</v>
      </c>
      <c r="M657">
        <v>4.5</v>
      </c>
      <c r="N657">
        <v>1</v>
      </c>
      <c r="O657">
        <v>1741</v>
      </c>
      <c r="P657" t="s">
        <v>2176</v>
      </c>
      <c r="Q657">
        <v>0</v>
      </c>
      <c r="R657">
        <v>0</v>
      </c>
      <c r="S657">
        <v>2</v>
      </c>
      <c r="T657">
        <v>647</v>
      </c>
      <c r="U657" t="s">
        <v>2166</v>
      </c>
      <c r="W657" t="s">
        <v>2208</v>
      </c>
      <c r="X657" t="s">
        <v>2210</v>
      </c>
      <c r="Y657" t="s">
        <v>2212</v>
      </c>
      <c r="Z657" s="1">
        <v>45541</v>
      </c>
      <c r="AA657" s="1">
        <v>45555</v>
      </c>
      <c r="AB657" t="s">
        <v>2214</v>
      </c>
      <c r="AC657" t="s">
        <v>2209</v>
      </c>
      <c r="AD657" t="s">
        <v>2216</v>
      </c>
      <c r="AE657" t="s">
        <v>2166</v>
      </c>
      <c r="AG657" t="s">
        <v>2220</v>
      </c>
      <c r="AH657">
        <v>2</v>
      </c>
      <c r="AI657">
        <v>16</v>
      </c>
      <c r="AJ657">
        <v>14</v>
      </c>
      <c r="AK657">
        <v>9</v>
      </c>
      <c r="AL657" t="s">
        <v>2234</v>
      </c>
      <c r="AM657">
        <v>0</v>
      </c>
      <c r="AN657" t="s">
        <v>2176</v>
      </c>
      <c r="AO657" t="s">
        <v>2176</v>
      </c>
      <c r="AP657" t="s">
        <v>2176</v>
      </c>
      <c r="AQ657">
        <v>30.15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4.8</v>
      </c>
      <c r="AY657">
        <v>4.8</v>
      </c>
      <c r="AZ657">
        <v>2</v>
      </c>
      <c r="BA657">
        <v>0</v>
      </c>
      <c r="BB657">
        <v>48</v>
      </c>
      <c r="BC657">
        <v>26</v>
      </c>
      <c r="BD657">
        <v>42</v>
      </c>
      <c r="BE657">
        <v>204</v>
      </c>
      <c r="BF657">
        <v>87.5</v>
      </c>
      <c r="BG657">
        <v>48</v>
      </c>
      <c r="BH657">
        <v>26</v>
      </c>
      <c r="BI657">
        <v>42</v>
      </c>
      <c r="BJ657">
        <v>204</v>
      </c>
      <c r="BK657">
        <v>87.5</v>
      </c>
      <c r="BL657">
        <v>204</v>
      </c>
      <c r="BM657">
        <v>0.24390000000000001</v>
      </c>
    </row>
    <row r="658" spans="1:65" x14ac:dyDescent="0.25">
      <c r="A658" t="s">
        <v>721</v>
      </c>
      <c r="B658" t="s">
        <v>1701</v>
      </c>
      <c r="C658" t="s">
        <v>2160</v>
      </c>
      <c r="D658" s="1">
        <v>45432</v>
      </c>
      <c r="E658" s="1">
        <v>45475</v>
      </c>
      <c r="F658" s="1">
        <v>45519</v>
      </c>
      <c r="G658" t="s">
        <v>2163</v>
      </c>
      <c r="I658" t="s">
        <v>2176</v>
      </c>
      <c r="J658">
        <v>2642</v>
      </c>
      <c r="K658">
        <v>79</v>
      </c>
      <c r="L658">
        <v>6.7</v>
      </c>
      <c r="M658">
        <v>5.6</v>
      </c>
      <c r="N658">
        <v>2</v>
      </c>
      <c r="O658">
        <v>5351</v>
      </c>
      <c r="P658" t="s">
        <v>2176</v>
      </c>
      <c r="Q658">
        <v>2</v>
      </c>
      <c r="R658">
        <v>2</v>
      </c>
      <c r="S658">
        <v>4</v>
      </c>
      <c r="T658">
        <v>330</v>
      </c>
      <c r="U658" t="s">
        <v>2163</v>
      </c>
      <c r="W658" t="s">
        <v>2208</v>
      </c>
      <c r="X658" t="s">
        <v>2210</v>
      </c>
      <c r="Y658" t="s">
        <v>2212</v>
      </c>
      <c r="Z658" s="1">
        <v>45483</v>
      </c>
      <c r="AA658" s="1">
        <v>45502</v>
      </c>
      <c r="AB658" t="s">
        <v>2214</v>
      </c>
      <c r="AC658" t="s">
        <v>2209</v>
      </c>
      <c r="AD658" t="s">
        <v>2216</v>
      </c>
      <c r="AE658" t="s">
        <v>2163</v>
      </c>
      <c r="AG658" t="s">
        <v>2220</v>
      </c>
      <c r="AH658">
        <v>8</v>
      </c>
      <c r="AI658">
        <v>27</v>
      </c>
      <c r="AJ658">
        <v>19</v>
      </c>
      <c r="AK658">
        <v>7</v>
      </c>
      <c r="AL658" t="s">
        <v>2226</v>
      </c>
      <c r="AM658">
        <v>0</v>
      </c>
      <c r="AN658" t="s">
        <v>2177</v>
      </c>
      <c r="AO658" t="s">
        <v>2176</v>
      </c>
      <c r="AP658" t="s">
        <v>2176</v>
      </c>
      <c r="AQ658">
        <v>37.520000000000003</v>
      </c>
      <c r="AR658">
        <v>1</v>
      </c>
      <c r="AS658">
        <v>2</v>
      </c>
      <c r="AT658">
        <v>1</v>
      </c>
      <c r="AU658">
        <v>1</v>
      </c>
      <c r="AV658">
        <v>1.333333333333333</v>
      </c>
      <c r="AW658">
        <v>4.4000000000000004</v>
      </c>
      <c r="AY658">
        <v>4.4000000000000004</v>
      </c>
      <c r="AZ658">
        <v>1</v>
      </c>
      <c r="BA658">
        <v>1</v>
      </c>
      <c r="BB658">
        <v>33</v>
      </c>
      <c r="BC658">
        <v>27</v>
      </c>
      <c r="BD658">
        <v>28.89</v>
      </c>
      <c r="BE658">
        <v>145</v>
      </c>
      <c r="BF658">
        <v>87.5</v>
      </c>
      <c r="BG658">
        <v>33</v>
      </c>
      <c r="BH658">
        <v>27</v>
      </c>
      <c r="BI658">
        <v>28.89</v>
      </c>
      <c r="BJ658">
        <v>145</v>
      </c>
      <c r="BK658">
        <v>87.5</v>
      </c>
      <c r="BL658">
        <v>145</v>
      </c>
      <c r="BM658">
        <v>0.67469999999999997</v>
      </c>
    </row>
    <row r="659" spans="1:65" x14ac:dyDescent="0.25">
      <c r="A659" t="s">
        <v>722</v>
      </c>
      <c r="B659" t="s">
        <v>1702</v>
      </c>
      <c r="C659" t="s">
        <v>2157</v>
      </c>
      <c r="D659" s="1">
        <v>45251</v>
      </c>
      <c r="E659" s="1">
        <v>45298</v>
      </c>
      <c r="F659" s="1">
        <v>45355</v>
      </c>
      <c r="G659" t="s">
        <v>2163</v>
      </c>
      <c r="I659" t="s">
        <v>2174</v>
      </c>
      <c r="J659">
        <v>4278</v>
      </c>
      <c r="K659">
        <v>128</v>
      </c>
      <c r="L659">
        <v>3.6</v>
      </c>
      <c r="M659">
        <v>3</v>
      </c>
      <c r="N659">
        <v>1</v>
      </c>
      <c r="O659">
        <v>1644</v>
      </c>
      <c r="P659" t="s">
        <v>2176</v>
      </c>
      <c r="Q659">
        <v>5</v>
      </c>
      <c r="R659">
        <v>6</v>
      </c>
      <c r="S659">
        <v>7</v>
      </c>
      <c r="T659">
        <v>237</v>
      </c>
      <c r="U659" t="s">
        <v>2163</v>
      </c>
      <c r="W659" t="s">
        <v>2208</v>
      </c>
      <c r="X659" t="s">
        <v>2210</v>
      </c>
      <c r="Y659" t="s">
        <v>2212</v>
      </c>
      <c r="Z659" s="1">
        <v>45316</v>
      </c>
      <c r="AA659" s="1">
        <v>45329</v>
      </c>
      <c r="AB659" t="s">
        <v>2214</v>
      </c>
      <c r="AC659" t="s">
        <v>2209</v>
      </c>
      <c r="AD659" t="s">
        <v>2216</v>
      </c>
      <c r="AE659" t="s">
        <v>2163</v>
      </c>
      <c r="AG659" t="s">
        <v>2220</v>
      </c>
      <c r="AH659">
        <v>18</v>
      </c>
      <c r="AI659">
        <v>31</v>
      </c>
      <c r="AJ659">
        <v>13</v>
      </c>
      <c r="AK659">
        <v>1</v>
      </c>
      <c r="AL659" t="s">
        <v>2233</v>
      </c>
      <c r="AM659">
        <v>0</v>
      </c>
      <c r="AN659" t="s">
        <v>2176</v>
      </c>
      <c r="AO659" t="s">
        <v>2176</v>
      </c>
      <c r="AP659" t="s">
        <v>2176</v>
      </c>
      <c r="AQ659">
        <v>10.8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4.4000000000000004</v>
      </c>
      <c r="AY659">
        <v>4.4000000000000004</v>
      </c>
      <c r="AZ659">
        <v>3</v>
      </c>
      <c r="BA659">
        <v>0</v>
      </c>
      <c r="BB659">
        <v>40</v>
      </c>
      <c r="BC659">
        <v>27</v>
      </c>
      <c r="BD659">
        <v>34.93</v>
      </c>
      <c r="BE659">
        <v>178</v>
      </c>
      <c r="BF659">
        <v>87.3</v>
      </c>
      <c r="BG659">
        <v>40</v>
      </c>
      <c r="BH659">
        <v>27</v>
      </c>
      <c r="BI659">
        <v>34.93</v>
      </c>
      <c r="BJ659">
        <v>178</v>
      </c>
      <c r="BK659">
        <v>87.3</v>
      </c>
      <c r="BL659">
        <v>178</v>
      </c>
      <c r="BM659">
        <v>0.89</v>
      </c>
    </row>
    <row r="660" spans="1:65" x14ac:dyDescent="0.25">
      <c r="A660" t="s">
        <v>723</v>
      </c>
      <c r="B660" t="s">
        <v>1703</v>
      </c>
      <c r="C660" t="s">
        <v>2159</v>
      </c>
      <c r="D660" s="1">
        <v>45258</v>
      </c>
      <c r="E660" s="1">
        <v>45302</v>
      </c>
      <c r="F660" s="1">
        <v>45333</v>
      </c>
      <c r="G660" t="s">
        <v>2165</v>
      </c>
      <c r="I660" t="s">
        <v>2174</v>
      </c>
      <c r="J660">
        <v>3502</v>
      </c>
      <c r="K660">
        <v>105</v>
      </c>
      <c r="L660">
        <v>6.8</v>
      </c>
      <c r="M660">
        <v>2</v>
      </c>
      <c r="N660">
        <v>2</v>
      </c>
      <c r="O660">
        <v>3330</v>
      </c>
      <c r="P660" t="s">
        <v>2176</v>
      </c>
      <c r="Q660">
        <v>2</v>
      </c>
      <c r="R660">
        <v>3</v>
      </c>
      <c r="S660">
        <v>9</v>
      </c>
      <c r="T660">
        <v>250</v>
      </c>
      <c r="U660" t="s">
        <v>2165</v>
      </c>
      <c r="W660" t="s">
        <v>2208</v>
      </c>
      <c r="X660" t="s">
        <v>2210</v>
      </c>
      <c r="Y660" t="s">
        <v>2212</v>
      </c>
      <c r="Z660" s="1">
        <v>45316</v>
      </c>
      <c r="AA660" s="1">
        <v>45330</v>
      </c>
      <c r="AB660" t="s">
        <v>2214</v>
      </c>
      <c r="AC660" t="s">
        <v>2209</v>
      </c>
      <c r="AD660" t="s">
        <v>2216</v>
      </c>
      <c r="AE660" t="s">
        <v>2165</v>
      </c>
      <c r="AG660" t="s">
        <v>2220</v>
      </c>
      <c r="AH660">
        <v>14</v>
      </c>
      <c r="AI660">
        <v>28</v>
      </c>
      <c r="AJ660">
        <v>14</v>
      </c>
      <c r="AK660">
        <v>1</v>
      </c>
      <c r="AL660" t="s">
        <v>2233</v>
      </c>
      <c r="AM660">
        <v>0</v>
      </c>
      <c r="AN660" t="s">
        <v>2176</v>
      </c>
      <c r="AO660" t="s">
        <v>2176</v>
      </c>
      <c r="AP660" t="s">
        <v>2176</v>
      </c>
      <c r="AQ660">
        <v>13.6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4.5999999999999996</v>
      </c>
      <c r="AY660">
        <v>4.5999999999999996</v>
      </c>
      <c r="AZ660">
        <v>0</v>
      </c>
      <c r="BA660">
        <v>0</v>
      </c>
      <c r="BB660">
        <v>43</v>
      </c>
      <c r="BC660">
        <v>27</v>
      </c>
      <c r="BD660">
        <v>38.299999999999997</v>
      </c>
      <c r="BE660">
        <v>197</v>
      </c>
      <c r="BF660">
        <v>89.1</v>
      </c>
      <c r="BG660">
        <v>43</v>
      </c>
      <c r="BH660">
        <v>27</v>
      </c>
      <c r="BI660">
        <v>38.299999999999997</v>
      </c>
      <c r="BJ660">
        <v>197</v>
      </c>
      <c r="BK660">
        <v>89.1</v>
      </c>
      <c r="BL660">
        <v>197</v>
      </c>
      <c r="BM660">
        <v>0.6583</v>
      </c>
    </row>
    <row r="661" spans="1:65" x14ac:dyDescent="0.25">
      <c r="A661" t="s">
        <v>724</v>
      </c>
      <c r="B661" t="s">
        <v>1704</v>
      </c>
      <c r="C661" t="s">
        <v>2159</v>
      </c>
      <c r="D661" s="1">
        <v>45511</v>
      </c>
      <c r="E661" s="1">
        <v>45569</v>
      </c>
      <c r="F661" s="1">
        <v>45626</v>
      </c>
      <c r="G661" t="s">
        <v>2161</v>
      </c>
      <c r="I661" t="s">
        <v>2176</v>
      </c>
      <c r="J661">
        <v>4390</v>
      </c>
      <c r="K661">
        <v>131</v>
      </c>
      <c r="L661">
        <v>3.3</v>
      </c>
      <c r="M661">
        <v>6.9</v>
      </c>
      <c r="N661">
        <v>2</v>
      </c>
      <c r="O661">
        <v>5717</v>
      </c>
      <c r="P661" t="s">
        <v>2176</v>
      </c>
      <c r="Q661">
        <v>5</v>
      </c>
      <c r="R661">
        <v>7</v>
      </c>
      <c r="S661">
        <v>8</v>
      </c>
      <c r="T661">
        <v>219</v>
      </c>
      <c r="U661" t="s">
        <v>2161</v>
      </c>
      <c r="W661" t="s">
        <v>2208</v>
      </c>
      <c r="X661" t="s">
        <v>2210</v>
      </c>
      <c r="Y661" t="s">
        <v>2212</v>
      </c>
      <c r="Z661" s="1">
        <v>45589</v>
      </c>
      <c r="AA661" s="1">
        <v>45603</v>
      </c>
      <c r="AB661" t="s">
        <v>2214</v>
      </c>
      <c r="AC661" t="s">
        <v>2209</v>
      </c>
      <c r="AD661" t="s">
        <v>2216</v>
      </c>
      <c r="AE661" t="s">
        <v>2161</v>
      </c>
      <c r="AG661" t="s">
        <v>2220</v>
      </c>
      <c r="AH661">
        <v>20</v>
      </c>
      <c r="AI661">
        <v>34</v>
      </c>
      <c r="AJ661">
        <v>14</v>
      </c>
      <c r="AK661">
        <v>10</v>
      </c>
      <c r="AL661" t="s">
        <v>2230</v>
      </c>
      <c r="AM661">
        <v>1</v>
      </c>
      <c r="AN661" t="s">
        <v>2176</v>
      </c>
      <c r="AO661" t="s">
        <v>2176</v>
      </c>
      <c r="AP661" t="s">
        <v>2176</v>
      </c>
      <c r="AQ661">
        <v>22.77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4.3</v>
      </c>
      <c r="AY661">
        <v>4.3</v>
      </c>
      <c r="AZ661">
        <v>0</v>
      </c>
      <c r="BA661">
        <v>1</v>
      </c>
      <c r="BB661">
        <v>34</v>
      </c>
      <c r="BC661">
        <v>27</v>
      </c>
      <c r="BD661">
        <v>29.93</v>
      </c>
      <c r="BE661">
        <v>149</v>
      </c>
      <c r="BF661">
        <v>88</v>
      </c>
      <c r="BG661">
        <v>34</v>
      </c>
      <c r="BH661">
        <v>27</v>
      </c>
      <c r="BI661">
        <v>29.93</v>
      </c>
      <c r="BJ661">
        <v>149</v>
      </c>
      <c r="BK661">
        <v>88</v>
      </c>
      <c r="BL661">
        <v>149</v>
      </c>
      <c r="BM661">
        <v>1.091</v>
      </c>
    </row>
    <row r="662" spans="1:65" x14ac:dyDescent="0.25">
      <c r="A662" t="s">
        <v>725</v>
      </c>
      <c r="B662" t="s">
        <v>1705</v>
      </c>
      <c r="C662" t="s">
        <v>2157</v>
      </c>
      <c r="D662" s="1">
        <v>45356</v>
      </c>
      <c r="E662" s="1">
        <v>45398</v>
      </c>
      <c r="F662" s="1">
        <v>45432</v>
      </c>
      <c r="G662" t="s">
        <v>2166</v>
      </c>
      <c r="I662" t="s">
        <v>2176</v>
      </c>
      <c r="J662">
        <v>3928</v>
      </c>
      <c r="K662">
        <v>117</v>
      </c>
      <c r="L662">
        <v>4.0999999999999996</v>
      </c>
      <c r="M662">
        <v>5.0999999999999996</v>
      </c>
      <c r="N662">
        <v>2</v>
      </c>
      <c r="O662">
        <v>1086</v>
      </c>
      <c r="P662" t="s">
        <v>2176</v>
      </c>
      <c r="Q662">
        <v>4</v>
      </c>
      <c r="R662">
        <v>4</v>
      </c>
      <c r="S662">
        <v>9</v>
      </c>
      <c r="T662">
        <v>231</v>
      </c>
      <c r="U662" t="s">
        <v>2166</v>
      </c>
      <c r="W662" t="s">
        <v>2208</v>
      </c>
      <c r="X662" t="s">
        <v>2210</v>
      </c>
      <c r="Y662" t="s">
        <v>2212</v>
      </c>
      <c r="Z662" s="1">
        <v>45415</v>
      </c>
      <c r="AA662" s="1">
        <v>45428</v>
      </c>
      <c r="AB662" t="s">
        <v>2214</v>
      </c>
      <c r="AC662" t="s">
        <v>2209</v>
      </c>
      <c r="AD662" t="s">
        <v>2216</v>
      </c>
      <c r="AE662" t="s">
        <v>2166</v>
      </c>
      <c r="AG662" t="s">
        <v>2220</v>
      </c>
      <c r="AH662">
        <v>17</v>
      </c>
      <c r="AI662">
        <v>30</v>
      </c>
      <c r="AJ662">
        <v>13</v>
      </c>
      <c r="AK662">
        <v>4</v>
      </c>
      <c r="AL662" t="s">
        <v>2225</v>
      </c>
      <c r="AM662">
        <v>0</v>
      </c>
      <c r="AN662" t="s">
        <v>2176</v>
      </c>
      <c r="AO662" t="s">
        <v>2176</v>
      </c>
      <c r="AP662" t="s">
        <v>2176</v>
      </c>
      <c r="AQ662">
        <v>20.91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4.8</v>
      </c>
      <c r="AY662">
        <v>4.8</v>
      </c>
      <c r="AZ662">
        <v>3</v>
      </c>
      <c r="BA662">
        <v>1</v>
      </c>
      <c r="BB662">
        <v>45</v>
      </c>
      <c r="BC662">
        <v>26</v>
      </c>
      <c r="BD662">
        <v>40.270000000000003</v>
      </c>
      <c r="BE662">
        <v>199</v>
      </c>
      <c r="BF662">
        <v>89.5</v>
      </c>
      <c r="BG662">
        <v>45</v>
      </c>
      <c r="BH662">
        <v>26</v>
      </c>
      <c r="BI662">
        <v>40.270000000000003</v>
      </c>
      <c r="BJ662">
        <v>199</v>
      </c>
      <c r="BK662">
        <v>89.5</v>
      </c>
      <c r="BL662">
        <v>199</v>
      </c>
      <c r="BM662">
        <v>0.75900000000000001</v>
      </c>
    </row>
    <row r="663" spans="1:65" x14ac:dyDescent="0.25">
      <c r="A663" t="s">
        <v>726</v>
      </c>
      <c r="B663" t="s">
        <v>1706</v>
      </c>
      <c r="C663" t="s">
        <v>2157</v>
      </c>
      <c r="D663" s="1">
        <v>45519</v>
      </c>
      <c r="E663" s="1">
        <v>45575</v>
      </c>
      <c r="F663" s="1">
        <v>45623</v>
      </c>
      <c r="G663" t="s">
        <v>2164</v>
      </c>
      <c r="I663" t="s">
        <v>2176</v>
      </c>
      <c r="J663">
        <v>3461</v>
      </c>
      <c r="K663">
        <v>103</v>
      </c>
      <c r="L663">
        <v>3.1</v>
      </c>
      <c r="M663">
        <v>6.2</v>
      </c>
      <c r="N663">
        <v>2</v>
      </c>
      <c r="O663">
        <v>4318</v>
      </c>
      <c r="P663" t="s">
        <v>2176</v>
      </c>
      <c r="Q663">
        <v>2</v>
      </c>
      <c r="R663">
        <v>2</v>
      </c>
      <c r="S663">
        <v>7</v>
      </c>
      <c r="T663">
        <v>314</v>
      </c>
      <c r="U663" t="s">
        <v>2164</v>
      </c>
      <c r="W663" t="s">
        <v>2208</v>
      </c>
      <c r="X663" t="s">
        <v>2210</v>
      </c>
      <c r="Y663" t="s">
        <v>2212</v>
      </c>
      <c r="Z663" s="1">
        <v>45586</v>
      </c>
      <c r="AA663" s="1">
        <v>45603</v>
      </c>
      <c r="AB663" t="s">
        <v>2214</v>
      </c>
      <c r="AC663" t="s">
        <v>2209</v>
      </c>
      <c r="AD663" t="s">
        <v>2216</v>
      </c>
      <c r="AE663" t="s">
        <v>2164</v>
      </c>
      <c r="AG663" t="s">
        <v>2220</v>
      </c>
      <c r="AH663">
        <v>11</v>
      </c>
      <c r="AI663">
        <v>28</v>
      </c>
      <c r="AJ663">
        <v>17</v>
      </c>
      <c r="AK663">
        <v>10</v>
      </c>
      <c r="AL663" t="s">
        <v>2230</v>
      </c>
      <c r="AM663">
        <v>1</v>
      </c>
      <c r="AN663" t="s">
        <v>2176</v>
      </c>
      <c r="AO663" t="s">
        <v>2176</v>
      </c>
      <c r="AP663" t="s">
        <v>2176</v>
      </c>
      <c r="AQ663">
        <v>19.22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4.5</v>
      </c>
      <c r="AY663">
        <v>4.5</v>
      </c>
      <c r="AZ663">
        <v>3</v>
      </c>
      <c r="BA663">
        <v>1</v>
      </c>
      <c r="BB663">
        <v>27</v>
      </c>
      <c r="BC663">
        <v>27</v>
      </c>
      <c r="BD663">
        <v>23.56</v>
      </c>
      <c r="BE663">
        <v>116</v>
      </c>
      <c r="BF663">
        <v>87.3</v>
      </c>
      <c r="BG663">
        <v>27</v>
      </c>
      <c r="BH663">
        <v>27</v>
      </c>
      <c r="BI663">
        <v>23.56</v>
      </c>
      <c r="BJ663">
        <v>116</v>
      </c>
      <c r="BK663">
        <v>87.3</v>
      </c>
      <c r="BL663">
        <v>116</v>
      </c>
      <c r="BM663">
        <v>1.1047</v>
      </c>
    </row>
    <row r="664" spans="1:65" x14ac:dyDescent="0.25">
      <c r="A664" t="s">
        <v>727</v>
      </c>
      <c r="B664" t="s">
        <v>1707</v>
      </c>
      <c r="C664" t="s">
        <v>2160</v>
      </c>
      <c r="D664" s="1">
        <v>45388</v>
      </c>
      <c r="E664" s="1">
        <v>45421</v>
      </c>
      <c r="F664" s="1">
        <v>45458</v>
      </c>
      <c r="G664" t="s">
        <v>2163</v>
      </c>
      <c r="I664" t="s">
        <v>2174</v>
      </c>
      <c r="J664">
        <v>4089</v>
      </c>
      <c r="K664">
        <v>122</v>
      </c>
      <c r="L664">
        <v>6.4</v>
      </c>
      <c r="M664">
        <v>7.3</v>
      </c>
      <c r="N664">
        <v>2</v>
      </c>
      <c r="O664">
        <v>4067</v>
      </c>
      <c r="P664" t="s">
        <v>2176</v>
      </c>
      <c r="Q664">
        <v>2</v>
      </c>
      <c r="R664">
        <v>2</v>
      </c>
      <c r="S664">
        <v>8</v>
      </c>
      <c r="T664">
        <v>340</v>
      </c>
      <c r="U664" t="s">
        <v>2163</v>
      </c>
      <c r="W664" t="s">
        <v>2208</v>
      </c>
      <c r="X664" t="s">
        <v>2210</v>
      </c>
      <c r="Y664" t="s">
        <v>2212</v>
      </c>
      <c r="Z664" s="1">
        <v>45433</v>
      </c>
      <c r="AA664" s="1">
        <v>45448</v>
      </c>
      <c r="AB664" t="s">
        <v>2214</v>
      </c>
      <c r="AC664" t="s">
        <v>2209</v>
      </c>
      <c r="AD664" t="s">
        <v>2216</v>
      </c>
      <c r="AE664" t="s">
        <v>2163</v>
      </c>
      <c r="AG664" t="s">
        <v>2220</v>
      </c>
      <c r="AH664">
        <v>12</v>
      </c>
      <c r="AI664">
        <v>27</v>
      </c>
      <c r="AJ664">
        <v>15</v>
      </c>
      <c r="AK664">
        <v>5</v>
      </c>
      <c r="AL664" t="s">
        <v>2224</v>
      </c>
      <c r="AM664">
        <v>0</v>
      </c>
      <c r="AN664" t="s">
        <v>2177</v>
      </c>
      <c r="AO664" t="s">
        <v>2176</v>
      </c>
      <c r="AP664" t="s">
        <v>2176</v>
      </c>
      <c r="AQ664">
        <v>46.72</v>
      </c>
      <c r="AR664">
        <v>1</v>
      </c>
      <c r="AS664">
        <v>2</v>
      </c>
      <c r="AT664">
        <v>1</v>
      </c>
      <c r="AU664">
        <v>1</v>
      </c>
      <c r="AV664">
        <v>1.333333333333333</v>
      </c>
      <c r="AW664">
        <v>4.4000000000000004</v>
      </c>
      <c r="AY664">
        <v>4.4000000000000004</v>
      </c>
      <c r="AZ664">
        <v>1</v>
      </c>
      <c r="BA664">
        <v>0</v>
      </c>
      <c r="BB664">
        <v>38</v>
      </c>
      <c r="BC664">
        <v>27</v>
      </c>
      <c r="BD664">
        <v>33.33</v>
      </c>
      <c r="BE664">
        <v>171</v>
      </c>
      <c r="BF664">
        <v>87.7</v>
      </c>
      <c r="BG664">
        <v>38</v>
      </c>
      <c r="BH664">
        <v>27</v>
      </c>
      <c r="BI664">
        <v>33.33</v>
      </c>
      <c r="BJ664">
        <v>171</v>
      </c>
      <c r="BK664">
        <v>87.7</v>
      </c>
      <c r="BL664">
        <v>171</v>
      </c>
      <c r="BM664">
        <v>0.88539999999999996</v>
      </c>
    </row>
    <row r="665" spans="1:65" x14ac:dyDescent="0.25">
      <c r="A665" t="s">
        <v>728</v>
      </c>
      <c r="B665" t="s">
        <v>1708</v>
      </c>
      <c r="C665" t="s">
        <v>2158</v>
      </c>
      <c r="D665" s="1">
        <v>45370</v>
      </c>
      <c r="E665" s="1">
        <v>45399</v>
      </c>
      <c r="F665" s="1">
        <v>45439</v>
      </c>
      <c r="G665" t="s">
        <v>2162</v>
      </c>
      <c r="I665" t="s">
        <v>2176</v>
      </c>
      <c r="J665">
        <v>4198</v>
      </c>
      <c r="K665">
        <v>125</v>
      </c>
      <c r="L665">
        <v>7.9</v>
      </c>
      <c r="M665">
        <v>4.5</v>
      </c>
      <c r="N665">
        <v>2</v>
      </c>
      <c r="O665">
        <v>4552</v>
      </c>
      <c r="P665" t="s">
        <v>2176</v>
      </c>
      <c r="Q665">
        <v>4</v>
      </c>
      <c r="R665">
        <v>5</v>
      </c>
      <c r="S665">
        <v>9</v>
      </c>
      <c r="T665">
        <v>233</v>
      </c>
      <c r="U665" t="s">
        <v>2162</v>
      </c>
      <c r="W665" t="s">
        <v>2208</v>
      </c>
      <c r="X665" t="s">
        <v>2210</v>
      </c>
      <c r="Y665" t="s">
        <v>2212</v>
      </c>
      <c r="Z665" s="1">
        <v>45417</v>
      </c>
      <c r="AA665" s="1">
        <v>45432</v>
      </c>
      <c r="AB665" t="s">
        <v>2214</v>
      </c>
      <c r="AC665" t="s">
        <v>2209</v>
      </c>
      <c r="AD665" t="s">
        <v>2216</v>
      </c>
      <c r="AE665" t="s">
        <v>2162</v>
      </c>
      <c r="AG665" t="s">
        <v>2220</v>
      </c>
      <c r="AH665">
        <v>18</v>
      </c>
      <c r="AI665">
        <v>33</v>
      </c>
      <c r="AJ665">
        <v>15</v>
      </c>
      <c r="AK665">
        <v>4</v>
      </c>
      <c r="AL665" t="s">
        <v>2225</v>
      </c>
      <c r="AM665">
        <v>0</v>
      </c>
      <c r="AN665" t="s">
        <v>2176</v>
      </c>
      <c r="AO665" t="s">
        <v>2176</v>
      </c>
      <c r="AP665" t="s">
        <v>2176</v>
      </c>
      <c r="AQ665">
        <v>35.549999999999997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4.2</v>
      </c>
      <c r="AY665">
        <v>4.2</v>
      </c>
      <c r="AZ665">
        <v>2</v>
      </c>
      <c r="BA665">
        <v>1</v>
      </c>
      <c r="BB665">
        <v>25</v>
      </c>
      <c r="BC665">
        <v>26</v>
      </c>
      <c r="BD665">
        <v>21.81</v>
      </c>
      <c r="BE665">
        <v>104</v>
      </c>
      <c r="BF665">
        <v>87.2</v>
      </c>
      <c r="BG665">
        <v>25</v>
      </c>
      <c r="BH665">
        <v>26</v>
      </c>
      <c r="BI665">
        <v>21.81</v>
      </c>
      <c r="BJ665">
        <v>104</v>
      </c>
      <c r="BK665">
        <v>87.2</v>
      </c>
      <c r="BL665">
        <v>104</v>
      </c>
      <c r="BM665">
        <v>1.5519000000000001</v>
      </c>
    </row>
    <row r="666" spans="1:65" x14ac:dyDescent="0.25">
      <c r="A666" t="s">
        <v>729</v>
      </c>
      <c r="B666" t="s">
        <v>1709</v>
      </c>
      <c r="C666" t="s">
        <v>2157</v>
      </c>
      <c r="D666" s="1">
        <v>45376</v>
      </c>
      <c r="E666" s="1">
        <v>45419</v>
      </c>
      <c r="F666" s="1">
        <v>45438</v>
      </c>
      <c r="G666" t="s">
        <v>2165</v>
      </c>
      <c r="I666" t="s">
        <v>2176</v>
      </c>
      <c r="J666">
        <v>1448</v>
      </c>
      <c r="K666">
        <v>43</v>
      </c>
      <c r="L666">
        <v>5.8</v>
      </c>
      <c r="M666">
        <v>5.2</v>
      </c>
      <c r="N666">
        <v>2</v>
      </c>
      <c r="O666">
        <v>5340</v>
      </c>
      <c r="P666" t="s">
        <v>2176</v>
      </c>
      <c r="Q666">
        <v>1</v>
      </c>
      <c r="R666">
        <v>1</v>
      </c>
      <c r="S666">
        <v>2</v>
      </c>
      <c r="T666">
        <v>362</v>
      </c>
      <c r="U666" t="s">
        <v>2165</v>
      </c>
      <c r="W666" t="s">
        <v>2208</v>
      </c>
      <c r="X666" t="s">
        <v>2210</v>
      </c>
      <c r="Y666" t="s">
        <v>2212</v>
      </c>
      <c r="Z666" s="1">
        <v>45423</v>
      </c>
      <c r="AA666" s="1">
        <v>45440</v>
      </c>
      <c r="AB666" t="s">
        <v>2214</v>
      </c>
      <c r="AC666" t="s">
        <v>2209</v>
      </c>
      <c r="AD666" t="s">
        <v>2216</v>
      </c>
      <c r="AE666" t="s">
        <v>2165</v>
      </c>
      <c r="AG666" t="s">
        <v>2220</v>
      </c>
      <c r="AH666">
        <v>4</v>
      </c>
      <c r="AI666">
        <v>21</v>
      </c>
      <c r="AJ666">
        <v>17</v>
      </c>
      <c r="AK666">
        <v>5</v>
      </c>
      <c r="AL666" t="s">
        <v>2224</v>
      </c>
      <c r="AM666">
        <v>0</v>
      </c>
      <c r="AN666" t="s">
        <v>2177</v>
      </c>
      <c r="AO666" t="s">
        <v>2176</v>
      </c>
      <c r="AP666" t="s">
        <v>2176</v>
      </c>
      <c r="AQ666">
        <v>30.16</v>
      </c>
      <c r="AR666">
        <v>1</v>
      </c>
      <c r="AS666">
        <v>2</v>
      </c>
      <c r="AT666">
        <v>1</v>
      </c>
      <c r="AU666">
        <v>1</v>
      </c>
      <c r="AV666">
        <v>1.333333333333333</v>
      </c>
      <c r="AW666">
        <v>4.5999999999999996</v>
      </c>
      <c r="AY666">
        <v>4.5999999999999996</v>
      </c>
      <c r="AZ666">
        <v>3</v>
      </c>
      <c r="BA666">
        <v>1</v>
      </c>
      <c r="BB666">
        <v>36</v>
      </c>
      <c r="BC666">
        <v>27</v>
      </c>
      <c r="BD666">
        <v>31.37</v>
      </c>
      <c r="BE666">
        <v>158</v>
      </c>
      <c r="BF666">
        <v>87.1</v>
      </c>
      <c r="BG666">
        <v>36</v>
      </c>
      <c r="BH666">
        <v>27</v>
      </c>
      <c r="BI666">
        <v>31.37</v>
      </c>
      <c r="BJ666">
        <v>158</v>
      </c>
      <c r="BK666">
        <v>87.1</v>
      </c>
      <c r="BL666">
        <v>158</v>
      </c>
      <c r="BM666">
        <v>0.33929999999999999</v>
      </c>
    </row>
    <row r="667" spans="1:65" x14ac:dyDescent="0.25">
      <c r="A667" t="s">
        <v>730</v>
      </c>
      <c r="B667" t="s">
        <v>1710</v>
      </c>
      <c r="C667" t="s">
        <v>2160</v>
      </c>
      <c r="D667" s="1">
        <v>45315</v>
      </c>
      <c r="E667" s="1">
        <v>45363</v>
      </c>
      <c r="F667" s="1">
        <v>45397</v>
      </c>
      <c r="G667" t="s">
        <v>2166</v>
      </c>
      <c r="I667" t="s">
        <v>2174</v>
      </c>
      <c r="J667">
        <v>1070</v>
      </c>
      <c r="K667">
        <v>32</v>
      </c>
      <c r="L667">
        <v>7.7</v>
      </c>
      <c r="M667">
        <v>6.7</v>
      </c>
      <c r="N667">
        <v>1</v>
      </c>
      <c r="O667">
        <v>1250</v>
      </c>
      <c r="P667" t="s">
        <v>2176</v>
      </c>
      <c r="Q667">
        <v>0</v>
      </c>
      <c r="R667">
        <v>0</v>
      </c>
      <c r="S667">
        <v>3</v>
      </c>
      <c r="T667">
        <v>356</v>
      </c>
      <c r="U667" t="s">
        <v>2166</v>
      </c>
      <c r="W667" t="s">
        <v>2208</v>
      </c>
      <c r="X667" t="s">
        <v>2210</v>
      </c>
      <c r="Y667" t="s">
        <v>2212</v>
      </c>
      <c r="Z667" s="1">
        <v>45366</v>
      </c>
      <c r="AA667" s="1">
        <v>45383</v>
      </c>
      <c r="AB667" t="s">
        <v>2214</v>
      </c>
      <c r="AC667" t="s">
        <v>2209</v>
      </c>
      <c r="AD667" t="s">
        <v>2216</v>
      </c>
      <c r="AE667" t="s">
        <v>2166</v>
      </c>
      <c r="AG667" t="s">
        <v>2220</v>
      </c>
      <c r="AH667">
        <v>3</v>
      </c>
      <c r="AI667">
        <v>20</v>
      </c>
      <c r="AJ667">
        <v>17</v>
      </c>
      <c r="AK667">
        <v>3</v>
      </c>
      <c r="AL667" t="s">
        <v>2227</v>
      </c>
      <c r="AM667">
        <v>0</v>
      </c>
      <c r="AN667" t="s">
        <v>2177</v>
      </c>
      <c r="AO667" t="s">
        <v>2176</v>
      </c>
      <c r="AP667" t="s">
        <v>2176</v>
      </c>
      <c r="AQ667">
        <v>51.59</v>
      </c>
      <c r="AR667">
        <v>1</v>
      </c>
      <c r="AS667">
        <v>2</v>
      </c>
      <c r="AT667">
        <v>1</v>
      </c>
      <c r="AU667">
        <v>1</v>
      </c>
      <c r="AV667">
        <v>1.333333333333333</v>
      </c>
      <c r="AW667">
        <v>4.8</v>
      </c>
      <c r="AY667">
        <v>4.8</v>
      </c>
      <c r="AZ667">
        <v>1</v>
      </c>
      <c r="BA667">
        <v>0</v>
      </c>
      <c r="BB667">
        <v>49</v>
      </c>
      <c r="BC667">
        <v>26</v>
      </c>
      <c r="BD667">
        <v>43.12</v>
      </c>
      <c r="BE667">
        <v>216</v>
      </c>
      <c r="BF667">
        <v>88</v>
      </c>
      <c r="BG667">
        <v>49</v>
      </c>
      <c r="BH667">
        <v>26</v>
      </c>
      <c r="BI667">
        <v>43.12</v>
      </c>
      <c r="BJ667">
        <v>216</v>
      </c>
      <c r="BK667">
        <v>88</v>
      </c>
      <c r="BL667">
        <v>216</v>
      </c>
      <c r="BM667">
        <v>0.1905</v>
      </c>
    </row>
    <row r="668" spans="1:65" x14ac:dyDescent="0.25">
      <c r="A668" t="s">
        <v>731</v>
      </c>
      <c r="B668" t="s">
        <v>1711</v>
      </c>
      <c r="C668" t="s">
        <v>2159</v>
      </c>
      <c r="D668" s="1">
        <v>45389</v>
      </c>
      <c r="E668" s="1">
        <v>45415</v>
      </c>
      <c r="F668" s="1">
        <v>45448</v>
      </c>
      <c r="G668" t="s">
        <v>2164</v>
      </c>
      <c r="I668" t="s">
        <v>2176</v>
      </c>
      <c r="J668">
        <v>3463</v>
      </c>
      <c r="K668">
        <v>103</v>
      </c>
      <c r="L668">
        <v>5.2</v>
      </c>
      <c r="M668">
        <v>7</v>
      </c>
      <c r="N668">
        <v>2</v>
      </c>
      <c r="O668">
        <v>3472</v>
      </c>
      <c r="P668" t="s">
        <v>2176</v>
      </c>
      <c r="Q668">
        <v>2</v>
      </c>
      <c r="R668">
        <v>3</v>
      </c>
      <c r="S668">
        <v>5</v>
      </c>
      <c r="T668">
        <v>346</v>
      </c>
      <c r="U668" t="s">
        <v>2164</v>
      </c>
      <c r="W668" t="s">
        <v>2208</v>
      </c>
      <c r="X668" t="s">
        <v>2210</v>
      </c>
      <c r="Y668" t="s">
        <v>2212</v>
      </c>
      <c r="Z668" s="1">
        <v>45425</v>
      </c>
      <c r="AA668" s="1">
        <v>45440</v>
      </c>
      <c r="AB668" t="s">
        <v>2214</v>
      </c>
      <c r="AC668" t="s">
        <v>2209</v>
      </c>
      <c r="AD668" t="s">
        <v>2216</v>
      </c>
      <c r="AE668" t="s">
        <v>2164</v>
      </c>
      <c r="AG668" t="s">
        <v>2220</v>
      </c>
      <c r="AH668">
        <v>10</v>
      </c>
      <c r="AI668">
        <v>25</v>
      </c>
      <c r="AJ668">
        <v>15</v>
      </c>
      <c r="AK668">
        <v>5</v>
      </c>
      <c r="AL668" t="s">
        <v>2224</v>
      </c>
      <c r="AM668">
        <v>0</v>
      </c>
      <c r="AN668" t="s">
        <v>2177</v>
      </c>
      <c r="AO668" t="s">
        <v>2176</v>
      </c>
      <c r="AP668" t="s">
        <v>2176</v>
      </c>
      <c r="AQ668">
        <v>36.4</v>
      </c>
      <c r="AR668">
        <v>1</v>
      </c>
      <c r="AS668">
        <v>2</v>
      </c>
      <c r="AT668">
        <v>1</v>
      </c>
      <c r="AU668">
        <v>1</v>
      </c>
      <c r="AV668">
        <v>1.333333333333333</v>
      </c>
      <c r="AW668">
        <v>4.5</v>
      </c>
      <c r="AY668">
        <v>4.5</v>
      </c>
      <c r="AZ668">
        <v>0</v>
      </c>
      <c r="BA668">
        <v>1</v>
      </c>
      <c r="BB668">
        <v>35</v>
      </c>
      <c r="BC668">
        <v>27</v>
      </c>
      <c r="BD668">
        <v>30.96</v>
      </c>
      <c r="BE668">
        <v>158</v>
      </c>
      <c r="BF668">
        <v>88.5</v>
      </c>
      <c r="BG668">
        <v>35</v>
      </c>
      <c r="BH668">
        <v>27</v>
      </c>
      <c r="BI668">
        <v>30.96</v>
      </c>
      <c r="BJ668">
        <v>158</v>
      </c>
      <c r="BK668">
        <v>88.5</v>
      </c>
      <c r="BL668">
        <v>158</v>
      </c>
      <c r="BM668">
        <v>0.81159999999999999</v>
      </c>
    </row>
    <row r="669" spans="1:65" x14ac:dyDescent="0.25">
      <c r="A669" t="s">
        <v>732</v>
      </c>
      <c r="B669" t="s">
        <v>1712</v>
      </c>
      <c r="C669" t="s">
        <v>2160</v>
      </c>
      <c r="D669" s="1">
        <v>45358</v>
      </c>
      <c r="E669" s="1">
        <v>45399</v>
      </c>
      <c r="F669" s="1">
        <v>45439</v>
      </c>
      <c r="G669" t="s">
        <v>2161</v>
      </c>
      <c r="I669" t="s">
        <v>2174</v>
      </c>
      <c r="J669">
        <v>1338</v>
      </c>
      <c r="K669">
        <v>40</v>
      </c>
      <c r="L669">
        <v>4.5</v>
      </c>
      <c r="M669">
        <v>5.9</v>
      </c>
      <c r="N669">
        <v>1</v>
      </c>
      <c r="O669">
        <v>1383</v>
      </c>
      <c r="P669" t="s">
        <v>2176</v>
      </c>
      <c r="Q669">
        <v>1</v>
      </c>
      <c r="R669">
        <v>1</v>
      </c>
      <c r="S669">
        <v>3</v>
      </c>
      <c r="T669">
        <v>267</v>
      </c>
      <c r="U669" t="s">
        <v>2161</v>
      </c>
      <c r="W669" t="s">
        <v>2208</v>
      </c>
      <c r="X669" t="s">
        <v>2210</v>
      </c>
      <c r="Y669" t="s">
        <v>2212</v>
      </c>
      <c r="Z669" s="1">
        <v>45404</v>
      </c>
      <c r="AA669" s="1">
        <v>45418</v>
      </c>
      <c r="AB669" t="s">
        <v>2214</v>
      </c>
      <c r="AC669" t="s">
        <v>2209</v>
      </c>
      <c r="AD669" t="s">
        <v>2216</v>
      </c>
      <c r="AE669" t="s">
        <v>2161</v>
      </c>
      <c r="AG669" t="s">
        <v>2220</v>
      </c>
      <c r="AH669">
        <v>5</v>
      </c>
      <c r="AI669">
        <v>19</v>
      </c>
      <c r="AJ669">
        <v>14</v>
      </c>
      <c r="AK669">
        <v>4</v>
      </c>
      <c r="AL669" t="s">
        <v>2225</v>
      </c>
      <c r="AM669">
        <v>0</v>
      </c>
      <c r="AN669" t="s">
        <v>2176</v>
      </c>
      <c r="AO669" t="s">
        <v>2176</v>
      </c>
      <c r="AP669" t="s">
        <v>2176</v>
      </c>
      <c r="AQ669">
        <v>26.55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4.3</v>
      </c>
      <c r="AY669">
        <v>4.3</v>
      </c>
      <c r="AZ669">
        <v>1</v>
      </c>
      <c r="BA669">
        <v>0</v>
      </c>
      <c r="BB669">
        <v>32</v>
      </c>
      <c r="BC669">
        <v>26</v>
      </c>
      <c r="BD669">
        <v>28.46</v>
      </c>
      <c r="BE669">
        <v>138</v>
      </c>
      <c r="BF669">
        <v>88.9</v>
      </c>
      <c r="BG669">
        <v>32</v>
      </c>
      <c r="BH669">
        <v>26</v>
      </c>
      <c r="BI669">
        <v>28.46</v>
      </c>
      <c r="BJ669">
        <v>138</v>
      </c>
      <c r="BK669">
        <v>88.9</v>
      </c>
      <c r="BL669">
        <v>138</v>
      </c>
      <c r="BM669">
        <v>0.37280000000000002</v>
      </c>
    </row>
    <row r="670" spans="1:65" x14ac:dyDescent="0.25">
      <c r="A670" t="s">
        <v>733</v>
      </c>
      <c r="B670" t="s">
        <v>1713</v>
      </c>
      <c r="C670" t="s">
        <v>2160</v>
      </c>
      <c r="D670" s="1">
        <v>45527</v>
      </c>
      <c r="E670" s="1">
        <v>45575</v>
      </c>
      <c r="F670" s="1">
        <v>45630</v>
      </c>
      <c r="G670" t="s">
        <v>2163</v>
      </c>
      <c r="I670" t="s">
        <v>2176</v>
      </c>
      <c r="J670">
        <v>3798</v>
      </c>
      <c r="K670">
        <v>113</v>
      </c>
      <c r="L670">
        <v>7.9</v>
      </c>
      <c r="M670">
        <v>4.7</v>
      </c>
      <c r="N670">
        <v>1</v>
      </c>
      <c r="O670">
        <v>3382</v>
      </c>
      <c r="P670" t="s">
        <v>2176</v>
      </c>
      <c r="Q670">
        <v>3</v>
      </c>
      <c r="R670">
        <v>4</v>
      </c>
      <c r="S670">
        <v>9</v>
      </c>
      <c r="T670">
        <v>237</v>
      </c>
      <c r="U670" t="s">
        <v>2163</v>
      </c>
      <c r="W670" t="s">
        <v>2208</v>
      </c>
      <c r="X670" t="s">
        <v>2210</v>
      </c>
      <c r="Y670" t="s">
        <v>2212</v>
      </c>
      <c r="Z670" s="1">
        <v>45591</v>
      </c>
      <c r="AA670" s="1">
        <v>45607</v>
      </c>
      <c r="AB670" t="s">
        <v>2214</v>
      </c>
      <c r="AC670" t="s">
        <v>2209</v>
      </c>
      <c r="AD670" t="s">
        <v>2216</v>
      </c>
      <c r="AE670" t="s">
        <v>2163</v>
      </c>
      <c r="AG670" t="s">
        <v>2220</v>
      </c>
      <c r="AH670">
        <v>16</v>
      </c>
      <c r="AI670">
        <v>32</v>
      </c>
      <c r="AJ670">
        <v>16</v>
      </c>
      <c r="AK670">
        <v>10</v>
      </c>
      <c r="AL670" t="s">
        <v>2230</v>
      </c>
      <c r="AM670">
        <v>1</v>
      </c>
      <c r="AN670" t="s">
        <v>2176</v>
      </c>
      <c r="AO670" t="s">
        <v>2176</v>
      </c>
      <c r="AP670" t="s">
        <v>2176</v>
      </c>
      <c r="AQ670">
        <v>37.130000000000003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4.4000000000000004</v>
      </c>
      <c r="AY670">
        <v>4.4000000000000004</v>
      </c>
      <c r="AZ670">
        <v>1</v>
      </c>
      <c r="BA670">
        <v>1</v>
      </c>
      <c r="BB670">
        <v>37</v>
      </c>
      <c r="BC670">
        <v>27</v>
      </c>
      <c r="BD670">
        <v>32.81</v>
      </c>
      <c r="BE670">
        <v>165</v>
      </c>
      <c r="BF670">
        <v>88.7</v>
      </c>
      <c r="BG670">
        <v>37</v>
      </c>
      <c r="BH670">
        <v>27</v>
      </c>
      <c r="BI670">
        <v>32.81</v>
      </c>
      <c r="BJ670">
        <v>165</v>
      </c>
      <c r="BK670">
        <v>88.7</v>
      </c>
      <c r="BL670">
        <v>165</v>
      </c>
      <c r="BM670">
        <v>0.85229999999999995</v>
      </c>
    </row>
    <row r="671" spans="1:65" x14ac:dyDescent="0.25">
      <c r="A671" t="s">
        <v>734</v>
      </c>
      <c r="B671" t="s">
        <v>1714</v>
      </c>
      <c r="C671" t="s">
        <v>2158</v>
      </c>
      <c r="D671" s="1">
        <v>45256</v>
      </c>
      <c r="E671" s="1">
        <v>45302</v>
      </c>
      <c r="F671" s="1">
        <v>45342</v>
      </c>
      <c r="G671" t="s">
        <v>2165</v>
      </c>
      <c r="I671" t="s">
        <v>2176</v>
      </c>
      <c r="J671">
        <v>4804</v>
      </c>
      <c r="K671">
        <v>144</v>
      </c>
      <c r="L671">
        <v>2.4</v>
      </c>
      <c r="M671">
        <v>4.2</v>
      </c>
      <c r="N671">
        <v>2</v>
      </c>
      <c r="O671">
        <v>3890</v>
      </c>
      <c r="P671" t="s">
        <v>2176</v>
      </c>
      <c r="Q671">
        <v>5</v>
      </c>
      <c r="R671">
        <v>6</v>
      </c>
      <c r="S671">
        <v>7</v>
      </c>
      <c r="T671">
        <v>266</v>
      </c>
      <c r="U671" t="s">
        <v>2165</v>
      </c>
      <c r="W671" t="s">
        <v>2208</v>
      </c>
      <c r="X671" t="s">
        <v>2210</v>
      </c>
      <c r="Y671" t="s">
        <v>2212</v>
      </c>
      <c r="Z671" s="1">
        <v>45320</v>
      </c>
      <c r="AA671" s="1">
        <v>45334</v>
      </c>
      <c r="AB671" t="s">
        <v>2214</v>
      </c>
      <c r="AC671" t="s">
        <v>2209</v>
      </c>
      <c r="AD671" t="s">
        <v>2216</v>
      </c>
      <c r="AE671" t="s">
        <v>2165</v>
      </c>
      <c r="AG671" t="s">
        <v>2220</v>
      </c>
      <c r="AH671">
        <v>18</v>
      </c>
      <c r="AI671">
        <v>32</v>
      </c>
      <c r="AJ671">
        <v>14</v>
      </c>
      <c r="AK671">
        <v>1</v>
      </c>
      <c r="AL671" t="s">
        <v>2233</v>
      </c>
      <c r="AM671">
        <v>0</v>
      </c>
      <c r="AN671" t="s">
        <v>2176</v>
      </c>
      <c r="AO671" t="s">
        <v>2176</v>
      </c>
      <c r="AP671" t="s">
        <v>2176</v>
      </c>
      <c r="AQ671">
        <v>10.08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4.5999999999999996</v>
      </c>
      <c r="AY671">
        <v>4.5999999999999996</v>
      </c>
      <c r="AZ671">
        <v>2</v>
      </c>
      <c r="BA671">
        <v>1</v>
      </c>
      <c r="BB671">
        <v>43</v>
      </c>
      <c r="BC671">
        <v>27</v>
      </c>
      <c r="BD671">
        <v>38.299999999999997</v>
      </c>
      <c r="BE671">
        <v>197</v>
      </c>
      <c r="BF671">
        <v>89.1</v>
      </c>
      <c r="BG671">
        <v>43</v>
      </c>
      <c r="BH671">
        <v>27</v>
      </c>
      <c r="BI671">
        <v>38.299999999999997</v>
      </c>
      <c r="BJ671">
        <v>197</v>
      </c>
      <c r="BK671">
        <v>89.1</v>
      </c>
      <c r="BL671">
        <v>197</v>
      </c>
      <c r="BM671">
        <v>0.90300000000000002</v>
      </c>
    </row>
    <row r="672" spans="1:65" x14ac:dyDescent="0.25">
      <c r="A672" t="s">
        <v>735</v>
      </c>
      <c r="B672" t="s">
        <v>1715</v>
      </c>
      <c r="C672" t="s">
        <v>2160</v>
      </c>
      <c r="D672" s="1">
        <v>45481</v>
      </c>
      <c r="E672" s="1">
        <v>45539</v>
      </c>
      <c r="F672" s="1">
        <v>45582</v>
      </c>
      <c r="G672" t="s">
        <v>2164</v>
      </c>
      <c r="I672" t="s">
        <v>2174</v>
      </c>
      <c r="J672">
        <v>1897</v>
      </c>
      <c r="K672">
        <v>56</v>
      </c>
      <c r="L672">
        <v>5.3</v>
      </c>
      <c r="M672">
        <v>2.4</v>
      </c>
      <c r="N672">
        <v>1</v>
      </c>
      <c r="O672">
        <v>1249</v>
      </c>
      <c r="P672" t="s">
        <v>2176</v>
      </c>
      <c r="Q672">
        <v>1</v>
      </c>
      <c r="R672">
        <v>1</v>
      </c>
      <c r="S672">
        <v>3</v>
      </c>
      <c r="T672">
        <v>379</v>
      </c>
      <c r="U672" t="s">
        <v>2164</v>
      </c>
      <c r="W672" t="s">
        <v>2208</v>
      </c>
      <c r="X672" t="s">
        <v>2210</v>
      </c>
      <c r="Y672" t="s">
        <v>2212</v>
      </c>
      <c r="Z672" s="1">
        <v>45544</v>
      </c>
      <c r="AA672" s="1">
        <v>45558</v>
      </c>
      <c r="AB672" t="s">
        <v>2214</v>
      </c>
      <c r="AC672" t="s">
        <v>2209</v>
      </c>
      <c r="AD672" t="s">
        <v>2216</v>
      </c>
      <c r="AE672" t="s">
        <v>2164</v>
      </c>
      <c r="AG672" t="s">
        <v>2220</v>
      </c>
      <c r="AH672">
        <v>5</v>
      </c>
      <c r="AI672">
        <v>19</v>
      </c>
      <c r="AJ672">
        <v>14</v>
      </c>
      <c r="AK672">
        <v>9</v>
      </c>
      <c r="AL672" t="s">
        <v>2234</v>
      </c>
      <c r="AM672">
        <v>0</v>
      </c>
      <c r="AN672" t="s">
        <v>2176</v>
      </c>
      <c r="AO672" t="s">
        <v>2176</v>
      </c>
      <c r="AP672" t="s">
        <v>2176</v>
      </c>
      <c r="AQ672">
        <v>12.72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4.5</v>
      </c>
      <c r="AY672">
        <v>4.5</v>
      </c>
      <c r="AZ672">
        <v>1</v>
      </c>
      <c r="BA672">
        <v>0</v>
      </c>
      <c r="BB672">
        <v>34</v>
      </c>
      <c r="BC672">
        <v>26</v>
      </c>
      <c r="BD672">
        <v>29.81</v>
      </c>
      <c r="BE672">
        <v>147</v>
      </c>
      <c r="BF672">
        <v>87.7</v>
      </c>
      <c r="BG672">
        <v>34</v>
      </c>
      <c r="BH672">
        <v>26</v>
      </c>
      <c r="BI672">
        <v>29.81</v>
      </c>
      <c r="BJ672">
        <v>147</v>
      </c>
      <c r="BK672">
        <v>87.7</v>
      </c>
      <c r="BL672">
        <v>147</v>
      </c>
      <c r="BM672">
        <v>0.49619999999999997</v>
      </c>
    </row>
    <row r="673" spans="1:65" x14ac:dyDescent="0.25">
      <c r="A673" t="s">
        <v>736</v>
      </c>
      <c r="B673" t="s">
        <v>1716</v>
      </c>
      <c r="C673" t="s">
        <v>2157</v>
      </c>
      <c r="D673" s="1">
        <v>45327</v>
      </c>
      <c r="E673" s="1">
        <v>45363</v>
      </c>
      <c r="F673" s="1">
        <v>45405</v>
      </c>
      <c r="G673" t="s">
        <v>2165</v>
      </c>
      <c r="I673" t="s">
        <v>2176</v>
      </c>
      <c r="J673">
        <v>4571</v>
      </c>
      <c r="K673">
        <v>137</v>
      </c>
      <c r="L673">
        <v>6.5</v>
      </c>
      <c r="M673">
        <v>3</v>
      </c>
      <c r="N673">
        <v>1</v>
      </c>
      <c r="O673">
        <v>1219</v>
      </c>
      <c r="P673" t="s">
        <v>2176</v>
      </c>
      <c r="Q673">
        <v>3</v>
      </c>
      <c r="R673">
        <v>4</v>
      </c>
      <c r="S673">
        <v>9</v>
      </c>
      <c r="T673">
        <v>285</v>
      </c>
      <c r="U673" t="s">
        <v>2165</v>
      </c>
      <c r="W673" t="s">
        <v>2208</v>
      </c>
      <c r="X673" t="s">
        <v>2210</v>
      </c>
      <c r="Y673" t="s">
        <v>2212</v>
      </c>
      <c r="Z673" s="1">
        <v>45379</v>
      </c>
      <c r="AA673" s="1">
        <v>45397</v>
      </c>
      <c r="AB673" t="s">
        <v>2214</v>
      </c>
      <c r="AC673" t="s">
        <v>2209</v>
      </c>
      <c r="AD673" t="s">
        <v>2216</v>
      </c>
      <c r="AE673" t="s">
        <v>2165</v>
      </c>
      <c r="AG673" t="s">
        <v>2220</v>
      </c>
      <c r="AH673">
        <v>16</v>
      </c>
      <c r="AI673">
        <v>34</v>
      </c>
      <c r="AJ673">
        <v>18</v>
      </c>
      <c r="AK673">
        <v>3</v>
      </c>
      <c r="AL673" t="s">
        <v>2227</v>
      </c>
      <c r="AM673">
        <v>0</v>
      </c>
      <c r="AN673" t="s">
        <v>2176</v>
      </c>
      <c r="AO673" t="s">
        <v>2176</v>
      </c>
      <c r="AP673" t="s">
        <v>2176</v>
      </c>
      <c r="AQ673">
        <v>19.5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4.5999999999999996</v>
      </c>
      <c r="AY673">
        <v>4.5999999999999996</v>
      </c>
      <c r="AZ673">
        <v>3</v>
      </c>
      <c r="BA673">
        <v>1</v>
      </c>
      <c r="BB673">
        <v>48</v>
      </c>
      <c r="BC673">
        <v>26</v>
      </c>
      <c r="BD673">
        <v>42.38</v>
      </c>
      <c r="BE673">
        <v>212</v>
      </c>
      <c r="BF673">
        <v>88.3</v>
      </c>
      <c r="BG673">
        <v>48</v>
      </c>
      <c r="BH673">
        <v>26</v>
      </c>
      <c r="BI673">
        <v>42.38</v>
      </c>
      <c r="BJ673">
        <v>212</v>
      </c>
      <c r="BK673">
        <v>88.3</v>
      </c>
      <c r="BL673">
        <v>212</v>
      </c>
      <c r="BM673">
        <v>0.82909999999999995</v>
      </c>
    </row>
    <row r="674" spans="1:65" x14ac:dyDescent="0.25">
      <c r="A674" t="s">
        <v>737</v>
      </c>
      <c r="B674" t="s">
        <v>1717</v>
      </c>
      <c r="C674" t="s">
        <v>2157</v>
      </c>
      <c r="D674" s="1">
        <v>45356</v>
      </c>
      <c r="E674" s="1">
        <v>45415</v>
      </c>
      <c r="F674" s="1">
        <v>45450</v>
      </c>
      <c r="G674" t="s">
        <v>2164</v>
      </c>
      <c r="I674" t="s">
        <v>2176</v>
      </c>
      <c r="J674">
        <v>2812</v>
      </c>
      <c r="K674">
        <v>84</v>
      </c>
      <c r="L674">
        <v>3.8</v>
      </c>
      <c r="M674">
        <v>4.5</v>
      </c>
      <c r="N674">
        <v>2</v>
      </c>
      <c r="O674">
        <v>3575</v>
      </c>
      <c r="P674" t="s">
        <v>2176</v>
      </c>
      <c r="Q674">
        <v>2</v>
      </c>
      <c r="R674">
        <v>2</v>
      </c>
      <c r="S674">
        <v>7</v>
      </c>
      <c r="T674">
        <v>255</v>
      </c>
      <c r="U674" t="s">
        <v>2164</v>
      </c>
      <c r="W674" t="s">
        <v>2208</v>
      </c>
      <c r="X674" t="s">
        <v>2210</v>
      </c>
      <c r="Y674" t="s">
        <v>2212</v>
      </c>
      <c r="Z674" s="1">
        <v>45426</v>
      </c>
      <c r="AA674" s="1">
        <v>45441</v>
      </c>
      <c r="AB674" t="s">
        <v>2214</v>
      </c>
      <c r="AC674" t="s">
        <v>2209</v>
      </c>
      <c r="AD674" t="s">
        <v>2216</v>
      </c>
      <c r="AE674" t="s">
        <v>2164</v>
      </c>
      <c r="AG674" t="s">
        <v>2220</v>
      </c>
      <c r="AH674">
        <v>11</v>
      </c>
      <c r="AI674">
        <v>26</v>
      </c>
      <c r="AJ674">
        <v>15</v>
      </c>
      <c r="AK674">
        <v>5</v>
      </c>
      <c r="AL674" t="s">
        <v>2224</v>
      </c>
      <c r="AM674">
        <v>0</v>
      </c>
      <c r="AN674" t="s">
        <v>2176</v>
      </c>
      <c r="AO674" t="s">
        <v>2176</v>
      </c>
      <c r="AP674" t="s">
        <v>2176</v>
      </c>
      <c r="AQ674">
        <v>17.100000000000001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4.5</v>
      </c>
      <c r="AY674">
        <v>4.5</v>
      </c>
      <c r="AZ674">
        <v>3</v>
      </c>
      <c r="BA674">
        <v>1</v>
      </c>
      <c r="BB674">
        <v>35</v>
      </c>
      <c r="BC674">
        <v>27</v>
      </c>
      <c r="BD674">
        <v>30.96</v>
      </c>
      <c r="BE674">
        <v>158</v>
      </c>
      <c r="BF674">
        <v>88.5</v>
      </c>
      <c r="BG674">
        <v>35</v>
      </c>
      <c r="BH674">
        <v>27</v>
      </c>
      <c r="BI674">
        <v>30.96</v>
      </c>
      <c r="BJ674">
        <v>158</v>
      </c>
      <c r="BK674">
        <v>88.5</v>
      </c>
      <c r="BL674">
        <v>158</v>
      </c>
      <c r="BM674">
        <v>0.65900000000000003</v>
      </c>
    </row>
    <row r="675" spans="1:65" x14ac:dyDescent="0.25">
      <c r="A675" t="s">
        <v>738</v>
      </c>
      <c r="B675" t="s">
        <v>1718</v>
      </c>
      <c r="C675" t="s">
        <v>2159</v>
      </c>
      <c r="D675" s="1">
        <v>45370</v>
      </c>
      <c r="E675" s="1">
        <v>45421</v>
      </c>
      <c r="F675" s="1">
        <v>45461</v>
      </c>
      <c r="G675" t="s">
        <v>2164</v>
      </c>
      <c r="I675" t="s">
        <v>2174</v>
      </c>
      <c r="J675">
        <v>3433</v>
      </c>
      <c r="K675">
        <v>102</v>
      </c>
      <c r="L675">
        <v>2.5</v>
      </c>
      <c r="M675">
        <v>6.2</v>
      </c>
      <c r="N675">
        <v>1</v>
      </c>
      <c r="O675">
        <v>1857</v>
      </c>
      <c r="P675" t="s">
        <v>2176</v>
      </c>
      <c r="Q675">
        <v>2</v>
      </c>
      <c r="R675">
        <v>2</v>
      </c>
      <c r="S675">
        <v>6</v>
      </c>
      <c r="T675">
        <v>343</v>
      </c>
      <c r="U675" t="s">
        <v>2164</v>
      </c>
      <c r="W675" t="s">
        <v>2208</v>
      </c>
      <c r="X675" t="s">
        <v>2210</v>
      </c>
      <c r="Y675" t="s">
        <v>2212</v>
      </c>
      <c r="Z675" s="1">
        <v>45431</v>
      </c>
      <c r="AA675" s="1">
        <v>45450</v>
      </c>
      <c r="AB675" t="s">
        <v>2214</v>
      </c>
      <c r="AC675" t="s">
        <v>2209</v>
      </c>
      <c r="AD675" t="s">
        <v>2216</v>
      </c>
      <c r="AE675" t="s">
        <v>2164</v>
      </c>
      <c r="AG675" t="s">
        <v>2220</v>
      </c>
      <c r="AH675">
        <v>10</v>
      </c>
      <c r="AI675">
        <v>29</v>
      </c>
      <c r="AJ675">
        <v>19</v>
      </c>
      <c r="AK675">
        <v>5</v>
      </c>
      <c r="AL675" t="s">
        <v>2224</v>
      </c>
      <c r="AM675">
        <v>0</v>
      </c>
      <c r="AN675" t="s">
        <v>2176</v>
      </c>
      <c r="AO675" t="s">
        <v>2176</v>
      </c>
      <c r="AP675" t="s">
        <v>2176</v>
      </c>
      <c r="AQ675">
        <v>15.5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4.5</v>
      </c>
      <c r="AY675">
        <v>4.5</v>
      </c>
      <c r="AZ675">
        <v>0</v>
      </c>
      <c r="BA675">
        <v>0</v>
      </c>
      <c r="BB675">
        <v>35</v>
      </c>
      <c r="BC675">
        <v>27</v>
      </c>
      <c r="BD675">
        <v>30.96</v>
      </c>
      <c r="BE675">
        <v>158</v>
      </c>
      <c r="BF675">
        <v>88.5</v>
      </c>
      <c r="BG675">
        <v>35</v>
      </c>
      <c r="BH675">
        <v>27</v>
      </c>
      <c r="BI675">
        <v>30.96</v>
      </c>
      <c r="BJ675">
        <v>158</v>
      </c>
      <c r="BK675">
        <v>88.5</v>
      </c>
      <c r="BL675">
        <v>158</v>
      </c>
      <c r="BM675">
        <v>0.80449999999999999</v>
      </c>
    </row>
    <row r="676" spans="1:65" x14ac:dyDescent="0.25">
      <c r="A676" t="s">
        <v>739</v>
      </c>
      <c r="B676" t="s">
        <v>1719</v>
      </c>
      <c r="C676" t="s">
        <v>2159</v>
      </c>
      <c r="D676" s="1">
        <v>45546</v>
      </c>
      <c r="E676" s="1">
        <v>45575</v>
      </c>
      <c r="F676" s="1">
        <v>45608</v>
      </c>
      <c r="G676" t="s">
        <v>2162</v>
      </c>
      <c r="I676" t="s">
        <v>2176</v>
      </c>
      <c r="J676">
        <v>4877</v>
      </c>
      <c r="K676">
        <v>146</v>
      </c>
      <c r="L676">
        <v>5.2</v>
      </c>
      <c r="M676">
        <v>7</v>
      </c>
      <c r="N676">
        <v>2</v>
      </c>
      <c r="O676">
        <v>1922</v>
      </c>
      <c r="P676" t="s">
        <v>2176</v>
      </c>
      <c r="Q676">
        <v>4</v>
      </c>
      <c r="R676">
        <v>5</v>
      </c>
      <c r="S676">
        <v>9</v>
      </c>
      <c r="T676">
        <v>270</v>
      </c>
      <c r="U676" t="s">
        <v>2162</v>
      </c>
      <c r="W676" t="s">
        <v>2208</v>
      </c>
      <c r="X676" t="s">
        <v>2210</v>
      </c>
      <c r="Y676" t="s">
        <v>2212</v>
      </c>
      <c r="Z676" s="1">
        <v>45593</v>
      </c>
      <c r="AA676" s="1">
        <v>45609</v>
      </c>
      <c r="AB676" t="s">
        <v>2214</v>
      </c>
      <c r="AC676" t="s">
        <v>2209</v>
      </c>
      <c r="AD676" t="s">
        <v>2216</v>
      </c>
      <c r="AE676" t="s">
        <v>2162</v>
      </c>
      <c r="AG676" t="s">
        <v>2220</v>
      </c>
      <c r="AH676">
        <v>18</v>
      </c>
      <c r="AI676">
        <v>34</v>
      </c>
      <c r="AJ676">
        <v>16</v>
      </c>
      <c r="AK676">
        <v>10</v>
      </c>
      <c r="AL676" t="s">
        <v>2230</v>
      </c>
      <c r="AM676">
        <v>1</v>
      </c>
      <c r="AN676" t="s">
        <v>2177</v>
      </c>
      <c r="AO676" t="s">
        <v>2176</v>
      </c>
      <c r="AP676" t="s">
        <v>2176</v>
      </c>
      <c r="AQ676">
        <v>36.4</v>
      </c>
      <c r="AR676">
        <v>1</v>
      </c>
      <c r="AS676">
        <v>2</v>
      </c>
      <c r="AT676">
        <v>1</v>
      </c>
      <c r="AU676">
        <v>1</v>
      </c>
      <c r="AV676">
        <v>1.333333333333333</v>
      </c>
      <c r="AW676">
        <v>4.2</v>
      </c>
      <c r="AY676">
        <v>4.2</v>
      </c>
      <c r="AZ676">
        <v>0</v>
      </c>
      <c r="BA676">
        <v>1</v>
      </c>
      <c r="BB676">
        <v>25</v>
      </c>
      <c r="BC676">
        <v>27</v>
      </c>
      <c r="BD676">
        <v>21.89</v>
      </c>
      <c r="BE676">
        <v>108</v>
      </c>
      <c r="BF676">
        <v>87.6</v>
      </c>
      <c r="BG676">
        <v>25</v>
      </c>
      <c r="BH676">
        <v>27</v>
      </c>
      <c r="BI676">
        <v>21.89</v>
      </c>
      <c r="BJ676">
        <v>108</v>
      </c>
      <c r="BK676">
        <v>87.6</v>
      </c>
      <c r="BL676">
        <v>108</v>
      </c>
      <c r="BM676">
        <v>1.6718999999999999</v>
      </c>
    </row>
    <row r="677" spans="1:65" x14ac:dyDescent="0.25">
      <c r="A677" t="s">
        <v>740</v>
      </c>
      <c r="B677" t="s">
        <v>1720</v>
      </c>
      <c r="C677" t="s">
        <v>2158</v>
      </c>
      <c r="D677" s="1">
        <v>45297</v>
      </c>
      <c r="E677" s="1">
        <v>45353</v>
      </c>
      <c r="F677" s="1">
        <v>45377</v>
      </c>
      <c r="G677" t="s">
        <v>2161</v>
      </c>
      <c r="I677" t="s">
        <v>2174</v>
      </c>
      <c r="J677">
        <v>1974</v>
      </c>
      <c r="K677">
        <v>59</v>
      </c>
      <c r="L677">
        <v>6.7</v>
      </c>
      <c r="M677">
        <v>6.6</v>
      </c>
      <c r="N677">
        <v>2</v>
      </c>
      <c r="O677">
        <v>1160</v>
      </c>
      <c r="P677" t="s">
        <v>2176</v>
      </c>
      <c r="Q677">
        <v>1</v>
      </c>
      <c r="R677">
        <v>1</v>
      </c>
      <c r="S677">
        <v>2</v>
      </c>
      <c r="T677">
        <v>493</v>
      </c>
      <c r="U677" t="s">
        <v>2161</v>
      </c>
      <c r="W677" t="s">
        <v>2208</v>
      </c>
      <c r="X677" t="s">
        <v>2210</v>
      </c>
      <c r="Y677" t="s">
        <v>2212</v>
      </c>
      <c r="Z677" s="1">
        <v>45357</v>
      </c>
      <c r="AA677" s="1">
        <v>45373</v>
      </c>
      <c r="AB677" t="s">
        <v>2214</v>
      </c>
      <c r="AC677" t="s">
        <v>2209</v>
      </c>
      <c r="AD677" t="s">
        <v>2216</v>
      </c>
      <c r="AE677" t="s">
        <v>2161</v>
      </c>
      <c r="AG677" t="s">
        <v>2220</v>
      </c>
      <c r="AH677">
        <v>4</v>
      </c>
      <c r="AI677">
        <v>20</v>
      </c>
      <c r="AJ677">
        <v>16</v>
      </c>
      <c r="AK677">
        <v>3</v>
      </c>
      <c r="AL677" t="s">
        <v>2227</v>
      </c>
      <c r="AM677">
        <v>0</v>
      </c>
      <c r="AN677" t="s">
        <v>2177</v>
      </c>
      <c r="AO677" t="s">
        <v>2176</v>
      </c>
      <c r="AP677" t="s">
        <v>2176</v>
      </c>
      <c r="AQ677">
        <v>44.22</v>
      </c>
      <c r="AR677">
        <v>1</v>
      </c>
      <c r="AS677">
        <v>2</v>
      </c>
      <c r="AT677">
        <v>1</v>
      </c>
      <c r="AU677">
        <v>1</v>
      </c>
      <c r="AV677">
        <v>1.333333333333333</v>
      </c>
      <c r="AW677">
        <v>4.3</v>
      </c>
      <c r="AY677">
        <v>4.3</v>
      </c>
      <c r="AZ677">
        <v>2</v>
      </c>
      <c r="BA677">
        <v>0</v>
      </c>
      <c r="BB677">
        <v>38</v>
      </c>
      <c r="BC677">
        <v>26</v>
      </c>
      <c r="BD677">
        <v>33.729999999999997</v>
      </c>
      <c r="BE677">
        <v>164</v>
      </c>
      <c r="BF677">
        <v>88.8</v>
      </c>
      <c r="BG677">
        <v>38</v>
      </c>
      <c r="BH677">
        <v>26</v>
      </c>
      <c r="BI677">
        <v>33.729999999999997</v>
      </c>
      <c r="BJ677">
        <v>164</v>
      </c>
      <c r="BK677">
        <v>88.8</v>
      </c>
      <c r="BL677">
        <v>164</v>
      </c>
      <c r="BM677">
        <v>0.46279999999999999</v>
      </c>
    </row>
    <row r="678" spans="1:65" x14ac:dyDescent="0.25">
      <c r="A678" t="s">
        <v>741</v>
      </c>
      <c r="B678" t="s">
        <v>1721</v>
      </c>
      <c r="C678" t="s">
        <v>2158</v>
      </c>
      <c r="D678" s="1">
        <v>45372</v>
      </c>
      <c r="E678" s="1">
        <v>45398</v>
      </c>
      <c r="F678" s="1">
        <v>45444</v>
      </c>
      <c r="G678" t="s">
        <v>2162</v>
      </c>
      <c r="I678" t="s">
        <v>2176</v>
      </c>
      <c r="J678">
        <v>2093</v>
      </c>
      <c r="K678">
        <v>62</v>
      </c>
      <c r="L678">
        <v>7.1</v>
      </c>
      <c r="M678">
        <v>6.7</v>
      </c>
      <c r="N678">
        <v>2</v>
      </c>
      <c r="O678">
        <v>1365</v>
      </c>
      <c r="P678" t="s">
        <v>2176</v>
      </c>
      <c r="Q678">
        <v>1</v>
      </c>
      <c r="R678">
        <v>1</v>
      </c>
      <c r="S678">
        <v>6</v>
      </c>
      <c r="T678">
        <v>261</v>
      </c>
      <c r="U678" t="s">
        <v>2162</v>
      </c>
      <c r="W678" t="s">
        <v>2208</v>
      </c>
      <c r="X678" t="s">
        <v>2210</v>
      </c>
      <c r="Y678" t="s">
        <v>2212</v>
      </c>
      <c r="Z678" s="1">
        <v>45406</v>
      </c>
      <c r="AA678" s="1">
        <v>45421</v>
      </c>
      <c r="AB678" t="s">
        <v>2214</v>
      </c>
      <c r="AC678" t="s">
        <v>2209</v>
      </c>
      <c r="AD678" t="s">
        <v>2216</v>
      </c>
      <c r="AE678" t="s">
        <v>2162</v>
      </c>
      <c r="AG678" t="s">
        <v>2220</v>
      </c>
      <c r="AH678">
        <v>8</v>
      </c>
      <c r="AI678">
        <v>23</v>
      </c>
      <c r="AJ678">
        <v>15</v>
      </c>
      <c r="AK678">
        <v>4</v>
      </c>
      <c r="AL678" t="s">
        <v>2225</v>
      </c>
      <c r="AM678">
        <v>0</v>
      </c>
      <c r="AN678" t="s">
        <v>2177</v>
      </c>
      <c r="AO678" t="s">
        <v>2176</v>
      </c>
      <c r="AP678" t="s">
        <v>2176</v>
      </c>
      <c r="AQ678">
        <v>47.57</v>
      </c>
      <c r="AR678">
        <v>1</v>
      </c>
      <c r="AS678">
        <v>2</v>
      </c>
      <c r="AT678">
        <v>1</v>
      </c>
      <c r="AU678">
        <v>1</v>
      </c>
      <c r="AV678">
        <v>1.333333333333333</v>
      </c>
      <c r="AW678">
        <v>4.2</v>
      </c>
      <c r="AY678">
        <v>4.2</v>
      </c>
      <c r="AZ678">
        <v>2</v>
      </c>
      <c r="BA678">
        <v>1</v>
      </c>
      <c r="BB678">
        <v>25</v>
      </c>
      <c r="BC678">
        <v>26</v>
      </c>
      <c r="BD678">
        <v>21.81</v>
      </c>
      <c r="BE678">
        <v>104</v>
      </c>
      <c r="BF678">
        <v>87.2</v>
      </c>
      <c r="BG678">
        <v>25</v>
      </c>
      <c r="BH678">
        <v>26</v>
      </c>
      <c r="BI678">
        <v>21.81</v>
      </c>
      <c r="BJ678">
        <v>104</v>
      </c>
      <c r="BK678">
        <v>87.2</v>
      </c>
      <c r="BL678">
        <v>104</v>
      </c>
      <c r="BM678">
        <v>0.77380000000000004</v>
      </c>
    </row>
    <row r="679" spans="1:65" x14ac:dyDescent="0.25">
      <c r="A679" t="s">
        <v>742</v>
      </c>
      <c r="B679" t="s">
        <v>1722</v>
      </c>
      <c r="C679" t="s">
        <v>2157</v>
      </c>
      <c r="D679" s="1">
        <v>45317</v>
      </c>
      <c r="E679" s="1">
        <v>45363</v>
      </c>
      <c r="F679" s="1">
        <v>45387</v>
      </c>
      <c r="G679" t="s">
        <v>2161</v>
      </c>
      <c r="I679" t="s">
        <v>2176</v>
      </c>
      <c r="J679">
        <v>1229</v>
      </c>
      <c r="K679">
        <v>36</v>
      </c>
      <c r="L679">
        <v>2.6</v>
      </c>
      <c r="M679">
        <v>8</v>
      </c>
      <c r="N679">
        <v>1</v>
      </c>
      <c r="O679">
        <v>2114</v>
      </c>
      <c r="P679" t="s">
        <v>2176</v>
      </c>
      <c r="Q679">
        <v>1</v>
      </c>
      <c r="R679">
        <v>1</v>
      </c>
      <c r="S679">
        <v>2</v>
      </c>
      <c r="T679">
        <v>307</v>
      </c>
      <c r="U679" t="s">
        <v>2161</v>
      </c>
      <c r="W679" t="s">
        <v>2208</v>
      </c>
      <c r="X679" t="s">
        <v>2210</v>
      </c>
      <c r="Y679" t="s">
        <v>2212</v>
      </c>
      <c r="Z679" s="1">
        <v>45367</v>
      </c>
      <c r="AA679" s="1">
        <v>45384</v>
      </c>
      <c r="AB679" t="s">
        <v>2214</v>
      </c>
      <c r="AC679" t="s">
        <v>2209</v>
      </c>
      <c r="AD679" t="s">
        <v>2216</v>
      </c>
      <c r="AE679" t="s">
        <v>2161</v>
      </c>
      <c r="AG679" t="s">
        <v>2220</v>
      </c>
      <c r="AH679">
        <v>4</v>
      </c>
      <c r="AI679">
        <v>21</v>
      </c>
      <c r="AJ679">
        <v>17</v>
      </c>
      <c r="AK679">
        <v>3</v>
      </c>
      <c r="AL679" t="s">
        <v>2227</v>
      </c>
      <c r="AM679">
        <v>0</v>
      </c>
      <c r="AN679" t="s">
        <v>2176</v>
      </c>
      <c r="AO679" t="s">
        <v>2176</v>
      </c>
      <c r="AP679" t="s">
        <v>2176</v>
      </c>
      <c r="AQ679">
        <v>20.8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4.3</v>
      </c>
      <c r="AY679">
        <v>4.3</v>
      </c>
      <c r="AZ679">
        <v>3</v>
      </c>
      <c r="BA679">
        <v>1</v>
      </c>
      <c r="BB679">
        <v>38</v>
      </c>
      <c r="BC679">
        <v>26</v>
      </c>
      <c r="BD679">
        <v>33.729999999999997</v>
      </c>
      <c r="BE679">
        <v>164</v>
      </c>
      <c r="BF679">
        <v>88.8</v>
      </c>
      <c r="BG679">
        <v>38</v>
      </c>
      <c r="BH679">
        <v>26</v>
      </c>
      <c r="BI679">
        <v>33.729999999999997</v>
      </c>
      <c r="BJ679">
        <v>164</v>
      </c>
      <c r="BK679">
        <v>88.8</v>
      </c>
      <c r="BL679">
        <v>164</v>
      </c>
      <c r="BM679">
        <v>0.28820000000000001</v>
      </c>
    </row>
    <row r="680" spans="1:65" x14ac:dyDescent="0.25">
      <c r="A680" t="s">
        <v>743</v>
      </c>
      <c r="B680" t="s">
        <v>1723</v>
      </c>
      <c r="C680" t="s">
        <v>2158</v>
      </c>
      <c r="D680" s="1">
        <v>45484</v>
      </c>
      <c r="E680" s="1">
        <v>45539</v>
      </c>
      <c r="F680" s="1">
        <v>45587</v>
      </c>
      <c r="G680" t="s">
        <v>2161</v>
      </c>
      <c r="I680" t="s">
        <v>2174</v>
      </c>
      <c r="J680">
        <v>3828</v>
      </c>
      <c r="K680">
        <v>114</v>
      </c>
      <c r="L680">
        <v>3.4</v>
      </c>
      <c r="M680">
        <v>2.1</v>
      </c>
      <c r="N680">
        <v>2</v>
      </c>
      <c r="O680">
        <v>1113</v>
      </c>
      <c r="P680" t="s">
        <v>2176</v>
      </c>
      <c r="Q680">
        <v>3</v>
      </c>
      <c r="R680">
        <v>4</v>
      </c>
      <c r="S680">
        <v>6</v>
      </c>
      <c r="T680">
        <v>294</v>
      </c>
      <c r="U680" t="s">
        <v>2161</v>
      </c>
      <c r="W680" t="s">
        <v>2208</v>
      </c>
      <c r="X680" t="s">
        <v>2210</v>
      </c>
      <c r="Y680" t="s">
        <v>2212</v>
      </c>
      <c r="Z680" s="1">
        <v>45552</v>
      </c>
      <c r="AA680" s="1">
        <v>45565</v>
      </c>
      <c r="AB680" t="s">
        <v>2214</v>
      </c>
      <c r="AC680" t="s">
        <v>2209</v>
      </c>
      <c r="AD680" t="s">
        <v>2216</v>
      </c>
      <c r="AE680" t="s">
        <v>2161</v>
      </c>
      <c r="AG680" t="s">
        <v>2220</v>
      </c>
      <c r="AH680">
        <v>13</v>
      </c>
      <c r="AI680">
        <v>26</v>
      </c>
      <c r="AJ680">
        <v>13</v>
      </c>
      <c r="AK680">
        <v>9</v>
      </c>
      <c r="AL680" t="s">
        <v>2234</v>
      </c>
      <c r="AM680">
        <v>0</v>
      </c>
      <c r="AN680" t="s">
        <v>2176</v>
      </c>
      <c r="AO680" t="s">
        <v>2176</v>
      </c>
      <c r="AP680" t="s">
        <v>2176</v>
      </c>
      <c r="AQ680">
        <v>7.14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4.3</v>
      </c>
      <c r="AY680">
        <v>4.3</v>
      </c>
      <c r="AZ680">
        <v>2</v>
      </c>
      <c r="BA680">
        <v>0</v>
      </c>
      <c r="BB680">
        <v>28</v>
      </c>
      <c r="BC680">
        <v>26</v>
      </c>
      <c r="BD680">
        <v>24.77</v>
      </c>
      <c r="BE680">
        <v>119</v>
      </c>
      <c r="BF680">
        <v>88.5</v>
      </c>
      <c r="BG680">
        <v>28</v>
      </c>
      <c r="BH680">
        <v>26</v>
      </c>
      <c r="BI680">
        <v>24.77</v>
      </c>
      <c r="BJ680">
        <v>119</v>
      </c>
      <c r="BK680">
        <v>88.5</v>
      </c>
      <c r="BL680">
        <v>119</v>
      </c>
      <c r="BM680">
        <v>1.2367999999999999</v>
      </c>
    </row>
    <row r="681" spans="1:65" x14ac:dyDescent="0.25">
      <c r="A681" t="s">
        <v>744</v>
      </c>
      <c r="B681" t="s">
        <v>1724</v>
      </c>
      <c r="C681" t="s">
        <v>2157</v>
      </c>
      <c r="D681" s="1">
        <v>45432</v>
      </c>
      <c r="E681" s="1">
        <v>45461</v>
      </c>
      <c r="F681" s="1">
        <v>45499</v>
      </c>
      <c r="G681" t="s">
        <v>2164</v>
      </c>
      <c r="I681" t="s">
        <v>2176</v>
      </c>
      <c r="J681">
        <v>4513</v>
      </c>
      <c r="K681">
        <v>135</v>
      </c>
      <c r="L681">
        <v>4.3</v>
      </c>
      <c r="M681">
        <v>2.4</v>
      </c>
      <c r="N681">
        <v>1</v>
      </c>
      <c r="O681">
        <v>1018</v>
      </c>
      <c r="P681" t="s">
        <v>2176</v>
      </c>
      <c r="Q681">
        <v>3</v>
      </c>
      <c r="R681">
        <v>4</v>
      </c>
      <c r="S681">
        <v>7</v>
      </c>
      <c r="T681">
        <v>322</v>
      </c>
      <c r="U681" t="s">
        <v>2164</v>
      </c>
      <c r="W681" t="s">
        <v>2208</v>
      </c>
      <c r="X681" t="s">
        <v>2210</v>
      </c>
      <c r="Y681" t="s">
        <v>2212</v>
      </c>
      <c r="Z681" s="1">
        <v>45475</v>
      </c>
      <c r="AA681" s="1">
        <v>45490</v>
      </c>
      <c r="AB681" t="s">
        <v>2214</v>
      </c>
      <c r="AC681" t="s">
        <v>2209</v>
      </c>
      <c r="AD681" t="s">
        <v>2216</v>
      </c>
      <c r="AE681" t="s">
        <v>2164</v>
      </c>
      <c r="AG681" t="s">
        <v>2220</v>
      </c>
      <c r="AH681">
        <v>14</v>
      </c>
      <c r="AI681">
        <v>29</v>
      </c>
      <c r="AJ681">
        <v>15</v>
      </c>
      <c r="AK681">
        <v>6</v>
      </c>
      <c r="AL681" t="s">
        <v>2223</v>
      </c>
      <c r="AM681">
        <v>0</v>
      </c>
      <c r="AN681" t="s">
        <v>2176</v>
      </c>
      <c r="AO681" t="s">
        <v>2176</v>
      </c>
      <c r="AP681" t="s">
        <v>2176</v>
      </c>
      <c r="AQ681">
        <v>10.32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4.5</v>
      </c>
      <c r="AY681">
        <v>4.5</v>
      </c>
      <c r="AZ681">
        <v>3</v>
      </c>
      <c r="BA681">
        <v>1</v>
      </c>
      <c r="BB681">
        <v>33</v>
      </c>
      <c r="BC681">
        <v>25</v>
      </c>
      <c r="BD681">
        <v>28.64</v>
      </c>
      <c r="BE681">
        <v>133</v>
      </c>
      <c r="BF681">
        <v>86.8</v>
      </c>
      <c r="BG681">
        <v>33</v>
      </c>
      <c r="BH681">
        <v>25</v>
      </c>
      <c r="BI681">
        <v>28.64</v>
      </c>
      <c r="BJ681">
        <v>133</v>
      </c>
      <c r="BK681">
        <v>86.8</v>
      </c>
      <c r="BL681">
        <v>133</v>
      </c>
      <c r="BM681">
        <v>1.3569</v>
      </c>
    </row>
    <row r="682" spans="1:65" x14ac:dyDescent="0.25">
      <c r="A682" t="s">
        <v>745</v>
      </c>
      <c r="B682" t="s">
        <v>1725</v>
      </c>
      <c r="C682" t="s">
        <v>2159</v>
      </c>
      <c r="D682" s="1">
        <v>45361</v>
      </c>
      <c r="E682" s="1">
        <v>45392</v>
      </c>
      <c r="F682" s="1">
        <v>45442</v>
      </c>
      <c r="G682" t="s">
        <v>2164</v>
      </c>
      <c r="I682" t="s">
        <v>2176</v>
      </c>
      <c r="J682">
        <v>4736</v>
      </c>
      <c r="K682">
        <v>142</v>
      </c>
      <c r="L682">
        <v>4.2</v>
      </c>
      <c r="M682">
        <v>5.7</v>
      </c>
      <c r="N682">
        <v>1</v>
      </c>
      <c r="O682">
        <v>5996</v>
      </c>
      <c r="P682" t="s">
        <v>2176</v>
      </c>
      <c r="Q682">
        <v>5</v>
      </c>
      <c r="R682">
        <v>7</v>
      </c>
      <c r="S682">
        <v>10</v>
      </c>
      <c r="T682">
        <v>215</v>
      </c>
      <c r="U682" t="s">
        <v>2164</v>
      </c>
      <c r="W682" t="s">
        <v>2208</v>
      </c>
      <c r="X682" t="s">
        <v>2210</v>
      </c>
      <c r="Y682" t="s">
        <v>2212</v>
      </c>
      <c r="Z682" s="1">
        <v>45414</v>
      </c>
      <c r="AA682" s="1">
        <v>45429</v>
      </c>
      <c r="AB682" t="s">
        <v>2214</v>
      </c>
      <c r="AC682" t="s">
        <v>2209</v>
      </c>
      <c r="AD682" t="s">
        <v>2216</v>
      </c>
      <c r="AE682" t="s">
        <v>2164</v>
      </c>
      <c r="AG682" t="s">
        <v>2220</v>
      </c>
      <c r="AH682">
        <v>22</v>
      </c>
      <c r="AI682">
        <v>37</v>
      </c>
      <c r="AJ682">
        <v>15</v>
      </c>
      <c r="AK682">
        <v>4</v>
      </c>
      <c r="AL682" t="s">
        <v>2225</v>
      </c>
      <c r="AM682">
        <v>0</v>
      </c>
      <c r="AN682" t="s">
        <v>2176</v>
      </c>
      <c r="AO682" t="s">
        <v>2176</v>
      </c>
      <c r="AP682" t="s">
        <v>2176</v>
      </c>
      <c r="AQ682">
        <v>23.94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4.5</v>
      </c>
      <c r="AY682">
        <v>4.5</v>
      </c>
      <c r="AZ682">
        <v>0</v>
      </c>
      <c r="BA682">
        <v>1</v>
      </c>
      <c r="BB682">
        <v>30</v>
      </c>
      <c r="BC682">
        <v>26</v>
      </c>
      <c r="BD682">
        <v>26.42</v>
      </c>
      <c r="BE682">
        <v>126</v>
      </c>
      <c r="BF682">
        <v>88.1</v>
      </c>
      <c r="BG682">
        <v>30</v>
      </c>
      <c r="BH682">
        <v>26</v>
      </c>
      <c r="BI682">
        <v>26.42</v>
      </c>
      <c r="BJ682">
        <v>126</v>
      </c>
      <c r="BK682">
        <v>88.1</v>
      </c>
      <c r="BL682">
        <v>126</v>
      </c>
      <c r="BM682">
        <v>1.4452</v>
      </c>
    </row>
    <row r="683" spans="1:65" x14ac:dyDescent="0.25">
      <c r="A683" t="s">
        <v>746</v>
      </c>
      <c r="B683" t="s">
        <v>1726</v>
      </c>
      <c r="C683" t="s">
        <v>2160</v>
      </c>
      <c r="D683" s="1">
        <v>45497</v>
      </c>
      <c r="E683" s="1">
        <v>45539</v>
      </c>
      <c r="F683" s="1">
        <v>45576</v>
      </c>
      <c r="G683" t="s">
        <v>2163</v>
      </c>
      <c r="I683" t="s">
        <v>2176</v>
      </c>
      <c r="J683">
        <v>2781</v>
      </c>
      <c r="K683">
        <v>83</v>
      </c>
      <c r="L683">
        <v>7.7</v>
      </c>
      <c r="M683">
        <v>7</v>
      </c>
      <c r="N683">
        <v>1</v>
      </c>
      <c r="O683">
        <v>2098</v>
      </c>
      <c r="P683" t="s">
        <v>2176</v>
      </c>
      <c r="Q683">
        <v>2</v>
      </c>
      <c r="R683">
        <v>2</v>
      </c>
      <c r="S683">
        <v>8</v>
      </c>
      <c r="T683">
        <v>231</v>
      </c>
      <c r="U683" t="s">
        <v>2163</v>
      </c>
      <c r="W683" t="s">
        <v>2208</v>
      </c>
      <c r="X683" t="s">
        <v>2210</v>
      </c>
      <c r="Y683" t="s">
        <v>2212</v>
      </c>
      <c r="Z683" s="1">
        <v>45551</v>
      </c>
      <c r="AA683" s="1">
        <v>45568</v>
      </c>
      <c r="AB683" t="s">
        <v>2214</v>
      </c>
      <c r="AC683" t="s">
        <v>2209</v>
      </c>
      <c r="AD683" t="s">
        <v>2216</v>
      </c>
      <c r="AE683" t="s">
        <v>2163</v>
      </c>
      <c r="AG683" t="s">
        <v>2220</v>
      </c>
      <c r="AH683">
        <v>12</v>
      </c>
      <c r="AI683">
        <v>29</v>
      </c>
      <c r="AJ683">
        <v>17</v>
      </c>
      <c r="AK683">
        <v>9</v>
      </c>
      <c r="AL683" t="s">
        <v>2234</v>
      </c>
      <c r="AM683">
        <v>0</v>
      </c>
      <c r="AN683" t="s">
        <v>2177</v>
      </c>
      <c r="AO683" t="s">
        <v>2176</v>
      </c>
      <c r="AP683" t="s">
        <v>2176</v>
      </c>
      <c r="AQ683">
        <v>53.9</v>
      </c>
      <c r="AR683">
        <v>1</v>
      </c>
      <c r="AS683">
        <v>2</v>
      </c>
      <c r="AT683">
        <v>1</v>
      </c>
      <c r="AU683">
        <v>1</v>
      </c>
      <c r="AV683">
        <v>1.333333333333333</v>
      </c>
      <c r="AW683">
        <v>4.4000000000000004</v>
      </c>
      <c r="AY683">
        <v>4.4000000000000004</v>
      </c>
      <c r="AZ683">
        <v>1</v>
      </c>
      <c r="BA683">
        <v>1</v>
      </c>
      <c r="BB683">
        <v>30</v>
      </c>
      <c r="BC683">
        <v>26</v>
      </c>
      <c r="BD683">
        <v>26.15</v>
      </c>
      <c r="BE683">
        <v>126</v>
      </c>
      <c r="BF683">
        <v>87.2</v>
      </c>
      <c r="BG683">
        <v>30</v>
      </c>
      <c r="BH683">
        <v>26</v>
      </c>
      <c r="BI683">
        <v>26.15</v>
      </c>
      <c r="BJ683">
        <v>126</v>
      </c>
      <c r="BK683">
        <v>87.2</v>
      </c>
      <c r="BL683">
        <v>126</v>
      </c>
      <c r="BM683">
        <v>0.84860000000000002</v>
      </c>
    </row>
    <row r="684" spans="1:65" x14ac:dyDescent="0.25">
      <c r="A684" t="s">
        <v>747</v>
      </c>
      <c r="B684" t="s">
        <v>1727</v>
      </c>
      <c r="C684" t="s">
        <v>2159</v>
      </c>
      <c r="D684" s="1">
        <v>45388</v>
      </c>
      <c r="E684" s="1">
        <v>45424</v>
      </c>
      <c r="F684" s="1">
        <v>45455</v>
      </c>
      <c r="G684" t="s">
        <v>2164</v>
      </c>
      <c r="I684" t="s">
        <v>2176</v>
      </c>
      <c r="J684">
        <v>4582</v>
      </c>
      <c r="K684">
        <v>137</v>
      </c>
      <c r="L684">
        <v>5.8</v>
      </c>
      <c r="M684">
        <v>5.6</v>
      </c>
      <c r="N684">
        <v>2</v>
      </c>
      <c r="O684">
        <v>5501</v>
      </c>
      <c r="P684" t="s">
        <v>2176</v>
      </c>
      <c r="Q684">
        <v>4</v>
      </c>
      <c r="R684">
        <v>5</v>
      </c>
      <c r="S684">
        <v>7</v>
      </c>
      <c r="T684">
        <v>286</v>
      </c>
      <c r="U684" t="s">
        <v>2164</v>
      </c>
      <c r="W684" t="s">
        <v>2208</v>
      </c>
      <c r="X684" t="s">
        <v>2210</v>
      </c>
      <c r="Y684" t="s">
        <v>2212</v>
      </c>
      <c r="Z684" s="1">
        <v>45440</v>
      </c>
      <c r="AA684" s="1">
        <v>45458</v>
      </c>
      <c r="AB684" t="s">
        <v>2214</v>
      </c>
      <c r="AC684" t="s">
        <v>2209</v>
      </c>
      <c r="AD684" t="s">
        <v>2216</v>
      </c>
      <c r="AE684" t="s">
        <v>2164</v>
      </c>
      <c r="AG684" t="s">
        <v>2220</v>
      </c>
      <c r="AH684">
        <v>16</v>
      </c>
      <c r="AI684">
        <v>34</v>
      </c>
      <c r="AJ684">
        <v>18</v>
      </c>
      <c r="AK684">
        <v>5</v>
      </c>
      <c r="AL684" t="s">
        <v>2224</v>
      </c>
      <c r="AM684">
        <v>0</v>
      </c>
      <c r="AN684" t="s">
        <v>2177</v>
      </c>
      <c r="AO684" t="s">
        <v>2176</v>
      </c>
      <c r="AP684" t="s">
        <v>2176</v>
      </c>
      <c r="AQ684">
        <v>32.479999999999997</v>
      </c>
      <c r="AR684">
        <v>1</v>
      </c>
      <c r="AS684">
        <v>2</v>
      </c>
      <c r="AT684">
        <v>1</v>
      </c>
      <c r="AU684">
        <v>1</v>
      </c>
      <c r="AV684">
        <v>1.333333333333333</v>
      </c>
      <c r="AW684">
        <v>4.5</v>
      </c>
      <c r="AY684">
        <v>4.5</v>
      </c>
      <c r="AZ684">
        <v>0</v>
      </c>
      <c r="BA684">
        <v>1</v>
      </c>
      <c r="BB684">
        <v>35</v>
      </c>
      <c r="BC684">
        <v>27</v>
      </c>
      <c r="BD684">
        <v>30.96</v>
      </c>
      <c r="BE684">
        <v>158</v>
      </c>
      <c r="BF684">
        <v>88.5</v>
      </c>
      <c r="BG684">
        <v>35</v>
      </c>
      <c r="BH684">
        <v>27</v>
      </c>
      <c r="BI684">
        <v>30.96</v>
      </c>
      <c r="BJ684">
        <v>158</v>
      </c>
      <c r="BK684">
        <v>88.5</v>
      </c>
      <c r="BL684">
        <v>158</v>
      </c>
      <c r="BM684">
        <v>1.0738000000000001</v>
      </c>
    </row>
    <row r="685" spans="1:65" x14ac:dyDescent="0.25">
      <c r="A685" t="s">
        <v>748</v>
      </c>
      <c r="B685" t="s">
        <v>1728</v>
      </c>
      <c r="C685" t="s">
        <v>2159</v>
      </c>
      <c r="D685" s="1">
        <v>45492</v>
      </c>
      <c r="E685" s="1">
        <v>45537</v>
      </c>
      <c r="F685" s="1">
        <v>45566</v>
      </c>
      <c r="G685" t="s">
        <v>2162</v>
      </c>
      <c r="I685" t="s">
        <v>2174</v>
      </c>
      <c r="J685">
        <v>1653</v>
      </c>
      <c r="K685">
        <v>49</v>
      </c>
      <c r="L685">
        <v>4.7</v>
      </c>
      <c r="M685">
        <v>4.7</v>
      </c>
      <c r="N685">
        <v>2</v>
      </c>
      <c r="O685">
        <v>3690</v>
      </c>
      <c r="P685" t="s">
        <v>2176</v>
      </c>
      <c r="Q685">
        <v>1</v>
      </c>
      <c r="R685">
        <v>1</v>
      </c>
      <c r="S685">
        <v>2</v>
      </c>
      <c r="T685">
        <v>413</v>
      </c>
      <c r="U685" t="s">
        <v>2162</v>
      </c>
      <c r="W685" t="s">
        <v>2208</v>
      </c>
      <c r="X685" t="s">
        <v>2210</v>
      </c>
      <c r="Y685" t="s">
        <v>2212</v>
      </c>
      <c r="Z685" s="1">
        <v>45541</v>
      </c>
      <c r="AA685" s="1">
        <v>45557</v>
      </c>
      <c r="AB685" t="s">
        <v>2214</v>
      </c>
      <c r="AC685" t="s">
        <v>2209</v>
      </c>
      <c r="AD685" t="s">
        <v>2216</v>
      </c>
      <c r="AE685" t="s">
        <v>2162</v>
      </c>
      <c r="AG685" t="s">
        <v>2220</v>
      </c>
      <c r="AH685">
        <v>4</v>
      </c>
      <c r="AI685">
        <v>20</v>
      </c>
      <c r="AJ685">
        <v>16</v>
      </c>
      <c r="AK685">
        <v>9</v>
      </c>
      <c r="AL685" t="s">
        <v>2234</v>
      </c>
      <c r="AM685">
        <v>0</v>
      </c>
      <c r="AN685" t="s">
        <v>2176</v>
      </c>
      <c r="AO685" t="s">
        <v>2176</v>
      </c>
      <c r="AP685" t="s">
        <v>2176</v>
      </c>
      <c r="AQ685">
        <v>22.09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4.2</v>
      </c>
      <c r="AY685">
        <v>4.2</v>
      </c>
      <c r="AZ685">
        <v>0</v>
      </c>
      <c r="BA685">
        <v>0</v>
      </c>
      <c r="BB685">
        <v>30</v>
      </c>
      <c r="BC685">
        <v>26</v>
      </c>
      <c r="BD685">
        <v>26.54</v>
      </c>
      <c r="BE685">
        <v>129</v>
      </c>
      <c r="BF685">
        <v>88.5</v>
      </c>
      <c r="BG685">
        <v>30</v>
      </c>
      <c r="BH685">
        <v>26</v>
      </c>
      <c r="BI685">
        <v>26.54</v>
      </c>
      <c r="BJ685">
        <v>129</v>
      </c>
      <c r="BK685">
        <v>88.5</v>
      </c>
      <c r="BL685">
        <v>129</v>
      </c>
      <c r="BM685">
        <v>0.49270000000000003</v>
      </c>
    </row>
    <row r="686" spans="1:65" x14ac:dyDescent="0.25">
      <c r="A686" t="s">
        <v>749</v>
      </c>
      <c r="B686" t="s">
        <v>1729</v>
      </c>
      <c r="C686" t="s">
        <v>2160</v>
      </c>
      <c r="D686" s="1">
        <v>45271</v>
      </c>
      <c r="E686" s="1">
        <v>45306</v>
      </c>
      <c r="F686" s="1">
        <v>45341</v>
      </c>
      <c r="G686" t="s">
        <v>2161</v>
      </c>
      <c r="I686" t="s">
        <v>2176</v>
      </c>
      <c r="J686">
        <v>4020</v>
      </c>
      <c r="K686">
        <v>120</v>
      </c>
      <c r="L686">
        <v>5.6</v>
      </c>
      <c r="M686">
        <v>6.2</v>
      </c>
      <c r="N686">
        <v>2</v>
      </c>
      <c r="O686">
        <v>5735</v>
      </c>
      <c r="P686" t="s">
        <v>2176</v>
      </c>
      <c r="Q686">
        <v>3</v>
      </c>
      <c r="R686">
        <v>4</v>
      </c>
      <c r="S686">
        <v>6</v>
      </c>
      <c r="T686">
        <v>309</v>
      </c>
      <c r="U686" t="s">
        <v>2161</v>
      </c>
      <c r="W686" t="s">
        <v>2208</v>
      </c>
      <c r="X686" t="s">
        <v>2210</v>
      </c>
      <c r="Y686" t="s">
        <v>2212</v>
      </c>
      <c r="Z686" s="1">
        <v>45319</v>
      </c>
      <c r="AA686" s="1">
        <v>45335</v>
      </c>
      <c r="AB686" t="s">
        <v>2214</v>
      </c>
      <c r="AC686" t="s">
        <v>2209</v>
      </c>
      <c r="AD686" t="s">
        <v>2216</v>
      </c>
      <c r="AE686" t="s">
        <v>2161</v>
      </c>
      <c r="AG686" t="s">
        <v>2220</v>
      </c>
      <c r="AH686">
        <v>13</v>
      </c>
      <c r="AI686">
        <v>29</v>
      </c>
      <c r="AJ686">
        <v>16</v>
      </c>
      <c r="AK686">
        <v>1</v>
      </c>
      <c r="AL686" t="s">
        <v>2233</v>
      </c>
      <c r="AM686">
        <v>0</v>
      </c>
      <c r="AN686" t="s">
        <v>2177</v>
      </c>
      <c r="AO686" t="s">
        <v>2176</v>
      </c>
      <c r="AP686" t="s">
        <v>2176</v>
      </c>
      <c r="AQ686">
        <v>34.72</v>
      </c>
      <c r="AR686">
        <v>1</v>
      </c>
      <c r="AS686">
        <v>2</v>
      </c>
      <c r="AT686">
        <v>1</v>
      </c>
      <c r="AU686">
        <v>1</v>
      </c>
      <c r="AV686">
        <v>1.333333333333333</v>
      </c>
      <c r="AW686">
        <v>4.3</v>
      </c>
      <c r="AY686">
        <v>4.3</v>
      </c>
      <c r="AZ686">
        <v>1</v>
      </c>
      <c r="BA686">
        <v>1</v>
      </c>
      <c r="BB686">
        <v>33</v>
      </c>
      <c r="BC686">
        <v>27</v>
      </c>
      <c r="BD686">
        <v>28.81</v>
      </c>
      <c r="BE686">
        <v>146</v>
      </c>
      <c r="BF686">
        <v>87.3</v>
      </c>
      <c r="BG686">
        <v>33</v>
      </c>
      <c r="BH686">
        <v>27</v>
      </c>
      <c r="BI686">
        <v>28.81</v>
      </c>
      <c r="BJ686">
        <v>146</v>
      </c>
      <c r="BK686">
        <v>87.3</v>
      </c>
      <c r="BL686">
        <v>146</v>
      </c>
      <c r="BM686">
        <v>1.0195000000000001</v>
      </c>
    </row>
    <row r="687" spans="1:65" x14ac:dyDescent="0.25">
      <c r="A687" t="s">
        <v>750</v>
      </c>
      <c r="B687" t="s">
        <v>1730</v>
      </c>
      <c r="C687" t="s">
        <v>2160</v>
      </c>
      <c r="D687" s="1">
        <v>45297</v>
      </c>
      <c r="E687" s="1">
        <v>45333</v>
      </c>
      <c r="F687" s="1">
        <v>45381</v>
      </c>
      <c r="G687" t="s">
        <v>2162</v>
      </c>
      <c r="I687" t="s">
        <v>2176</v>
      </c>
      <c r="J687">
        <v>2770</v>
      </c>
      <c r="K687">
        <v>83</v>
      </c>
      <c r="L687">
        <v>6.8</v>
      </c>
      <c r="M687">
        <v>7.3</v>
      </c>
      <c r="N687">
        <v>1</v>
      </c>
      <c r="O687">
        <v>5274</v>
      </c>
      <c r="P687" t="s">
        <v>2176</v>
      </c>
      <c r="Q687">
        <v>3</v>
      </c>
      <c r="R687">
        <v>4</v>
      </c>
      <c r="S687">
        <v>6</v>
      </c>
      <c r="T687">
        <v>213</v>
      </c>
      <c r="U687" t="s">
        <v>2162</v>
      </c>
      <c r="W687" t="s">
        <v>2208</v>
      </c>
      <c r="X687" t="s">
        <v>2210</v>
      </c>
      <c r="Y687" t="s">
        <v>2212</v>
      </c>
      <c r="Z687" s="1">
        <v>45346</v>
      </c>
      <c r="AA687" s="1">
        <v>45362</v>
      </c>
      <c r="AB687" t="s">
        <v>2214</v>
      </c>
      <c r="AC687" t="s">
        <v>2209</v>
      </c>
      <c r="AD687" t="s">
        <v>2216</v>
      </c>
      <c r="AE687" t="s">
        <v>2162</v>
      </c>
      <c r="AG687" t="s">
        <v>2220</v>
      </c>
      <c r="AH687">
        <v>13</v>
      </c>
      <c r="AI687">
        <v>29</v>
      </c>
      <c r="AJ687">
        <v>16</v>
      </c>
      <c r="AK687">
        <v>2</v>
      </c>
      <c r="AL687" t="s">
        <v>2228</v>
      </c>
      <c r="AM687">
        <v>0</v>
      </c>
      <c r="AN687" t="s">
        <v>2177</v>
      </c>
      <c r="AO687" t="s">
        <v>2176</v>
      </c>
      <c r="AP687" t="s">
        <v>2176</v>
      </c>
      <c r="AQ687">
        <v>49.64</v>
      </c>
      <c r="AR687">
        <v>1</v>
      </c>
      <c r="AS687">
        <v>2</v>
      </c>
      <c r="AT687">
        <v>1</v>
      </c>
      <c r="AU687">
        <v>1</v>
      </c>
      <c r="AV687">
        <v>1.333333333333333</v>
      </c>
      <c r="AW687">
        <v>4.2</v>
      </c>
      <c r="AY687">
        <v>4.2</v>
      </c>
      <c r="AZ687">
        <v>1</v>
      </c>
      <c r="BA687">
        <v>1</v>
      </c>
      <c r="BB687">
        <v>34</v>
      </c>
      <c r="BC687">
        <v>24</v>
      </c>
      <c r="BD687">
        <v>30.5</v>
      </c>
      <c r="BE687">
        <v>136</v>
      </c>
      <c r="BF687">
        <v>89.7</v>
      </c>
      <c r="BG687">
        <v>34</v>
      </c>
      <c r="BH687">
        <v>24</v>
      </c>
      <c r="BI687">
        <v>30.5</v>
      </c>
      <c r="BJ687">
        <v>136</v>
      </c>
      <c r="BK687">
        <v>89.7</v>
      </c>
      <c r="BL687">
        <v>136</v>
      </c>
      <c r="BM687">
        <v>0.84840000000000004</v>
      </c>
    </row>
    <row r="688" spans="1:65" x14ac:dyDescent="0.25">
      <c r="A688" t="s">
        <v>751</v>
      </c>
      <c r="B688" t="s">
        <v>1731</v>
      </c>
      <c r="C688" t="s">
        <v>2158</v>
      </c>
      <c r="D688" s="1">
        <v>45323</v>
      </c>
      <c r="E688" s="1">
        <v>45353</v>
      </c>
      <c r="F688" s="1">
        <v>45400</v>
      </c>
      <c r="G688" t="s">
        <v>2166</v>
      </c>
      <c r="I688" t="s">
        <v>2174</v>
      </c>
      <c r="J688">
        <v>4335</v>
      </c>
      <c r="K688">
        <v>130</v>
      </c>
      <c r="L688">
        <v>4.0999999999999996</v>
      </c>
      <c r="M688">
        <v>4.5999999999999996</v>
      </c>
      <c r="N688">
        <v>1</v>
      </c>
      <c r="O688">
        <v>4856</v>
      </c>
      <c r="P688" t="s">
        <v>2176</v>
      </c>
      <c r="Q688">
        <v>3</v>
      </c>
      <c r="R688">
        <v>4</v>
      </c>
      <c r="S688">
        <v>6</v>
      </c>
      <c r="T688">
        <v>333</v>
      </c>
      <c r="U688" t="s">
        <v>2166</v>
      </c>
      <c r="W688" t="s">
        <v>2208</v>
      </c>
      <c r="X688" t="s">
        <v>2210</v>
      </c>
      <c r="Y688" t="s">
        <v>2212</v>
      </c>
      <c r="Z688" s="1">
        <v>45366</v>
      </c>
      <c r="AA688" s="1">
        <v>45380</v>
      </c>
      <c r="AB688" t="s">
        <v>2214</v>
      </c>
      <c r="AC688" t="s">
        <v>2209</v>
      </c>
      <c r="AD688" t="s">
        <v>2216</v>
      </c>
      <c r="AE688" t="s">
        <v>2166</v>
      </c>
      <c r="AG688" t="s">
        <v>2220</v>
      </c>
      <c r="AH688">
        <v>13</v>
      </c>
      <c r="AI688">
        <v>27</v>
      </c>
      <c r="AJ688">
        <v>14</v>
      </c>
      <c r="AK688">
        <v>3</v>
      </c>
      <c r="AL688" t="s">
        <v>2227</v>
      </c>
      <c r="AM688">
        <v>0</v>
      </c>
      <c r="AN688" t="s">
        <v>2176</v>
      </c>
      <c r="AO688" t="s">
        <v>2176</v>
      </c>
      <c r="AP688" t="s">
        <v>2176</v>
      </c>
      <c r="AQ688">
        <v>18.86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4.8</v>
      </c>
      <c r="AY688">
        <v>4.8</v>
      </c>
      <c r="AZ688">
        <v>2</v>
      </c>
      <c r="BA688">
        <v>0</v>
      </c>
      <c r="BB688">
        <v>49</v>
      </c>
      <c r="BC688">
        <v>26</v>
      </c>
      <c r="BD688">
        <v>43.12</v>
      </c>
      <c r="BE688">
        <v>216</v>
      </c>
      <c r="BF688">
        <v>88</v>
      </c>
      <c r="BG688">
        <v>49</v>
      </c>
      <c r="BH688">
        <v>26</v>
      </c>
      <c r="BI688">
        <v>43.12</v>
      </c>
      <c r="BJ688">
        <v>216</v>
      </c>
      <c r="BK688">
        <v>88</v>
      </c>
      <c r="BL688">
        <v>216</v>
      </c>
      <c r="BM688">
        <v>0.77180000000000004</v>
      </c>
    </row>
    <row r="689" spans="1:65" x14ac:dyDescent="0.25">
      <c r="A689" t="s">
        <v>752</v>
      </c>
      <c r="B689" t="s">
        <v>1732</v>
      </c>
      <c r="C689" t="s">
        <v>2160</v>
      </c>
      <c r="D689" s="1">
        <v>45459</v>
      </c>
      <c r="E689" s="1">
        <v>45518</v>
      </c>
      <c r="F689" s="1">
        <v>45555</v>
      </c>
      <c r="G689" t="s">
        <v>2165</v>
      </c>
      <c r="I689" t="s">
        <v>2174</v>
      </c>
      <c r="J689">
        <v>2094</v>
      </c>
      <c r="K689">
        <v>62</v>
      </c>
      <c r="L689">
        <v>3.6</v>
      </c>
      <c r="M689">
        <v>2.6</v>
      </c>
      <c r="N689">
        <v>1</v>
      </c>
      <c r="O689">
        <v>4155</v>
      </c>
      <c r="P689" t="s">
        <v>2176</v>
      </c>
      <c r="Q689">
        <v>1</v>
      </c>
      <c r="R689">
        <v>1</v>
      </c>
      <c r="S689">
        <v>3</v>
      </c>
      <c r="T689">
        <v>418</v>
      </c>
      <c r="U689" t="s">
        <v>2165</v>
      </c>
      <c r="W689" t="s">
        <v>2208</v>
      </c>
      <c r="X689" t="s">
        <v>2210</v>
      </c>
      <c r="Y689" t="s">
        <v>2212</v>
      </c>
      <c r="Z689" s="1">
        <v>45523</v>
      </c>
      <c r="AA689" s="1">
        <v>45538</v>
      </c>
      <c r="AB689" t="s">
        <v>2214</v>
      </c>
      <c r="AC689" t="s">
        <v>2209</v>
      </c>
      <c r="AD689" t="s">
        <v>2216</v>
      </c>
      <c r="AE689" t="s">
        <v>2165</v>
      </c>
      <c r="AG689" t="s">
        <v>2220</v>
      </c>
      <c r="AH689">
        <v>5</v>
      </c>
      <c r="AI689">
        <v>20</v>
      </c>
      <c r="AJ689">
        <v>15</v>
      </c>
      <c r="AK689">
        <v>8</v>
      </c>
      <c r="AL689" t="s">
        <v>2232</v>
      </c>
      <c r="AM689">
        <v>0</v>
      </c>
      <c r="AN689" t="s">
        <v>2176</v>
      </c>
      <c r="AO689" t="s">
        <v>2176</v>
      </c>
      <c r="AP689" t="s">
        <v>2176</v>
      </c>
      <c r="AQ689">
        <v>9.3600000000000012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4.5999999999999996</v>
      </c>
      <c r="AY689">
        <v>4.5999999999999996</v>
      </c>
      <c r="AZ689">
        <v>1</v>
      </c>
      <c r="BA689">
        <v>0</v>
      </c>
      <c r="BB689">
        <v>36</v>
      </c>
      <c r="BC689">
        <v>26</v>
      </c>
      <c r="BD689">
        <v>31.73</v>
      </c>
      <c r="BE689">
        <v>152</v>
      </c>
      <c r="BF689">
        <v>88.1</v>
      </c>
      <c r="BG689">
        <v>36</v>
      </c>
      <c r="BH689">
        <v>26</v>
      </c>
      <c r="BI689">
        <v>31.73</v>
      </c>
      <c r="BJ689">
        <v>152</v>
      </c>
      <c r="BK689">
        <v>88.1</v>
      </c>
      <c r="BL689">
        <v>152</v>
      </c>
      <c r="BM689">
        <v>0.52969999999999995</v>
      </c>
    </row>
    <row r="690" spans="1:65" x14ac:dyDescent="0.25">
      <c r="A690" t="s">
        <v>753</v>
      </c>
      <c r="B690" t="s">
        <v>1733</v>
      </c>
      <c r="C690" t="s">
        <v>2157</v>
      </c>
      <c r="D690" s="1">
        <v>45365</v>
      </c>
      <c r="E690" s="1">
        <v>45397</v>
      </c>
      <c r="F690" s="1">
        <v>45429</v>
      </c>
      <c r="G690" t="s">
        <v>2163</v>
      </c>
      <c r="I690" t="s">
        <v>2174</v>
      </c>
      <c r="J690">
        <v>3103</v>
      </c>
      <c r="K690">
        <v>93</v>
      </c>
      <c r="L690">
        <v>3.3</v>
      </c>
      <c r="M690">
        <v>2.1</v>
      </c>
      <c r="N690">
        <v>1</v>
      </c>
      <c r="O690">
        <v>4611</v>
      </c>
      <c r="P690" t="s">
        <v>2176</v>
      </c>
      <c r="Q690">
        <v>2</v>
      </c>
      <c r="R690">
        <v>2</v>
      </c>
      <c r="S690">
        <v>6</v>
      </c>
      <c r="T690">
        <v>310</v>
      </c>
      <c r="U690" t="s">
        <v>2163</v>
      </c>
      <c r="W690" t="s">
        <v>2208</v>
      </c>
      <c r="X690" t="s">
        <v>2210</v>
      </c>
      <c r="Y690" t="s">
        <v>2212</v>
      </c>
      <c r="Z690" s="1">
        <v>45407</v>
      </c>
      <c r="AA690" s="1">
        <v>45420</v>
      </c>
      <c r="AB690" t="s">
        <v>2214</v>
      </c>
      <c r="AC690" t="s">
        <v>2209</v>
      </c>
      <c r="AD690" t="s">
        <v>2216</v>
      </c>
      <c r="AE690" t="s">
        <v>2163</v>
      </c>
      <c r="AG690" t="s">
        <v>2220</v>
      </c>
      <c r="AH690">
        <v>10</v>
      </c>
      <c r="AI690">
        <v>23</v>
      </c>
      <c r="AJ690">
        <v>13</v>
      </c>
      <c r="AK690">
        <v>4</v>
      </c>
      <c r="AL690" t="s">
        <v>2225</v>
      </c>
      <c r="AM690">
        <v>0</v>
      </c>
      <c r="AN690" t="s">
        <v>2176</v>
      </c>
      <c r="AO690" t="s">
        <v>2176</v>
      </c>
      <c r="AP690" t="s">
        <v>2176</v>
      </c>
      <c r="AQ690">
        <v>6.93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4.4000000000000004</v>
      </c>
      <c r="AY690">
        <v>4.4000000000000004</v>
      </c>
      <c r="AZ690">
        <v>3</v>
      </c>
      <c r="BA690">
        <v>0</v>
      </c>
      <c r="BB690">
        <v>31</v>
      </c>
      <c r="BC690">
        <v>26</v>
      </c>
      <c r="BD690">
        <v>27.23</v>
      </c>
      <c r="BE690">
        <v>132</v>
      </c>
      <c r="BF690">
        <v>87.8</v>
      </c>
      <c r="BG690">
        <v>31</v>
      </c>
      <c r="BH690">
        <v>26</v>
      </c>
      <c r="BI690">
        <v>27.23</v>
      </c>
      <c r="BJ690">
        <v>132</v>
      </c>
      <c r="BK690">
        <v>87.8</v>
      </c>
      <c r="BL690">
        <v>132</v>
      </c>
      <c r="BM690">
        <v>0.90390000000000004</v>
      </c>
    </row>
    <row r="691" spans="1:65" x14ac:dyDescent="0.25">
      <c r="A691" t="s">
        <v>754</v>
      </c>
      <c r="B691" t="s">
        <v>1734</v>
      </c>
      <c r="C691" t="s">
        <v>2157</v>
      </c>
      <c r="D691" s="1">
        <v>45385</v>
      </c>
      <c r="E691" s="1">
        <v>45415</v>
      </c>
      <c r="F691" s="1">
        <v>45446</v>
      </c>
      <c r="G691" t="s">
        <v>2163</v>
      </c>
      <c r="I691" t="s">
        <v>2176</v>
      </c>
      <c r="J691">
        <v>3148</v>
      </c>
      <c r="K691">
        <v>94</v>
      </c>
      <c r="L691">
        <v>7.2</v>
      </c>
      <c r="M691">
        <v>2.9</v>
      </c>
      <c r="N691">
        <v>2</v>
      </c>
      <c r="O691">
        <v>4713</v>
      </c>
      <c r="P691" t="s">
        <v>2176</v>
      </c>
      <c r="Q691">
        <v>3</v>
      </c>
      <c r="R691">
        <v>4</v>
      </c>
      <c r="S691">
        <v>4</v>
      </c>
      <c r="T691">
        <v>286</v>
      </c>
      <c r="U691" t="s">
        <v>2163</v>
      </c>
      <c r="W691" t="s">
        <v>2208</v>
      </c>
      <c r="X691" t="s">
        <v>2210</v>
      </c>
      <c r="Y691" t="s">
        <v>2212</v>
      </c>
      <c r="Z691" s="1">
        <v>45426</v>
      </c>
      <c r="AA691" s="1">
        <v>45445</v>
      </c>
      <c r="AB691" t="s">
        <v>2214</v>
      </c>
      <c r="AC691" t="s">
        <v>2209</v>
      </c>
      <c r="AD691" t="s">
        <v>2216</v>
      </c>
      <c r="AE691" t="s">
        <v>2163</v>
      </c>
      <c r="AG691" t="s">
        <v>2220</v>
      </c>
      <c r="AH691">
        <v>11</v>
      </c>
      <c r="AI691">
        <v>30</v>
      </c>
      <c r="AJ691">
        <v>19</v>
      </c>
      <c r="AK691">
        <v>5</v>
      </c>
      <c r="AL691" t="s">
        <v>2224</v>
      </c>
      <c r="AM691">
        <v>0</v>
      </c>
      <c r="AN691" t="s">
        <v>2176</v>
      </c>
      <c r="AO691" t="s">
        <v>2176</v>
      </c>
      <c r="AP691" t="s">
        <v>2176</v>
      </c>
      <c r="AQ691">
        <v>20.88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4.4000000000000004</v>
      </c>
      <c r="AY691">
        <v>4.4000000000000004</v>
      </c>
      <c r="AZ691">
        <v>3</v>
      </c>
      <c r="BA691">
        <v>1</v>
      </c>
      <c r="BB691">
        <v>38</v>
      </c>
      <c r="BC691">
        <v>27</v>
      </c>
      <c r="BD691">
        <v>33.33</v>
      </c>
      <c r="BE691">
        <v>171</v>
      </c>
      <c r="BF691">
        <v>87.7</v>
      </c>
      <c r="BG691">
        <v>38</v>
      </c>
      <c r="BH691">
        <v>27</v>
      </c>
      <c r="BI691">
        <v>33.33</v>
      </c>
      <c r="BJ691">
        <v>171</v>
      </c>
      <c r="BK691">
        <v>87.7</v>
      </c>
      <c r="BL691">
        <v>171</v>
      </c>
      <c r="BM691">
        <v>0.68169999999999997</v>
      </c>
    </row>
    <row r="692" spans="1:65" x14ac:dyDescent="0.25">
      <c r="A692" t="s">
        <v>755</v>
      </c>
      <c r="B692" t="s">
        <v>1735</v>
      </c>
      <c r="C692" t="s">
        <v>2157</v>
      </c>
      <c r="D692" s="1">
        <v>45248</v>
      </c>
      <c r="E692" s="1">
        <v>45298</v>
      </c>
      <c r="F692" s="1">
        <v>45340</v>
      </c>
      <c r="G692" t="s">
        <v>2162</v>
      </c>
      <c r="I692" t="s">
        <v>2174</v>
      </c>
      <c r="J692">
        <v>3143</v>
      </c>
      <c r="K692">
        <v>94</v>
      </c>
      <c r="L692">
        <v>3.9</v>
      </c>
      <c r="M692">
        <v>2</v>
      </c>
      <c r="N692">
        <v>2</v>
      </c>
      <c r="O692">
        <v>4216</v>
      </c>
      <c r="P692" t="s">
        <v>2176</v>
      </c>
      <c r="Q692">
        <v>3</v>
      </c>
      <c r="R692">
        <v>4</v>
      </c>
      <c r="S692">
        <v>7</v>
      </c>
      <c r="T692">
        <v>224</v>
      </c>
      <c r="U692" t="s">
        <v>2162</v>
      </c>
      <c r="W692" t="s">
        <v>2208</v>
      </c>
      <c r="X692" t="s">
        <v>2210</v>
      </c>
      <c r="Y692" t="s">
        <v>2212</v>
      </c>
      <c r="Z692" s="1">
        <v>45312</v>
      </c>
      <c r="AA692" s="1">
        <v>45325</v>
      </c>
      <c r="AB692" t="s">
        <v>2214</v>
      </c>
      <c r="AC692" t="s">
        <v>2209</v>
      </c>
      <c r="AD692" t="s">
        <v>2216</v>
      </c>
      <c r="AE692" t="s">
        <v>2162</v>
      </c>
      <c r="AG692" t="s">
        <v>2220</v>
      </c>
      <c r="AH692">
        <v>14</v>
      </c>
      <c r="AI692">
        <v>27</v>
      </c>
      <c r="AJ692">
        <v>13</v>
      </c>
      <c r="AK692">
        <v>1</v>
      </c>
      <c r="AL692" t="s">
        <v>2233</v>
      </c>
      <c r="AM692">
        <v>0</v>
      </c>
      <c r="AN692" t="s">
        <v>2176</v>
      </c>
      <c r="AO692" t="s">
        <v>2176</v>
      </c>
      <c r="AP692" t="s">
        <v>2176</v>
      </c>
      <c r="AQ692">
        <v>7.8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4.2</v>
      </c>
      <c r="AY692">
        <v>4.2</v>
      </c>
      <c r="AZ692">
        <v>3</v>
      </c>
      <c r="BA692">
        <v>0</v>
      </c>
      <c r="BB692">
        <v>26</v>
      </c>
      <c r="BC692">
        <v>27</v>
      </c>
      <c r="BD692">
        <v>23.19</v>
      </c>
      <c r="BE692">
        <v>113</v>
      </c>
      <c r="BF692">
        <v>89.2</v>
      </c>
      <c r="BG692">
        <v>26</v>
      </c>
      <c r="BH692">
        <v>27</v>
      </c>
      <c r="BI692">
        <v>23.19</v>
      </c>
      <c r="BJ692">
        <v>113</v>
      </c>
      <c r="BK692">
        <v>89.2</v>
      </c>
      <c r="BL692">
        <v>113</v>
      </c>
      <c r="BM692">
        <v>1.0298</v>
      </c>
    </row>
    <row r="693" spans="1:65" x14ac:dyDescent="0.25">
      <c r="A693" t="s">
        <v>756</v>
      </c>
      <c r="B693" t="s">
        <v>1736</v>
      </c>
      <c r="C693" t="s">
        <v>2158</v>
      </c>
      <c r="D693" s="1">
        <v>45519</v>
      </c>
      <c r="E693" s="1">
        <v>45577</v>
      </c>
      <c r="F693" s="1">
        <v>45607</v>
      </c>
      <c r="G693" t="s">
        <v>2165</v>
      </c>
      <c r="I693" t="s">
        <v>2174</v>
      </c>
      <c r="J693">
        <v>1824</v>
      </c>
      <c r="K693">
        <v>54</v>
      </c>
      <c r="L693">
        <v>3.1</v>
      </c>
      <c r="M693">
        <v>4.0999999999999996</v>
      </c>
      <c r="N693">
        <v>1</v>
      </c>
      <c r="O693">
        <v>3153</v>
      </c>
      <c r="P693" t="s">
        <v>2176</v>
      </c>
      <c r="Q693">
        <v>2</v>
      </c>
      <c r="R693">
        <v>2</v>
      </c>
      <c r="S693">
        <v>3</v>
      </c>
      <c r="T693">
        <v>260</v>
      </c>
      <c r="U693" t="s">
        <v>2165</v>
      </c>
      <c r="W693" t="s">
        <v>2208</v>
      </c>
      <c r="X693" t="s">
        <v>2210</v>
      </c>
      <c r="Y693" t="s">
        <v>2212</v>
      </c>
      <c r="Z693" s="1">
        <v>45584</v>
      </c>
      <c r="AA693" s="1">
        <v>45603</v>
      </c>
      <c r="AB693" t="s">
        <v>2214</v>
      </c>
      <c r="AC693" t="s">
        <v>2209</v>
      </c>
      <c r="AD693" t="s">
        <v>2216</v>
      </c>
      <c r="AE693" t="s">
        <v>2165</v>
      </c>
      <c r="AG693" t="s">
        <v>2220</v>
      </c>
      <c r="AH693">
        <v>7</v>
      </c>
      <c r="AI693">
        <v>26</v>
      </c>
      <c r="AJ693">
        <v>19</v>
      </c>
      <c r="AK693">
        <v>10</v>
      </c>
      <c r="AL693" t="s">
        <v>2230</v>
      </c>
      <c r="AM693">
        <v>1</v>
      </c>
      <c r="AN693" t="s">
        <v>2176</v>
      </c>
      <c r="AO693" t="s">
        <v>2176</v>
      </c>
      <c r="AP693" t="s">
        <v>2176</v>
      </c>
      <c r="AQ693">
        <v>12.71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4.5999999999999996</v>
      </c>
      <c r="AY693">
        <v>4.5999999999999996</v>
      </c>
      <c r="AZ693">
        <v>2</v>
      </c>
      <c r="BA693">
        <v>0</v>
      </c>
      <c r="BB693">
        <v>43</v>
      </c>
      <c r="BC693">
        <v>27</v>
      </c>
      <c r="BD693">
        <v>37.33</v>
      </c>
      <c r="BE693">
        <v>194</v>
      </c>
      <c r="BF693">
        <v>86.8</v>
      </c>
      <c r="BG693">
        <v>43</v>
      </c>
      <c r="BH693">
        <v>27</v>
      </c>
      <c r="BI693">
        <v>37.33</v>
      </c>
      <c r="BJ693">
        <v>194</v>
      </c>
      <c r="BK693">
        <v>86.8</v>
      </c>
      <c r="BL693">
        <v>194</v>
      </c>
      <c r="BM693">
        <v>0.34820000000000001</v>
      </c>
    </row>
    <row r="694" spans="1:65" x14ac:dyDescent="0.25">
      <c r="A694" t="s">
        <v>757</v>
      </c>
      <c r="B694" t="s">
        <v>1737</v>
      </c>
      <c r="C694" t="s">
        <v>2159</v>
      </c>
      <c r="D694" s="1">
        <v>45300</v>
      </c>
      <c r="E694" s="1">
        <v>45326</v>
      </c>
      <c r="F694" s="1">
        <v>45377</v>
      </c>
      <c r="G694" t="s">
        <v>2166</v>
      </c>
      <c r="I694" t="s">
        <v>2176</v>
      </c>
      <c r="J694">
        <v>4103</v>
      </c>
      <c r="K694">
        <v>123</v>
      </c>
      <c r="L694">
        <v>4.9000000000000004</v>
      </c>
      <c r="M694">
        <v>6.4</v>
      </c>
      <c r="N694">
        <v>2</v>
      </c>
      <c r="O694">
        <v>4109</v>
      </c>
      <c r="P694" t="s">
        <v>2176</v>
      </c>
      <c r="Q694">
        <v>4</v>
      </c>
      <c r="R694">
        <v>5</v>
      </c>
      <c r="S694">
        <v>7</v>
      </c>
      <c r="T694">
        <v>256</v>
      </c>
      <c r="U694" t="s">
        <v>2166</v>
      </c>
      <c r="W694" t="s">
        <v>2208</v>
      </c>
      <c r="X694" t="s">
        <v>2210</v>
      </c>
      <c r="Y694" t="s">
        <v>2212</v>
      </c>
      <c r="Z694" s="1">
        <v>45342</v>
      </c>
      <c r="AA694" s="1">
        <v>45357</v>
      </c>
      <c r="AB694" t="s">
        <v>2214</v>
      </c>
      <c r="AC694" t="s">
        <v>2209</v>
      </c>
      <c r="AD694" t="s">
        <v>2216</v>
      </c>
      <c r="AE694" t="s">
        <v>2166</v>
      </c>
      <c r="AG694" t="s">
        <v>2220</v>
      </c>
      <c r="AH694">
        <v>16</v>
      </c>
      <c r="AI694">
        <v>31</v>
      </c>
      <c r="AJ694">
        <v>15</v>
      </c>
      <c r="AK694">
        <v>2</v>
      </c>
      <c r="AL694" t="s">
        <v>2228</v>
      </c>
      <c r="AM694">
        <v>0</v>
      </c>
      <c r="AN694" t="s">
        <v>2176</v>
      </c>
      <c r="AO694" t="s">
        <v>2176</v>
      </c>
      <c r="AP694" t="s">
        <v>2176</v>
      </c>
      <c r="AQ694">
        <v>31.36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4.8</v>
      </c>
      <c r="AY694">
        <v>4.8</v>
      </c>
      <c r="AZ694">
        <v>0</v>
      </c>
      <c r="BA694">
        <v>1</v>
      </c>
      <c r="BB694">
        <v>40</v>
      </c>
      <c r="BC694">
        <v>24</v>
      </c>
      <c r="BD694">
        <v>35.54</v>
      </c>
      <c r="BE694">
        <v>160</v>
      </c>
      <c r="BF694">
        <v>88.8</v>
      </c>
      <c r="BG694">
        <v>40</v>
      </c>
      <c r="BH694">
        <v>24</v>
      </c>
      <c r="BI694">
        <v>35.54</v>
      </c>
      <c r="BJ694">
        <v>160</v>
      </c>
      <c r="BK694">
        <v>88.8</v>
      </c>
      <c r="BL694">
        <v>160</v>
      </c>
      <c r="BM694">
        <v>1.0682</v>
      </c>
    </row>
    <row r="695" spans="1:65" x14ac:dyDescent="0.25">
      <c r="A695" t="s">
        <v>758</v>
      </c>
      <c r="B695" t="s">
        <v>1738</v>
      </c>
      <c r="C695" t="s">
        <v>2159</v>
      </c>
      <c r="D695" s="1">
        <v>45325</v>
      </c>
      <c r="E695" s="1">
        <v>45363</v>
      </c>
      <c r="F695" s="1">
        <v>45404</v>
      </c>
      <c r="G695" t="s">
        <v>2164</v>
      </c>
      <c r="I695" t="s">
        <v>2176</v>
      </c>
      <c r="J695">
        <v>1047</v>
      </c>
      <c r="K695">
        <v>31</v>
      </c>
      <c r="L695">
        <v>5.0999999999999996</v>
      </c>
      <c r="M695">
        <v>7.4</v>
      </c>
      <c r="N695">
        <v>1</v>
      </c>
      <c r="O695">
        <v>3032</v>
      </c>
      <c r="P695" t="s">
        <v>2176</v>
      </c>
      <c r="Q695">
        <v>0</v>
      </c>
      <c r="R695">
        <v>0</v>
      </c>
      <c r="S695">
        <v>2</v>
      </c>
      <c r="T695">
        <v>523</v>
      </c>
      <c r="U695" t="s">
        <v>2164</v>
      </c>
      <c r="W695" t="s">
        <v>2208</v>
      </c>
      <c r="X695" t="s">
        <v>2210</v>
      </c>
      <c r="Y695" t="s">
        <v>2212</v>
      </c>
      <c r="Z695" s="1">
        <v>45365</v>
      </c>
      <c r="AA695" s="1">
        <v>45382</v>
      </c>
      <c r="AB695" t="s">
        <v>2214</v>
      </c>
      <c r="AC695" t="s">
        <v>2209</v>
      </c>
      <c r="AD695" t="s">
        <v>2216</v>
      </c>
      <c r="AE695" t="s">
        <v>2164</v>
      </c>
      <c r="AG695" t="s">
        <v>2220</v>
      </c>
      <c r="AH695">
        <v>2</v>
      </c>
      <c r="AI695">
        <v>19</v>
      </c>
      <c r="AJ695">
        <v>17</v>
      </c>
      <c r="AK695">
        <v>3</v>
      </c>
      <c r="AL695" t="s">
        <v>2227</v>
      </c>
      <c r="AM695">
        <v>0</v>
      </c>
      <c r="AN695" t="s">
        <v>2177</v>
      </c>
      <c r="AO695" t="s">
        <v>2176</v>
      </c>
      <c r="AP695" t="s">
        <v>2176</v>
      </c>
      <c r="AQ695">
        <v>37.74</v>
      </c>
      <c r="AR695">
        <v>1</v>
      </c>
      <c r="AS695">
        <v>2</v>
      </c>
      <c r="AT695">
        <v>1</v>
      </c>
      <c r="AU695">
        <v>1</v>
      </c>
      <c r="AV695">
        <v>1.333333333333333</v>
      </c>
      <c r="AW695">
        <v>4.5</v>
      </c>
      <c r="AY695">
        <v>4.5</v>
      </c>
      <c r="AZ695">
        <v>0</v>
      </c>
      <c r="BA695">
        <v>1</v>
      </c>
      <c r="BB695">
        <v>30</v>
      </c>
      <c r="BC695">
        <v>26</v>
      </c>
      <c r="BD695">
        <v>26.31</v>
      </c>
      <c r="BE695">
        <v>128</v>
      </c>
      <c r="BF695">
        <v>87.7</v>
      </c>
      <c r="BG695">
        <v>30</v>
      </c>
      <c r="BH695">
        <v>26</v>
      </c>
      <c r="BI695">
        <v>26.31</v>
      </c>
      <c r="BJ695">
        <v>128</v>
      </c>
      <c r="BK695">
        <v>87.7</v>
      </c>
      <c r="BL695">
        <v>128</v>
      </c>
      <c r="BM695">
        <v>0.3145</v>
      </c>
    </row>
    <row r="696" spans="1:65" x14ac:dyDescent="0.25">
      <c r="A696" t="s">
        <v>759</v>
      </c>
      <c r="B696" t="s">
        <v>1739</v>
      </c>
      <c r="C696" t="s">
        <v>2159</v>
      </c>
      <c r="D696" s="1">
        <v>45368</v>
      </c>
      <c r="E696" s="1">
        <v>45415</v>
      </c>
      <c r="F696" s="1">
        <v>45450</v>
      </c>
      <c r="G696" t="s">
        <v>2166</v>
      </c>
      <c r="I696" t="s">
        <v>2176</v>
      </c>
      <c r="J696">
        <v>3235</v>
      </c>
      <c r="K696">
        <v>97</v>
      </c>
      <c r="L696">
        <v>7.6</v>
      </c>
      <c r="M696">
        <v>6.4</v>
      </c>
      <c r="N696">
        <v>2</v>
      </c>
      <c r="O696">
        <v>4262</v>
      </c>
      <c r="P696" t="s">
        <v>2176</v>
      </c>
      <c r="Q696">
        <v>3</v>
      </c>
      <c r="R696">
        <v>4</v>
      </c>
      <c r="S696">
        <v>7</v>
      </c>
      <c r="T696">
        <v>231</v>
      </c>
      <c r="U696" t="s">
        <v>2166</v>
      </c>
      <c r="W696" t="s">
        <v>2208</v>
      </c>
      <c r="X696" t="s">
        <v>2210</v>
      </c>
      <c r="Y696" t="s">
        <v>2212</v>
      </c>
      <c r="Z696" s="1">
        <v>45429</v>
      </c>
      <c r="AA696" s="1">
        <v>45447</v>
      </c>
      <c r="AB696" t="s">
        <v>2214</v>
      </c>
      <c r="AC696" t="s">
        <v>2209</v>
      </c>
      <c r="AD696" t="s">
        <v>2216</v>
      </c>
      <c r="AE696" t="s">
        <v>2166</v>
      </c>
      <c r="AG696" t="s">
        <v>2220</v>
      </c>
      <c r="AH696">
        <v>14</v>
      </c>
      <c r="AI696">
        <v>32</v>
      </c>
      <c r="AJ696">
        <v>18</v>
      </c>
      <c r="AK696">
        <v>5</v>
      </c>
      <c r="AL696" t="s">
        <v>2224</v>
      </c>
      <c r="AM696">
        <v>0</v>
      </c>
      <c r="AN696" t="s">
        <v>2177</v>
      </c>
      <c r="AO696" t="s">
        <v>2176</v>
      </c>
      <c r="AP696" t="s">
        <v>2176</v>
      </c>
      <c r="AQ696">
        <v>48.64</v>
      </c>
      <c r="AR696">
        <v>1</v>
      </c>
      <c r="AS696">
        <v>2</v>
      </c>
      <c r="AT696">
        <v>1</v>
      </c>
      <c r="AU696">
        <v>1</v>
      </c>
      <c r="AV696">
        <v>1.333333333333333</v>
      </c>
      <c r="AW696">
        <v>4.8</v>
      </c>
      <c r="AY696">
        <v>4.8</v>
      </c>
      <c r="AZ696">
        <v>0</v>
      </c>
      <c r="BA696">
        <v>1</v>
      </c>
      <c r="BB696">
        <v>43</v>
      </c>
      <c r="BC696">
        <v>27</v>
      </c>
      <c r="BD696">
        <v>37.299999999999997</v>
      </c>
      <c r="BE696">
        <v>193</v>
      </c>
      <c r="BF696">
        <v>86.7</v>
      </c>
      <c r="BG696">
        <v>43</v>
      </c>
      <c r="BH696">
        <v>27</v>
      </c>
      <c r="BI696">
        <v>37.299999999999997</v>
      </c>
      <c r="BJ696">
        <v>193</v>
      </c>
      <c r="BK696">
        <v>86.7</v>
      </c>
      <c r="BL696">
        <v>193</v>
      </c>
      <c r="BM696">
        <v>0.62070000000000003</v>
      </c>
    </row>
    <row r="697" spans="1:65" x14ac:dyDescent="0.25">
      <c r="A697" t="s">
        <v>760</v>
      </c>
      <c r="B697" t="s">
        <v>1740</v>
      </c>
      <c r="C697" t="s">
        <v>2159</v>
      </c>
      <c r="D697" s="1">
        <v>45400</v>
      </c>
      <c r="E697" s="1">
        <v>45431</v>
      </c>
      <c r="F697" s="1">
        <v>45467</v>
      </c>
      <c r="G697" t="s">
        <v>2162</v>
      </c>
      <c r="I697" t="s">
        <v>2174</v>
      </c>
      <c r="J697">
        <v>2474</v>
      </c>
      <c r="K697">
        <v>74</v>
      </c>
      <c r="L697">
        <v>3.7</v>
      </c>
      <c r="M697">
        <v>7.6</v>
      </c>
      <c r="N697">
        <v>1</v>
      </c>
      <c r="O697">
        <v>1071</v>
      </c>
      <c r="P697" t="s">
        <v>2176</v>
      </c>
      <c r="Q697">
        <v>1</v>
      </c>
      <c r="R697">
        <v>1</v>
      </c>
      <c r="S697">
        <v>4</v>
      </c>
      <c r="T697">
        <v>412</v>
      </c>
      <c r="U697" t="s">
        <v>2162</v>
      </c>
      <c r="W697" t="s">
        <v>2208</v>
      </c>
      <c r="X697" t="s">
        <v>2210</v>
      </c>
      <c r="Y697" t="s">
        <v>2212</v>
      </c>
      <c r="Z697" s="1">
        <v>45437</v>
      </c>
      <c r="AA697" s="1">
        <v>45455</v>
      </c>
      <c r="AB697" t="s">
        <v>2214</v>
      </c>
      <c r="AC697" t="s">
        <v>2209</v>
      </c>
      <c r="AD697" t="s">
        <v>2216</v>
      </c>
      <c r="AE697" t="s">
        <v>2162</v>
      </c>
      <c r="AG697" t="s">
        <v>2220</v>
      </c>
      <c r="AH697">
        <v>6</v>
      </c>
      <c r="AI697">
        <v>24</v>
      </c>
      <c r="AJ697">
        <v>18</v>
      </c>
      <c r="AK697">
        <v>5</v>
      </c>
      <c r="AL697" t="s">
        <v>2224</v>
      </c>
      <c r="AM697">
        <v>0</v>
      </c>
      <c r="AN697" t="s">
        <v>2176</v>
      </c>
      <c r="AO697" t="s">
        <v>2176</v>
      </c>
      <c r="AP697" t="s">
        <v>2176</v>
      </c>
      <c r="AQ697">
        <v>28.12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4.2</v>
      </c>
      <c r="AY697">
        <v>4.2</v>
      </c>
      <c r="AZ697">
        <v>0</v>
      </c>
      <c r="BA697">
        <v>0</v>
      </c>
      <c r="BB697">
        <v>24</v>
      </c>
      <c r="BC697">
        <v>27</v>
      </c>
      <c r="BD697">
        <v>21.44</v>
      </c>
      <c r="BE697">
        <v>108</v>
      </c>
      <c r="BF697">
        <v>89.3</v>
      </c>
      <c r="BG697">
        <v>24</v>
      </c>
      <c r="BH697">
        <v>27</v>
      </c>
      <c r="BI697">
        <v>21.44</v>
      </c>
      <c r="BJ697">
        <v>108</v>
      </c>
      <c r="BK697">
        <v>89.3</v>
      </c>
      <c r="BL697">
        <v>108</v>
      </c>
      <c r="BM697">
        <v>0.84809999999999997</v>
      </c>
    </row>
    <row r="698" spans="1:65" x14ac:dyDescent="0.25">
      <c r="A698" t="s">
        <v>761</v>
      </c>
      <c r="B698" t="s">
        <v>1741</v>
      </c>
      <c r="C698" t="s">
        <v>2159</v>
      </c>
      <c r="D698" s="1">
        <v>45387</v>
      </c>
      <c r="E698" s="1">
        <v>45419</v>
      </c>
      <c r="F698" s="1">
        <v>45466</v>
      </c>
      <c r="G698" t="s">
        <v>2164</v>
      </c>
      <c r="I698" t="s">
        <v>2176</v>
      </c>
      <c r="J698">
        <v>2822</v>
      </c>
      <c r="K698">
        <v>84</v>
      </c>
      <c r="L698">
        <v>2.2000000000000002</v>
      </c>
      <c r="M698">
        <v>3.5</v>
      </c>
      <c r="N698">
        <v>2</v>
      </c>
      <c r="O698">
        <v>4558</v>
      </c>
      <c r="P698" t="s">
        <v>2176</v>
      </c>
      <c r="Q698">
        <v>2</v>
      </c>
      <c r="R698">
        <v>2</v>
      </c>
      <c r="S698">
        <v>4</v>
      </c>
      <c r="T698">
        <v>352</v>
      </c>
      <c r="U698" t="s">
        <v>2164</v>
      </c>
      <c r="W698" t="s">
        <v>2208</v>
      </c>
      <c r="X698" t="s">
        <v>2210</v>
      </c>
      <c r="Y698" t="s">
        <v>2212</v>
      </c>
      <c r="Z698" s="1">
        <v>45427</v>
      </c>
      <c r="AA698" s="1">
        <v>45446</v>
      </c>
      <c r="AB698" t="s">
        <v>2214</v>
      </c>
      <c r="AC698" t="s">
        <v>2209</v>
      </c>
      <c r="AD698" t="s">
        <v>2216</v>
      </c>
      <c r="AE698" t="s">
        <v>2164</v>
      </c>
      <c r="AG698" t="s">
        <v>2220</v>
      </c>
      <c r="AH698">
        <v>8</v>
      </c>
      <c r="AI698">
        <v>27</v>
      </c>
      <c r="AJ698">
        <v>19</v>
      </c>
      <c r="AK698">
        <v>5</v>
      </c>
      <c r="AL698" t="s">
        <v>2224</v>
      </c>
      <c r="AM698">
        <v>0</v>
      </c>
      <c r="AN698" t="s">
        <v>2176</v>
      </c>
      <c r="AO698" t="s">
        <v>2176</v>
      </c>
      <c r="AP698" t="s">
        <v>2176</v>
      </c>
      <c r="AQ698">
        <v>7.7000000000000011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4.5</v>
      </c>
      <c r="AY698">
        <v>4.5</v>
      </c>
      <c r="AZ698">
        <v>0</v>
      </c>
      <c r="BA698">
        <v>1</v>
      </c>
      <c r="BB698">
        <v>35</v>
      </c>
      <c r="BC698">
        <v>27</v>
      </c>
      <c r="BD698">
        <v>30.96</v>
      </c>
      <c r="BE698">
        <v>158</v>
      </c>
      <c r="BF698">
        <v>88.5</v>
      </c>
      <c r="BG698">
        <v>35</v>
      </c>
      <c r="BH698">
        <v>27</v>
      </c>
      <c r="BI698">
        <v>30.96</v>
      </c>
      <c r="BJ698">
        <v>158</v>
      </c>
      <c r="BK698">
        <v>88.5</v>
      </c>
      <c r="BL698">
        <v>158</v>
      </c>
      <c r="BM698">
        <v>0.66139999999999999</v>
      </c>
    </row>
    <row r="699" spans="1:65" x14ac:dyDescent="0.25">
      <c r="A699" t="s">
        <v>762</v>
      </c>
      <c r="B699" t="s">
        <v>1742</v>
      </c>
      <c r="C699" t="s">
        <v>2159</v>
      </c>
      <c r="D699" s="1">
        <v>45497</v>
      </c>
      <c r="E699" s="1">
        <v>45539</v>
      </c>
      <c r="F699" s="1">
        <v>45591</v>
      </c>
      <c r="G699" t="s">
        <v>2165</v>
      </c>
      <c r="I699" t="s">
        <v>2176</v>
      </c>
      <c r="J699">
        <v>4697</v>
      </c>
      <c r="K699">
        <v>140</v>
      </c>
      <c r="L699">
        <v>3.6</v>
      </c>
      <c r="M699">
        <v>5.3</v>
      </c>
      <c r="N699">
        <v>1</v>
      </c>
      <c r="O699">
        <v>4129</v>
      </c>
      <c r="P699" t="s">
        <v>2176</v>
      </c>
      <c r="Q699">
        <v>4</v>
      </c>
      <c r="R699">
        <v>5</v>
      </c>
      <c r="S699">
        <v>7</v>
      </c>
      <c r="T699">
        <v>293</v>
      </c>
      <c r="U699" t="s">
        <v>2165</v>
      </c>
      <c r="W699" t="s">
        <v>2208</v>
      </c>
      <c r="X699" t="s">
        <v>2210</v>
      </c>
      <c r="Y699" t="s">
        <v>2212</v>
      </c>
      <c r="Z699" s="1">
        <v>45555</v>
      </c>
      <c r="AA699" s="1">
        <v>45569</v>
      </c>
      <c r="AB699" t="s">
        <v>2214</v>
      </c>
      <c r="AC699" t="s">
        <v>2209</v>
      </c>
      <c r="AD699" t="s">
        <v>2216</v>
      </c>
      <c r="AE699" t="s">
        <v>2165</v>
      </c>
      <c r="AG699" t="s">
        <v>2220</v>
      </c>
      <c r="AH699">
        <v>16</v>
      </c>
      <c r="AI699">
        <v>30</v>
      </c>
      <c r="AJ699">
        <v>14</v>
      </c>
      <c r="AK699">
        <v>9</v>
      </c>
      <c r="AL699" t="s">
        <v>2234</v>
      </c>
      <c r="AM699">
        <v>0</v>
      </c>
      <c r="AN699" t="s">
        <v>2176</v>
      </c>
      <c r="AO699" t="s">
        <v>2176</v>
      </c>
      <c r="AP699" t="s">
        <v>2176</v>
      </c>
      <c r="AQ699">
        <v>19.079999999999998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4.5999999999999996</v>
      </c>
      <c r="AY699">
        <v>4.5999999999999996</v>
      </c>
      <c r="AZ699">
        <v>0</v>
      </c>
      <c r="BA699">
        <v>1</v>
      </c>
      <c r="BB699">
        <v>45</v>
      </c>
      <c r="BC699">
        <v>26</v>
      </c>
      <c r="BD699">
        <v>39.85</v>
      </c>
      <c r="BE699">
        <v>196</v>
      </c>
      <c r="BF699">
        <v>88.6</v>
      </c>
      <c r="BG699">
        <v>45</v>
      </c>
      <c r="BH699">
        <v>26</v>
      </c>
      <c r="BI699">
        <v>39.85</v>
      </c>
      <c r="BJ699">
        <v>196</v>
      </c>
      <c r="BK699">
        <v>88.6</v>
      </c>
      <c r="BL699">
        <v>196</v>
      </c>
      <c r="BM699">
        <v>0.92149999999999999</v>
      </c>
    </row>
    <row r="700" spans="1:65" x14ac:dyDescent="0.25">
      <c r="A700" t="s">
        <v>763</v>
      </c>
      <c r="B700" t="s">
        <v>1743</v>
      </c>
      <c r="C700" t="s">
        <v>2160</v>
      </c>
      <c r="D700" s="1">
        <v>45486</v>
      </c>
      <c r="E700" s="1">
        <v>45522</v>
      </c>
      <c r="F700" s="1">
        <v>45568</v>
      </c>
      <c r="G700" t="s">
        <v>2164</v>
      </c>
      <c r="I700" t="s">
        <v>2176</v>
      </c>
      <c r="J700">
        <v>4545</v>
      </c>
      <c r="K700">
        <v>136</v>
      </c>
      <c r="L700">
        <v>6.6</v>
      </c>
      <c r="M700">
        <v>6.2</v>
      </c>
      <c r="N700">
        <v>2</v>
      </c>
      <c r="O700">
        <v>3805</v>
      </c>
      <c r="P700" t="s">
        <v>2176</v>
      </c>
      <c r="Q700">
        <v>3</v>
      </c>
      <c r="R700">
        <v>4</v>
      </c>
      <c r="S700">
        <v>8</v>
      </c>
      <c r="T700">
        <v>303</v>
      </c>
      <c r="U700" t="s">
        <v>2164</v>
      </c>
      <c r="W700" t="s">
        <v>2208</v>
      </c>
      <c r="X700" t="s">
        <v>2210</v>
      </c>
      <c r="Y700" t="s">
        <v>2212</v>
      </c>
      <c r="Z700" s="1">
        <v>45537</v>
      </c>
      <c r="AA700" s="1">
        <v>45551</v>
      </c>
      <c r="AB700" t="s">
        <v>2214</v>
      </c>
      <c r="AC700" t="s">
        <v>2209</v>
      </c>
      <c r="AD700" t="s">
        <v>2216</v>
      </c>
      <c r="AE700" t="s">
        <v>2164</v>
      </c>
      <c r="AG700" t="s">
        <v>2220</v>
      </c>
      <c r="AH700">
        <v>15</v>
      </c>
      <c r="AI700">
        <v>29</v>
      </c>
      <c r="AJ700">
        <v>14</v>
      </c>
      <c r="AK700">
        <v>8</v>
      </c>
      <c r="AL700" t="s">
        <v>2232</v>
      </c>
      <c r="AM700">
        <v>0</v>
      </c>
      <c r="AN700" t="s">
        <v>2177</v>
      </c>
      <c r="AO700" t="s">
        <v>2176</v>
      </c>
      <c r="AP700" t="s">
        <v>2176</v>
      </c>
      <c r="AQ700">
        <v>40.92</v>
      </c>
      <c r="AR700">
        <v>1</v>
      </c>
      <c r="AS700">
        <v>2</v>
      </c>
      <c r="AT700">
        <v>1</v>
      </c>
      <c r="AU700">
        <v>1</v>
      </c>
      <c r="AV700">
        <v>1.333333333333333</v>
      </c>
      <c r="AW700">
        <v>4.5</v>
      </c>
      <c r="AY700">
        <v>4.5</v>
      </c>
      <c r="AZ700">
        <v>1</v>
      </c>
      <c r="BA700">
        <v>1</v>
      </c>
      <c r="BB700">
        <v>27</v>
      </c>
      <c r="BC700">
        <v>26</v>
      </c>
      <c r="BD700">
        <v>23.77</v>
      </c>
      <c r="BE700">
        <v>112</v>
      </c>
      <c r="BF700">
        <v>88</v>
      </c>
      <c r="BG700">
        <v>27</v>
      </c>
      <c r="BH700">
        <v>26</v>
      </c>
      <c r="BI700">
        <v>23.77</v>
      </c>
      <c r="BJ700">
        <v>112</v>
      </c>
      <c r="BK700">
        <v>88</v>
      </c>
      <c r="BL700">
        <v>112</v>
      </c>
      <c r="BM700">
        <v>1.5602</v>
      </c>
    </row>
    <row r="701" spans="1:65" x14ac:dyDescent="0.25">
      <c r="A701" t="s">
        <v>764</v>
      </c>
      <c r="B701" t="s">
        <v>1744</v>
      </c>
      <c r="C701" t="s">
        <v>2160</v>
      </c>
      <c r="D701" s="1">
        <v>45503</v>
      </c>
      <c r="E701" s="1">
        <v>45537</v>
      </c>
      <c r="F701" s="1">
        <v>45575</v>
      </c>
      <c r="G701" t="s">
        <v>2161</v>
      </c>
      <c r="I701" t="s">
        <v>2176</v>
      </c>
      <c r="J701">
        <v>3655</v>
      </c>
      <c r="K701">
        <v>109</v>
      </c>
      <c r="L701">
        <v>2.2000000000000002</v>
      </c>
      <c r="M701">
        <v>3.2</v>
      </c>
      <c r="N701">
        <v>1</v>
      </c>
      <c r="O701">
        <v>3983</v>
      </c>
      <c r="P701" t="s">
        <v>2176</v>
      </c>
      <c r="Q701">
        <v>3</v>
      </c>
      <c r="R701">
        <v>4</v>
      </c>
      <c r="S701">
        <v>6</v>
      </c>
      <c r="T701">
        <v>281</v>
      </c>
      <c r="U701" t="s">
        <v>2161</v>
      </c>
      <c r="W701" t="s">
        <v>2208</v>
      </c>
      <c r="X701" t="s">
        <v>2210</v>
      </c>
      <c r="Y701" t="s">
        <v>2212</v>
      </c>
      <c r="Z701" s="1">
        <v>45550</v>
      </c>
      <c r="AA701" s="1">
        <v>45565</v>
      </c>
      <c r="AB701" t="s">
        <v>2214</v>
      </c>
      <c r="AC701" t="s">
        <v>2209</v>
      </c>
      <c r="AD701" t="s">
        <v>2216</v>
      </c>
      <c r="AE701" t="s">
        <v>2161</v>
      </c>
      <c r="AG701" t="s">
        <v>2220</v>
      </c>
      <c r="AH701">
        <v>13</v>
      </c>
      <c r="AI701">
        <v>28</v>
      </c>
      <c r="AJ701">
        <v>15</v>
      </c>
      <c r="AK701">
        <v>9</v>
      </c>
      <c r="AL701" t="s">
        <v>2234</v>
      </c>
      <c r="AM701">
        <v>0</v>
      </c>
      <c r="AN701" t="s">
        <v>2176</v>
      </c>
      <c r="AO701" t="s">
        <v>2176</v>
      </c>
      <c r="AP701" t="s">
        <v>2176</v>
      </c>
      <c r="AQ701">
        <v>7.0400000000000009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4.3</v>
      </c>
      <c r="AY701">
        <v>4.3</v>
      </c>
      <c r="AZ701">
        <v>1</v>
      </c>
      <c r="BA701">
        <v>1</v>
      </c>
      <c r="BB701">
        <v>28</v>
      </c>
      <c r="BC701">
        <v>26</v>
      </c>
      <c r="BD701">
        <v>24.77</v>
      </c>
      <c r="BE701">
        <v>119</v>
      </c>
      <c r="BF701">
        <v>88.5</v>
      </c>
      <c r="BG701">
        <v>28</v>
      </c>
      <c r="BH701">
        <v>26</v>
      </c>
      <c r="BI701">
        <v>24.77</v>
      </c>
      <c r="BJ701">
        <v>119</v>
      </c>
      <c r="BK701">
        <v>88.5</v>
      </c>
      <c r="BL701">
        <v>119</v>
      </c>
      <c r="BM701">
        <v>1.1809000000000001</v>
      </c>
    </row>
    <row r="702" spans="1:65" x14ac:dyDescent="0.25">
      <c r="A702" t="s">
        <v>765</v>
      </c>
      <c r="B702" t="s">
        <v>1745</v>
      </c>
      <c r="C702" t="s">
        <v>2159</v>
      </c>
      <c r="D702" s="1">
        <v>45422</v>
      </c>
      <c r="E702" s="1">
        <v>45450</v>
      </c>
      <c r="F702" s="1">
        <v>45542</v>
      </c>
      <c r="G702" t="s">
        <v>2162</v>
      </c>
      <c r="I702" t="s">
        <v>2175</v>
      </c>
      <c r="J702">
        <v>33435</v>
      </c>
      <c r="K702">
        <v>1003</v>
      </c>
      <c r="L702">
        <v>15.3</v>
      </c>
      <c r="M702">
        <v>14.6</v>
      </c>
      <c r="N702">
        <v>7</v>
      </c>
      <c r="O702">
        <v>18072</v>
      </c>
      <c r="P702" t="s">
        <v>2178</v>
      </c>
      <c r="Q702">
        <v>22</v>
      </c>
      <c r="R702">
        <v>31</v>
      </c>
      <c r="S702">
        <v>57</v>
      </c>
      <c r="T702">
        <v>303</v>
      </c>
      <c r="U702" t="s">
        <v>2205</v>
      </c>
      <c r="W702" t="s">
        <v>2209</v>
      </c>
      <c r="X702" t="s">
        <v>2211</v>
      </c>
      <c r="Y702" t="s">
        <v>2213</v>
      </c>
      <c r="Z702" s="1">
        <v>45560</v>
      </c>
      <c r="AA702" s="1">
        <v>45577</v>
      </c>
      <c r="AB702" t="s">
        <v>2215</v>
      </c>
      <c r="AC702" t="s">
        <v>2208</v>
      </c>
      <c r="AD702" t="s">
        <v>2219</v>
      </c>
      <c r="AE702" t="s">
        <v>2165</v>
      </c>
      <c r="AF702" t="s">
        <v>2164</v>
      </c>
      <c r="AG702" t="s">
        <v>2222</v>
      </c>
      <c r="AH702">
        <v>110</v>
      </c>
      <c r="AI702">
        <v>127</v>
      </c>
      <c r="AJ702">
        <v>17</v>
      </c>
      <c r="AK702">
        <v>6</v>
      </c>
      <c r="AL702" t="s">
        <v>2223</v>
      </c>
      <c r="AM702">
        <v>0</v>
      </c>
      <c r="AN702" t="s">
        <v>2175</v>
      </c>
      <c r="AO702" t="s">
        <v>2175</v>
      </c>
      <c r="AP702" t="s">
        <v>2175</v>
      </c>
      <c r="AQ702">
        <v>223.38</v>
      </c>
      <c r="AR702">
        <v>3</v>
      </c>
      <c r="AS702">
        <v>3</v>
      </c>
      <c r="AT702">
        <v>3</v>
      </c>
      <c r="AU702">
        <v>3</v>
      </c>
      <c r="AV702">
        <v>3</v>
      </c>
      <c r="AW702">
        <v>4.5999999999999996</v>
      </c>
      <c r="AX702">
        <v>4.5</v>
      </c>
      <c r="AY702">
        <v>4.2</v>
      </c>
      <c r="AZ702">
        <v>0</v>
      </c>
      <c r="BA702">
        <v>3</v>
      </c>
      <c r="BB702">
        <v>40</v>
      </c>
      <c r="BC702">
        <v>25</v>
      </c>
      <c r="BD702">
        <v>34.72</v>
      </c>
      <c r="BE702">
        <v>161</v>
      </c>
      <c r="BF702">
        <v>86.8</v>
      </c>
      <c r="BG702">
        <v>29</v>
      </c>
      <c r="BH702">
        <v>25</v>
      </c>
      <c r="BI702">
        <v>25.56</v>
      </c>
      <c r="BJ702">
        <v>117</v>
      </c>
      <c r="BK702">
        <v>88.1</v>
      </c>
      <c r="BL702">
        <v>294</v>
      </c>
      <c r="BM702">
        <v>8.3048000000000002</v>
      </c>
    </row>
    <row r="703" spans="1:65" x14ac:dyDescent="0.25">
      <c r="A703" t="s">
        <v>766</v>
      </c>
      <c r="B703" t="s">
        <v>1746</v>
      </c>
      <c r="C703" t="s">
        <v>2157</v>
      </c>
      <c r="D703" s="1">
        <v>45470</v>
      </c>
      <c r="E703" s="1">
        <v>45521</v>
      </c>
      <c r="F703" s="1">
        <v>45731</v>
      </c>
      <c r="G703" t="s">
        <v>2164</v>
      </c>
      <c r="I703" t="s">
        <v>2175</v>
      </c>
      <c r="J703">
        <v>47888</v>
      </c>
      <c r="K703">
        <v>1436</v>
      </c>
      <c r="L703">
        <v>15.7</v>
      </c>
      <c r="M703">
        <v>13.2</v>
      </c>
      <c r="N703">
        <v>7</v>
      </c>
      <c r="O703">
        <v>17662</v>
      </c>
      <c r="P703" t="s">
        <v>2178</v>
      </c>
      <c r="Q703">
        <v>49</v>
      </c>
      <c r="R703">
        <v>95</v>
      </c>
      <c r="S703">
        <v>71</v>
      </c>
      <c r="T703">
        <v>222</v>
      </c>
      <c r="U703" t="s">
        <v>2198</v>
      </c>
      <c r="W703" t="s">
        <v>2209</v>
      </c>
      <c r="X703" t="s">
        <v>2211</v>
      </c>
      <c r="Y703" t="s">
        <v>2213</v>
      </c>
      <c r="Z703" s="1">
        <v>45736</v>
      </c>
      <c r="AA703" s="1">
        <v>45751</v>
      </c>
      <c r="AB703" t="s">
        <v>2215</v>
      </c>
      <c r="AC703" t="s">
        <v>2208</v>
      </c>
      <c r="AD703" t="s">
        <v>2219</v>
      </c>
      <c r="AE703" t="s">
        <v>2166</v>
      </c>
      <c r="AF703" t="s">
        <v>2161</v>
      </c>
      <c r="AG703" t="s">
        <v>2222</v>
      </c>
      <c r="AH703">
        <v>215</v>
      </c>
      <c r="AI703">
        <v>230</v>
      </c>
      <c r="AJ703">
        <v>15</v>
      </c>
      <c r="AK703">
        <v>8</v>
      </c>
      <c r="AL703" t="s">
        <v>2232</v>
      </c>
      <c r="AM703">
        <v>0</v>
      </c>
      <c r="AN703" t="s">
        <v>2175</v>
      </c>
      <c r="AO703" t="s">
        <v>2175</v>
      </c>
      <c r="AP703" t="s">
        <v>2175</v>
      </c>
      <c r="AQ703">
        <v>207.24</v>
      </c>
      <c r="AR703">
        <v>3</v>
      </c>
      <c r="AS703">
        <v>3</v>
      </c>
      <c r="AT703">
        <v>3</v>
      </c>
      <c r="AU703">
        <v>3</v>
      </c>
      <c r="AV703">
        <v>3</v>
      </c>
      <c r="AW703">
        <v>4.8</v>
      </c>
      <c r="AX703">
        <v>4.3</v>
      </c>
      <c r="AY703">
        <v>4.5</v>
      </c>
      <c r="AZ703">
        <v>3</v>
      </c>
      <c r="BA703">
        <v>3</v>
      </c>
      <c r="BB703">
        <v>41</v>
      </c>
      <c r="BC703">
        <v>26</v>
      </c>
      <c r="BD703">
        <v>36.15</v>
      </c>
      <c r="BE703">
        <v>176</v>
      </c>
      <c r="BF703">
        <v>88.2</v>
      </c>
      <c r="BG703">
        <v>27</v>
      </c>
      <c r="BH703">
        <v>26</v>
      </c>
      <c r="BI703">
        <v>23.77</v>
      </c>
      <c r="BJ703">
        <v>112</v>
      </c>
      <c r="BK703">
        <v>88</v>
      </c>
      <c r="BL703">
        <v>328</v>
      </c>
      <c r="BM703">
        <v>10.4627</v>
      </c>
    </row>
    <row r="704" spans="1:65" x14ac:dyDescent="0.25">
      <c r="A704" t="s">
        <v>767</v>
      </c>
      <c r="B704" t="s">
        <v>1747</v>
      </c>
      <c r="C704" t="s">
        <v>2160</v>
      </c>
      <c r="D704" s="1">
        <v>45455</v>
      </c>
      <c r="E704" s="1">
        <v>45485</v>
      </c>
      <c r="F704" s="1">
        <v>45597</v>
      </c>
      <c r="G704" t="s">
        <v>2164</v>
      </c>
      <c r="I704" t="s">
        <v>2175</v>
      </c>
      <c r="J704">
        <v>33924</v>
      </c>
      <c r="K704">
        <v>1017</v>
      </c>
      <c r="L704">
        <v>13.9</v>
      </c>
      <c r="M704">
        <v>16.5</v>
      </c>
      <c r="N704">
        <v>8</v>
      </c>
      <c r="O704">
        <v>16256</v>
      </c>
      <c r="P704" t="s">
        <v>2178</v>
      </c>
      <c r="Q704">
        <v>25</v>
      </c>
      <c r="R704">
        <v>48</v>
      </c>
      <c r="S704">
        <v>45</v>
      </c>
      <c r="T704">
        <v>287</v>
      </c>
      <c r="U704" t="s">
        <v>2182</v>
      </c>
      <c r="W704" t="s">
        <v>2209</v>
      </c>
      <c r="X704" t="s">
        <v>2211</v>
      </c>
      <c r="Y704" t="s">
        <v>2213</v>
      </c>
      <c r="Z704" s="1">
        <v>45603</v>
      </c>
      <c r="AA704" s="1">
        <v>45618</v>
      </c>
      <c r="AB704" t="s">
        <v>2215</v>
      </c>
      <c r="AC704" t="s">
        <v>2208</v>
      </c>
      <c r="AD704" t="s">
        <v>2219</v>
      </c>
      <c r="AE704" t="s">
        <v>2166</v>
      </c>
      <c r="AF704" t="s">
        <v>2162</v>
      </c>
      <c r="AG704" t="s">
        <v>2222</v>
      </c>
      <c r="AH704">
        <v>118</v>
      </c>
      <c r="AI704">
        <v>133</v>
      </c>
      <c r="AJ704">
        <v>15</v>
      </c>
      <c r="AK704">
        <v>7</v>
      </c>
      <c r="AL704" t="s">
        <v>2226</v>
      </c>
      <c r="AM704">
        <v>0</v>
      </c>
      <c r="AN704" t="s">
        <v>2175</v>
      </c>
      <c r="AO704" t="s">
        <v>2175</v>
      </c>
      <c r="AP704" t="s">
        <v>2175</v>
      </c>
      <c r="AQ704">
        <v>229.35</v>
      </c>
      <c r="AR704">
        <v>3</v>
      </c>
      <c r="AS704">
        <v>3</v>
      </c>
      <c r="AT704">
        <v>3</v>
      </c>
      <c r="AU704">
        <v>3</v>
      </c>
      <c r="AV704">
        <v>3</v>
      </c>
      <c r="AW704">
        <v>4.8</v>
      </c>
      <c r="AX704">
        <v>4.2</v>
      </c>
      <c r="AY704">
        <v>4.5</v>
      </c>
      <c r="AZ704">
        <v>1</v>
      </c>
      <c r="BA704">
        <v>3</v>
      </c>
      <c r="BB704">
        <v>48</v>
      </c>
      <c r="BC704">
        <v>27</v>
      </c>
      <c r="BD704">
        <v>42.33</v>
      </c>
      <c r="BE704">
        <v>216</v>
      </c>
      <c r="BF704">
        <v>88.2</v>
      </c>
      <c r="BG704">
        <v>29</v>
      </c>
      <c r="BH704">
        <v>27</v>
      </c>
      <c r="BI704">
        <v>25.96</v>
      </c>
      <c r="BJ704">
        <v>130</v>
      </c>
      <c r="BK704">
        <v>89.5</v>
      </c>
      <c r="BL704">
        <v>349</v>
      </c>
      <c r="BM704">
        <v>5.8159000000000001</v>
      </c>
    </row>
    <row r="705" spans="1:65" x14ac:dyDescent="0.25">
      <c r="A705" t="s">
        <v>768</v>
      </c>
      <c r="B705" t="s">
        <v>1748</v>
      </c>
      <c r="C705" t="s">
        <v>2157</v>
      </c>
      <c r="D705" s="1">
        <v>45283</v>
      </c>
      <c r="E705" s="1">
        <v>45306</v>
      </c>
      <c r="F705" s="1">
        <v>45493</v>
      </c>
      <c r="G705" t="s">
        <v>2162</v>
      </c>
      <c r="I705" t="s">
        <v>2175</v>
      </c>
      <c r="J705">
        <v>53666</v>
      </c>
      <c r="K705">
        <v>1609</v>
      </c>
      <c r="L705">
        <v>15.6</v>
      </c>
      <c r="M705">
        <v>15.9</v>
      </c>
      <c r="N705">
        <v>8</v>
      </c>
      <c r="O705">
        <v>19033</v>
      </c>
      <c r="P705" t="s">
        <v>2178</v>
      </c>
      <c r="Q705">
        <v>55</v>
      </c>
      <c r="R705">
        <v>78</v>
      </c>
      <c r="S705">
        <v>70</v>
      </c>
      <c r="T705">
        <v>264</v>
      </c>
      <c r="U705" t="s">
        <v>2182</v>
      </c>
      <c r="W705" t="s">
        <v>2209</v>
      </c>
      <c r="X705" t="s">
        <v>2211</v>
      </c>
      <c r="Y705" t="s">
        <v>2213</v>
      </c>
      <c r="Z705" s="1">
        <v>45509</v>
      </c>
      <c r="AA705" s="1">
        <v>45529</v>
      </c>
      <c r="AB705" t="s">
        <v>2215</v>
      </c>
      <c r="AC705" t="s">
        <v>2208</v>
      </c>
      <c r="AD705" t="s">
        <v>2219</v>
      </c>
      <c r="AE705" t="s">
        <v>2166</v>
      </c>
      <c r="AF705" t="s">
        <v>2162</v>
      </c>
      <c r="AG705" t="s">
        <v>2222</v>
      </c>
      <c r="AH705">
        <v>203</v>
      </c>
      <c r="AI705">
        <v>223</v>
      </c>
      <c r="AJ705">
        <v>20</v>
      </c>
      <c r="AK705">
        <v>1</v>
      </c>
      <c r="AL705" t="s">
        <v>2233</v>
      </c>
      <c r="AM705">
        <v>0</v>
      </c>
      <c r="AN705" t="s">
        <v>2175</v>
      </c>
      <c r="AO705" t="s">
        <v>2175</v>
      </c>
      <c r="AP705" t="s">
        <v>2175</v>
      </c>
      <c r="AQ705">
        <v>248.04</v>
      </c>
      <c r="AR705">
        <v>3</v>
      </c>
      <c r="AS705">
        <v>3</v>
      </c>
      <c r="AT705">
        <v>3</v>
      </c>
      <c r="AU705">
        <v>3</v>
      </c>
      <c r="AV705">
        <v>3</v>
      </c>
      <c r="AW705">
        <v>4.8</v>
      </c>
      <c r="AX705">
        <v>4.2</v>
      </c>
      <c r="AY705">
        <v>4.2</v>
      </c>
      <c r="AZ705">
        <v>3</v>
      </c>
      <c r="BA705">
        <v>3</v>
      </c>
      <c r="BB705">
        <v>40</v>
      </c>
      <c r="BC705">
        <v>27</v>
      </c>
      <c r="BD705">
        <v>35.07</v>
      </c>
      <c r="BE705">
        <v>181</v>
      </c>
      <c r="BF705">
        <v>87.7</v>
      </c>
      <c r="BG705">
        <v>26</v>
      </c>
      <c r="BH705">
        <v>27</v>
      </c>
      <c r="BI705">
        <v>23.19</v>
      </c>
      <c r="BJ705">
        <v>113</v>
      </c>
      <c r="BK705">
        <v>89.2</v>
      </c>
      <c r="BL705">
        <v>294</v>
      </c>
      <c r="BM705">
        <v>10.979100000000001</v>
      </c>
    </row>
    <row r="706" spans="1:65" x14ac:dyDescent="0.25">
      <c r="A706" t="s">
        <v>769</v>
      </c>
      <c r="B706" t="s">
        <v>1749</v>
      </c>
      <c r="C706" t="s">
        <v>2160</v>
      </c>
      <c r="D706" s="1">
        <v>45549</v>
      </c>
      <c r="E706" s="1">
        <v>45569</v>
      </c>
      <c r="F706" s="1">
        <v>45709</v>
      </c>
      <c r="G706" t="s">
        <v>2162</v>
      </c>
      <c r="I706" t="s">
        <v>2175</v>
      </c>
      <c r="J706">
        <v>41939</v>
      </c>
      <c r="K706">
        <v>1258</v>
      </c>
      <c r="L706">
        <v>16.2</v>
      </c>
      <c r="M706">
        <v>15.7</v>
      </c>
      <c r="N706">
        <v>7</v>
      </c>
      <c r="O706">
        <v>16378</v>
      </c>
      <c r="P706" t="s">
        <v>2178</v>
      </c>
      <c r="Q706">
        <v>35</v>
      </c>
      <c r="R706">
        <v>49</v>
      </c>
      <c r="S706">
        <v>61</v>
      </c>
      <c r="T706">
        <v>289</v>
      </c>
      <c r="U706" t="s">
        <v>2189</v>
      </c>
      <c r="W706" t="s">
        <v>2209</v>
      </c>
      <c r="X706" t="s">
        <v>2211</v>
      </c>
      <c r="Y706" t="s">
        <v>2213</v>
      </c>
      <c r="Z706" s="1">
        <v>45714</v>
      </c>
      <c r="AA706" s="1">
        <v>45736</v>
      </c>
      <c r="AB706" t="s">
        <v>2215</v>
      </c>
      <c r="AC706" t="s">
        <v>2208</v>
      </c>
      <c r="AD706" t="s">
        <v>2219</v>
      </c>
      <c r="AE706" t="s">
        <v>2165</v>
      </c>
      <c r="AF706" t="s">
        <v>2166</v>
      </c>
      <c r="AG706" t="s">
        <v>2222</v>
      </c>
      <c r="AH706">
        <v>145</v>
      </c>
      <c r="AI706">
        <v>167</v>
      </c>
      <c r="AJ706">
        <v>22</v>
      </c>
      <c r="AK706">
        <v>10</v>
      </c>
      <c r="AL706" t="s">
        <v>2230</v>
      </c>
      <c r="AM706">
        <v>1</v>
      </c>
      <c r="AN706" t="s">
        <v>2175</v>
      </c>
      <c r="AO706" t="s">
        <v>2175</v>
      </c>
      <c r="AP706" t="s">
        <v>2175</v>
      </c>
      <c r="AQ706">
        <v>254.34</v>
      </c>
      <c r="AR706">
        <v>3</v>
      </c>
      <c r="AS706">
        <v>3</v>
      </c>
      <c r="AT706">
        <v>3</v>
      </c>
      <c r="AU706">
        <v>3</v>
      </c>
      <c r="AV706">
        <v>3</v>
      </c>
      <c r="AW706">
        <v>4.5999999999999996</v>
      </c>
      <c r="AX706">
        <v>4.8</v>
      </c>
      <c r="AY706">
        <v>4.2</v>
      </c>
      <c r="AZ706">
        <v>1</v>
      </c>
      <c r="BA706">
        <v>3</v>
      </c>
      <c r="BB706">
        <v>43</v>
      </c>
      <c r="BC706">
        <v>27</v>
      </c>
      <c r="BD706">
        <v>37.33</v>
      </c>
      <c r="BE706">
        <v>194</v>
      </c>
      <c r="BF706">
        <v>86.8</v>
      </c>
      <c r="BG706">
        <v>25</v>
      </c>
      <c r="BH706">
        <v>27</v>
      </c>
      <c r="BI706">
        <v>21.89</v>
      </c>
      <c r="BJ706">
        <v>108</v>
      </c>
      <c r="BK706">
        <v>87.6</v>
      </c>
      <c r="BL706">
        <v>414</v>
      </c>
      <c r="BM706">
        <v>8.0052000000000003</v>
      </c>
    </row>
    <row r="707" spans="1:65" x14ac:dyDescent="0.25">
      <c r="A707" t="s">
        <v>770</v>
      </c>
      <c r="B707" t="s">
        <v>1743</v>
      </c>
      <c r="C707" t="s">
        <v>2160</v>
      </c>
      <c r="D707" s="1">
        <v>45271</v>
      </c>
      <c r="E707" s="1">
        <v>45324</v>
      </c>
      <c r="F707" s="1">
        <v>45493</v>
      </c>
      <c r="G707" t="s">
        <v>2163</v>
      </c>
      <c r="I707" t="s">
        <v>2175</v>
      </c>
      <c r="J707">
        <v>57070</v>
      </c>
      <c r="K707">
        <v>1712</v>
      </c>
      <c r="L707">
        <v>12.4</v>
      </c>
      <c r="M707">
        <v>12.6</v>
      </c>
      <c r="N707">
        <v>7</v>
      </c>
      <c r="O707">
        <v>16398</v>
      </c>
      <c r="P707" t="s">
        <v>2178</v>
      </c>
      <c r="Q707">
        <v>41</v>
      </c>
      <c r="R707">
        <v>66</v>
      </c>
      <c r="S707">
        <v>72</v>
      </c>
      <c r="T707">
        <v>318</v>
      </c>
      <c r="U707" t="s">
        <v>2189</v>
      </c>
      <c r="W707" t="s">
        <v>2209</v>
      </c>
      <c r="X707" t="s">
        <v>2211</v>
      </c>
      <c r="Y707" t="s">
        <v>2213</v>
      </c>
      <c r="Z707" s="1">
        <v>45503</v>
      </c>
      <c r="AA707" s="1">
        <v>45526</v>
      </c>
      <c r="AB707" t="s">
        <v>2215</v>
      </c>
      <c r="AC707" t="s">
        <v>2208</v>
      </c>
      <c r="AD707" t="s">
        <v>2219</v>
      </c>
      <c r="AE707" t="s">
        <v>2165</v>
      </c>
      <c r="AF707" t="s">
        <v>2166</v>
      </c>
      <c r="AG707" t="s">
        <v>2222</v>
      </c>
      <c r="AH707">
        <v>179</v>
      </c>
      <c r="AI707">
        <v>202</v>
      </c>
      <c r="AJ707">
        <v>23</v>
      </c>
      <c r="AK707">
        <v>2</v>
      </c>
      <c r="AL707" t="s">
        <v>2228</v>
      </c>
      <c r="AM707">
        <v>0</v>
      </c>
      <c r="AN707" t="s">
        <v>2175</v>
      </c>
      <c r="AO707" t="s">
        <v>2175</v>
      </c>
      <c r="AP707" t="s">
        <v>2175</v>
      </c>
      <c r="AQ707">
        <v>156.24</v>
      </c>
      <c r="AR707">
        <v>3</v>
      </c>
      <c r="AS707">
        <v>3</v>
      </c>
      <c r="AT707">
        <v>3</v>
      </c>
      <c r="AU707">
        <v>3</v>
      </c>
      <c r="AV707">
        <v>3</v>
      </c>
      <c r="AW707">
        <v>4.5999999999999996</v>
      </c>
      <c r="AX707">
        <v>4.8</v>
      </c>
      <c r="AY707">
        <v>4.4000000000000004</v>
      </c>
      <c r="AZ707">
        <v>1</v>
      </c>
      <c r="BA707">
        <v>3</v>
      </c>
      <c r="BB707">
        <v>36</v>
      </c>
      <c r="BC707">
        <v>24</v>
      </c>
      <c r="BD707">
        <v>31.79</v>
      </c>
      <c r="BE707">
        <v>142</v>
      </c>
      <c r="BF707">
        <v>88.3</v>
      </c>
      <c r="BG707">
        <v>30</v>
      </c>
      <c r="BH707">
        <v>24</v>
      </c>
      <c r="BI707">
        <v>26.21</v>
      </c>
      <c r="BJ707">
        <v>116</v>
      </c>
      <c r="BK707">
        <v>87.4</v>
      </c>
      <c r="BL707">
        <v>302</v>
      </c>
      <c r="BM707">
        <v>16.741</v>
      </c>
    </row>
    <row r="708" spans="1:65" x14ac:dyDescent="0.25">
      <c r="A708" t="s">
        <v>771</v>
      </c>
      <c r="B708" t="s">
        <v>1750</v>
      </c>
      <c r="C708" t="s">
        <v>2158</v>
      </c>
      <c r="D708" s="1">
        <v>45373</v>
      </c>
      <c r="E708" s="1">
        <v>45415</v>
      </c>
      <c r="F708" s="1">
        <v>45569</v>
      </c>
      <c r="G708" t="s">
        <v>2166</v>
      </c>
      <c r="I708" t="s">
        <v>2175</v>
      </c>
      <c r="J708">
        <v>47480</v>
      </c>
      <c r="K708">
        <v>1424</v>
      </c>
      <c r="L708">
        <v>16.899999999999999</v>
      </c>
      <c r="M708">
        <v>16.5</v>
      </c>
      <c r="N708">
        <v>7</v>
      </c>
      <c r="O708">
        <v>16186</v>
      </c>
      <c r="P708" t="s">
        <v>2178</v>
      </c>
      <c r="Q708">
        <v>37</v>
      </c>
      <c r="R708">
        <v>64</v>
      </c>
      <c r="S708">
        <v>65</v>
      </c>
      <c r="T708">
        <v>286</v>
      </c>
      <c r="U708" t="s">
        <v>2205</v>
      </c>
      <c r="W708" t="s">
        <v>2209</v>
      </c>
      <c r="X708" t="s">
        <v>2211</v>
      </c>
      <c r="Y708" t="s">
        <v>2213</v>
      </c>
      <c r="Z708" s="1">
        <v>45581</v>
      </c>
      <c r="AA708" s="1">
        <v>45604</v>
      </c>
      <c r="AB708" t="s">
        <v>2215</v>
      </c>
      <c r="AC708" t="s">
        <v>2208</v>
      </c>
      <c r="AD708" t="s">
        <v>2219</v>
      </c>
      <c r="AE708" t="s">
        <v>2165</v>
      </c>
      <c r="AF708" t="s">
        <v>2164</v>
      </c>
      <c r="AG708" t="s">
        <v>2222</v>
      </c>
      <c r="AH708">
        <v>166</v>
      </c>
      <c r="AI708">
        <v>189</v>
      </c>
      <c r="AJ708">
        <v>23</v>
      </c>
      <c r="AK708">
        <v>5</v>
      </c>
      <c r="AL708" t="s">
        <v>2224</v>
      </c>
      <c r="AM708">
        <v>0</v>
      </c>
      <c r="AN708" t="s">
        <v>2175</v>
      </c>
      <c r="AO708" t="s">
        <v>2175</v>
      </c>
      <c r="AP708" t="s">
        <v>2175</v>
      </c>
      <c r="AQ708">
        <v>278.85000000000002</v>
      </c>
      <c r="AR708">
        <v>3</v>
      </c>
      <c r="AS708">
        <v>3</v>
      </c>
      <c r="AT708">
        <v>3</v>
      </c>
      <c r="AU708">
        <v>3</v>
      </c>
      <c r="AV708">
        <v>3</v>
      </c>
      <c r="AW708">
        <v>4.5999999999999996</v>
      </c>
      <c r="AX708">
        <v>4.5</v>
      </c>
      <c r="AY708">
        <v>4.8</v>
      </c>
      <c r="AZ708">
        <v>2</v>
      </c>
      <c r="BA708">
        <v>3</v>
      </c>
      <c r="BB708">
        <v>36</v>
      </c>
      <c r="BC708">
        <v>27</v>
      </c>
      <c r="BD708">
        <v>31.37</v>
      </c>
      <c r="BE708">
        <v>158</v>
      </c>
      <c r="BF708">
        <v>87.1</v>
      </c>
      <c r="BG708">
        <v>43</v>
      </c>
      <c r="BH708">
        <v>27</v>
      </c>
      <c r="BI708">
        <v>37.299999999999997</v>
      </c>
      <c r="BJ708">
        <v>193</v>
      </c>
      <c r="BK708">
        <v>86.7</v>
      </c>
      <c r="BL708">
        <v>316</v>
      </c>
      <c r="BM708">
        <v>11.1273</v>
      </c>
    </row>
    <row r="709" spans="1:65" x14ac:dyDescent="0.25">
      <c r="A709" t="s">
        <v>772</v>
      </c>
      <c r="B709" t="s">
        <v>1751</v>
      </c>
      <c r="C709" t="s">
        <v>2158</v>
      </c>
      <c r="D709" s="1">
        <v>45356</v>
      </c>
      <c r="E709" s="1">
        <v>45397</v>
      </c>
      <c r="F709" s="1">
        <v>45570</v>
      </c>
      <c r="G709" t="s">
        <v>2164</v>
      </c>
      <c r="I709" t="s">
        <v>2175</v>
      </c>
      <c r="J709">
        <v>42427</v>
      </c>
      <c r="K709">
        <v>1272</v>
      </c>
      <c r="L709">
        <v>14.6</v>
      </c>
      <c r="M709">
        <v>16.399999999999999</v>
      </c>
      <c r="N709">
        <v>8</v>
      </c>
      <c r="O709">
        <v>19244</v>
      </c>
      <c r="P709" t="s">
        <v>2178</v>
      </c>
      <c r="Q709">
        <v>41</v>
      </c>
      <c r="R709">
        <v>65</v>
      </c>
      <c r="S709">
        <v>72</v>
      </c>
      <c r="T709">
        <v>238</v>
      </c>
      <c r="U709" t="s">
        <v>2201</v>
      </c>
      <c r="W709" t="s">
        <v>2209</v>
      </c>
      <c r="X709" t="s">
        <v>2211</v>
      </c>
      <c r="Y709" t="s">
        <v>2213</v>
      </c>
      <c r="Z709" s="1">
        <v>45575</v>
      </c>
      <c r="AA709" s="1">
        <v>45598</v>
      </c>
      <c r="AB709" t="s">
        <v>2215</v>
      </c>
      <c r="AC709" t="s">
        <v>2208</v>
      </c>
      <c r="AD709" t="s">
        <v>2219</v>
      </c>
      <c r="AE709" t="s">
        <v>2165</v>
      </c>
      <c r="AF709" t="s">
        <v>2161</v>
      </c>
      <c r="AG709" t="s">
        <v>2222</v>
      </c>
      <c r="AH709">
        <v>178</v>
      </c>
      <c r="AI709">
        <v>201</v>
      </c>
      <c r="AJ709">
        <v>23</v>
      </c>
      <c r="AK709">
        <v>4</v>
      </c>
      <c r="AL709" t="s">
        <v>2225</v>
      </c>
      <c r="AM709">
        <v>0</v>
      </c>
      <c r="AN709" t="s">
        <v>2175</v>
      </c>
      <c r="AO709" t="s">
        <v>2175</v>
      </c>
      <c r="AP709" t="s">
        <v>2175</v>
      </c>
      <c r="AQ709">
        <v>239.44</v>
      </c>
      <c r="AR709">
        <v>3</v>
      </c>
      <c r="AS709">
        <v>3</v>
      </c>
      <c r="AT709">
        <v>3</v>
      </c>
      <c r="AU709">
        <v>3</v>
      </c>
      <c r="AV709">
        <v>3</v>
      </c>
      <c r="AW709">
        <v>4.5999999999999996</v>
      </c>
      <c r="AX709">
        <v>4.3</v>
      </c>
      <c r="AY709">
        <v>4.5</v>
      </c>
      <c r="AZ709">
        <v>2</v>
      </c>
      <c r="BA709">
        <v>3</v>
      </c>
      <c r="BB709">
        <v>46</v>
      </c>
      <c r="BC709">
        <v>26</v>
      </c>
      <c r="BD709">
        <v>40.729999999999997</v>
      </c>
      <c r="BE709">
        <v>203</v>
      </c>
      <c r="BF709">
        <v>88.5</v>
      </c>
      <c r="BG709">
        <v>30</v>
      </c>
      <c r="BH709">
        <v>26</v>
      </c>
      <c r="BI709">
        <v>26.42</v>
      </c>
      <c r="BJ709">
        <v>126</v>
      </c>
      <c r="BK709">
        <v>88.1</v>
      </c>
      <c r="BL709">
        <v>341</v>
      </c>
      <c r="BM709">
        <v>8.0368999999999993</v>
      </c>
    </row>
    <row r="710" spans="1:65" x14ac:dyDescent="0.25">
      <c r="A710" t="s">
        <v>773</v>
      </c>
      <c r="B710" t="s">
        <v>1752</v>
      </c>
      <c r="C710" t="s">
        <v>2159</v>
      </c>
      <c r="D710" s="1">
        <v>45503</v>
      </c>
      <c r="E710" s="1">
        <v>45545</v>
      </c>
      <c r="F710" s="1">
        <v>45750</v>
      </c>
      <c r="G710" t="s">
        <v>2161</v>
      </c>
      <c r="I710" t="s">
        <v>2175</v>
      </c>
      <c r="J710">
        <v>58128</v>
      </c>
      <c r="K710">
        <v>1743</v>
      </c>
      <c r="L710">
        <v>15.6</v>
      </c>
      <c r="M710">
        <v>14.6</v>
      </c>
      <c r="N710">
        <v>8</v>
      </c>
      <c r="O710">
        <v>15888</v>
      </c>
      <c r="P710" t="s">
        <v>2178</v>
      </c>
      <c r="Q710">
        <v>48</v>
      </c>
      <c r="R710">
        <v>86</v>
      </c>
      <c r="S710">
        <v>89</v>
      </c>
      <c r="T710">
        <v>260</v>
      </c>
      <c r="U710" t="s">
        <v>2179</v>
      </c>
      <c r="W710" t="s">
        <v>2209</v>
      </c>
      <c r="X710" t="s">
        <v>2211</v>
      </c>
      <c r="Y710" t="s">
        <v>2213</v>
      </c>
      <c r="Z710" s="1">
        <v>45768</v>
      </c>
      <c r="AA710" s="1">
        <v>45792</v>
      </c>
      <c r="AB710" t="s">
        <v>2215</v>
      </c>
      <c r="AC710" t="s">
        <v>2208</v>
      </c>
      <c r="AD710" t="s">
        <v>2219</v>
      </c>
      <c r="AE710" t="s">
        <v>2165</v>
      </c>
      <c r="AF710" t="s">
        <v>2162</v>
      </c>
      <c r="AG710" t="s">
        <v>2222</v>
      </c>
      <c r="AH710">
        <v>223</v>
      </c>
      <c r="AI710">
        <v>247</v>
      </c>
      <c r="AJ710">
        <v>24</v>
      </c>
      <c r="AK710">
        <v>9</v>
      </c>
      <c r="AL710" t="s">
        <v>2234</v>
      </c>
      <c r="AM710">
        <v>0</v>
      </c>
      <c r="AN710" t="s">
        <v>2175</v>
      </c>
      <c r="AO710" t="s">
        <v>2175</v>
      </c>
      <c r="AP710" t="s">
        <v>2175</v>
      </c>
      <c r="AQ710">
        <v>227.76</v>
      </c>
      <c r="AR710">
        <v>3</v>
      </c>
      <c r="AS710">
        <v>3</v>
      </c>
      <c r="AT710">
        <v>3</v>
      </c>
      <c r="AU710">
        <v>3</v>
      </c>
      <c r="AV710">
        <v>3</v>
      </c>
      <c r="AW710">
        <v>4.5999999999999996</v>
      </c>
      <c r="AX710">
        <v>4.2</v>
      </c>
      <c r="AY710">
        <v>4.3</v>
      </c>
      <c r="AZ710">
        <v>0</v>
      </c>
      <c r="BA710">
        <v>3</v>
      </c>
      <c r="BB710">
        <v>45</v>
      </c>
      <c r="BC710">
        <v>26</v>
      </c>
      <c r="BD710">
        <v>39.85</v>
      </c>
      <c r="BE710">
        <v>196</v>
      </c>
      <c r="BF710">
        <v>88.6</v>
      </c>
      <c r="BG710">
        <v>28</v>
      </c>
      <c r="BH710">
        <v>26</v>
      </c>
      <c r="BI710">
        <v>24.77</v>
      </c>
      <c r="BJ710">
        <v>119</v>
      </c>
      <c r="BK710">
        <v>88.5</v>
      </c>
      <c r="BL710">
        <v>325</v>
      </c>
      <c r="BM710">
        <v>11.404400000000001</v>
      </c>
    </row>
    <row r="711" spans="1:65" x14ac:dyDescent="0.25">
      <c r="A711" t="s">
        <v>774</v>
      </c>
      <c r="B711" t="s">
        <v>1753</v>
      </c>
      <c r="C711" t="s">
        <v>2157</v>
      </c>
      <c r="D711" s="1">
        <v>45375</v>
      </c>
      <c r="E711" s="1">
        <v>45431</v>
      </c>
      <c r="F711" s="1">
        <v>45598</v>
      </c>
      <c r="G711" t="s">
        <v>2164</v>
      </c>
      <c r="I711" t="s">
        <v>2175</v>
      </c>
      <c r="J711">
        <v>42948</v>
      </c>
      <c r="K711">
        <v>1288</v>
      </c>
      <c r="L711">
        <v>14</v>
      </c>
      <c r="M711">
        <v>12.1</v>
      </c>
      <c r="N711">
        <v>7</v>
      </c>
      <c r="O711">
        <v>19287</v>
      </c>
      <c r="P711" t="s">
        <v>2178</v>
      </c>
      <c r="Q711">
        <v>39</v>
      </c>
      <c r="R711">
        <v>75</v>
      </c>
      <c r="S711">
        <v>67</v>
      </c>
      <c r="T711">
        <v>237</v>
      </c>
      <c r="U711" t="s">
        <v>2204</v>
      </c>
      <c r="W711" t="s">
        <v>2209</v>
      </c>
      <c r="X711" t="s">
        <v>2211</v>
      </c>
      <c r="Y711" t="s">
        <v>2213</v>
      </c>
      <c r="Z711" s="1">
        <v>45612</v>
      </c>
      <c r="AA711" s="1">
        <v>45631</v>
      </c>
      <c r="AB711" t="s">
        <v>2215</v>
      </c>
      <c r="AC711" t="s">
        <v>2208</v>
      </c>
      <c r="AD711" t="s">
        <v>2219</v>
      </c>
      <c r="AE711" t="s">
        <v>2166</v>
      </c>
      <c r="AF711" t="s">
        <v>2164</v>
      </c>
      <c r="AG711" t="s">
        <v>2222</v>
      </c>
      <c r="AH711">
        <v>181</v>
      </c>
      <c r="AI711">
        <v>200</v>
      </c>
      <c r="AJ711">
        <v>19</v>
      </c>
      <c r="AK711">
        <v>5</v>
      </c>
      <c r="AL711" t="s">
        <v>2224</v>
      </c>
      <c r="AM711">
        <v>0</v>
      </c>
      <c r="AN711" t="s">
        <v>2175</v>
      </c>
      <c r="AO711" t="s">
        <v>2175</v>
      </c>
      <c r="AP711" t="s">
        <v>2175</v>
      </c>
      <c r="AQ711">
        <v>169.4</v>
      </c>
      <c r="AR711">
        <v>3</v>
      </c>
      <c r="AS711">
        <v>3</v>
      </c>
      <c r="AT711">
        <v>3</v>
      </c>
      <c r="AU711">
        <v>3</v>
      </c>
      <c r="AV711">
        <v>3</v>
      </c>
      <c r="AW711">
        <v>4.8</v>
      </c>
      <c r="AX711">
        <v>4.5</v>
      </c>
      <c r="AY711">
        <v>4.5</v>
      </c>
      <c r="AZ711">
        <v>3</v>
      </c>
      <c r="BA711">
        <v>3</v>
      </c>
      <c r="BB711">
        <v>43</v>
      </c>
      <c r="BC711">
        <v>27</v>
      </c>
      <c r="BD711">
        <v>37.299999999999997</v>
      </c>
      <c r="BE711">
        <v>193</v>
      </c>
      <c r="BF711">
        <v>86.7</v>
      </c>
      <c r="BG711">
        <v>35</v>
      </c>
      <c r="BH711">
        <v>27</v>
      </c>
      <c r="BI711">
        <v>30.96</v>
      </c>
      <c r="BJ711">
        <v>158</v>
      </c>
      <c r="BK711">
        <v>88.5</v>
      </c>
      <c r="BL711">
        <v>351</v>
      </c>
      <c r="BM711">
        <v>8.2401999999999997</v>
      </c>
    </row>
    <row r="712" spans="1:65" x14ac:dyDescent="0.25">
      <c r="A712" t="s">
        <v>775</v>
      </c>
      <c r="B712" t="s">
        <v>1754</v>
      </c>
      <c r="C712" t="s">
        <v>2157</v>
      </c>
      <c r="D712" s="1">
        <v>45387</v>
      </c>
      <c r="E712" s="1">
        <v>45419</v>
      </c>
      <c r="F712" s="1">
        <v>45575</v>
      </c>
      <c r="G712" t="s">
        <v>2162</v>
      </c>
      <c r="I712" t="s">
        <v>2175</v>
      </c>
      <c r="J712">
        <v>43157</v>
      </c>
      <c r="K712">
        <v>1294</v>
      </c>
      <c r="L712">
        <v>16.399999999999999</v>
      </c>
      <c r="M712">
        <v>12.2</v>
      </c>
      <c r="N712">
        <v>7</v>
      </c>
      <c r="O712">
        <v>17011</v>
      </c>
      <c r="P712" t="s">
        <v>2178</v>
      </c>
      <c r="Q712">
        <v>39</v>
      </c>
      <c r="R712">
        <v>56</v>
      </c>
      <c r="S712">
        <v>67</v>
      </c>
      <c r="T712">
        <v>266</v>
      </c>
      <c r="U712" t="s">
        <v>2182</v>
      </c>
      <c r="W712" t="s">
        <v>2209</v>
      </c>
      <c r="X712" t="s">
        <v>2211</v>
      </c>
      <c r="Y712" t="s">
        <v>2213</v>
      </c>
      <c r="Z712" s="1">
        <v>45581</v>
      </c>
      <c r="AA712" s="1">
        <v>45602</v>
      </c>
      <c r="AB712" t="s">
        <v>2215</v>
      </c>
      <c r="AC712" t="s">
        <v>2208</v>
      </c>
      <c r="AD712" t="s">
        <v>2219</v>
      </c>
      <c r="AE712" t="s">
        <v>2166</v>
      </c>
      <c r="AF712" t="s">
        <v>2162</v>
      </c>
      <c r="AG712" t="s">
        <v>2222</v>
      </c>
      <c r="AH712">
        <v>162</v>
      </c>
      <c r="AI712">
        <v>183</v>
      </c>
      <c r="AJ712">
        <v>21</v>
      </c>
      <c r="AK712">
        <v>5</v>
      </c>
      <c r="AL712" t="s">
        <v>2224</v>
      </c>
      <c r="AM712">
        <v>0</v>
      </c>
      <c r="AN712" t="s">
        <v>2175</v>
      </c>
      <c r="AO712" t="s">
        <v>2175</v>
      </c>
      <c r="AP712" t="s">
        <v>2175</v>
      </c>
      <c r="AQ712">
        <v>200.08</v>
      </c>
      <c r="AR712">
        <v>3</v>
      </c>
      <c r="AS712">
        <v>3</v>
      </c>
      <c r="AT712">
        <v>3</v>
      </c>
      <c r="AU712">
        <v>3</v>
      </c>
      <c r="AV712">
        <v>3</v>
      </c>
      <c r="AW712">
        <v>4.8</v>
      </c>
      <c r="AX712">
        <v>4.2</v>
      </c>
      <c r="AY712">
        <v>4.2</v>
      </c>
      <c r="AZ712">
        <v>3</v>
      </c>
      <c r="BA712">
        <v>3</v>
      </c>
      <c r="BB712">
        <v>43</v>
      </c>
      <c r="BC712">
        <v>27</v>
      </c>
      <c r="BD712">
        <v>37.299999999999997</v>
      </c>
      <c r="BE712">
        <v>193</v>
      </c>
      <c r="BF712">
        <v>86.7</v>
      </c>
      <c r="BG712">
        <v>24</v>
      </c>
      <c r="BH712">
        <v>27</v>
      </c>
      <c r="BI712">
        <v>21.44</v>
      </c>
      <c r="BJ712">
        <v>108</v>
      </c>
      <c r="BK712">
        <v>89.3</v>
      </c>
      <c r="BL712">
        <v>301</v>
      </c>
      <c r="BM712">
        <v>8.2803000000000004</v>
      </c>
    </row>
    <row r="713" spans="1:65" x14ac:dyDescent="0.25">
      <c r="A713" t="s">
        <v>776</v>
      </c>
      <c r="B713" t="s">
        <v>1755</v>
      </c>
      <c r="C713" t="s">
        <v>2158</v>
      </c>
      <c r="D713" s="1">
        <v>45512</v>
      </c>
      <c r="E713" s="1">
        <v>45553</v>
      </c>
      <c r="F713" s="1">
        <v>45729</v>
      </c>
      <c r="G713" t="s">
        <v>2163</v>
      </c>
      <c r="I713" t="s">
        <v>2175</v>
      </c>
      <c r="J713">
        <v>53420</v>
      </c>
      <c r="K713">
        <v>1602</v>
      </c>
      <c r="L713">
        <v>13.4</v>
      </c>
      <c r="M713">
        <v>12.9</v>
      </c>
      <c r="N713">
        <v>7</v>
      </c>
      <c r="O713">
        <v>16611</v>
      </c>
      <c r="P713" t="s">
        <v>2178</v>
      </c>
      <c r="Q713">
        <v>39</v>
      </c>
      <c r="R713">
        <v>55</v>
      </c>
      <c r="S713">
        <v>91</v>
      </c>
      <c r="T713">
        <v>288</v>
      </c>
      <c r="U713" t="s">
        <v>2179</v>
      </c>
      <c r="W713" t="s">
        <v>2209</v>
      </c>
      <c r="X713" t="s">
        <v>2211</v>
      </c>
      <c r="Y713" t="s">
        <v>2213</v>
      </c>
      <c r="Z713" s="1">
        <v>45738</v>
      </c>
      <c r="AA713" s="1">
        <v>45753</v>
      </c>
      <c r="AB713" t="s">
        <v>2215</v>
      </c>
      <c r="AC713" t="s">
        <v>2208</v>
      </c>
      <c r="AD713" t="s">
        <v>2219</v>
      </c>
      <c r="AE713" t="s">
        <v>2165</v>
      </c>
      <c r="AF713" t="s">
        <v>2162</v>
      </c>
      <c r="AG713" t="s">
        <v>2222</v>
      </c>
      <c r="AH713">
        <v>185</v>
      </c>
      <c r="AI713">
        <v>200</v>
      </c>
      <c r="AJ713">
        <v>15</v>
      </c>
      <c r="AK713">
        <v>9</v>
      </c>
      <c r="AL713" t="s">
        <v>2234</v>
      </c>
      <c r="AM713">
        <v>0</v>
      </c>
      <c r="AN713" t="s">
        <v>2175</v>
      </c>
      <c r="AO713" t="s">
        <v>2175</v>
      </c>
      <c r="AP713" t="s">
        <v>2175</v>
      </c>
      <c r="AQ713">
        <v>172.86</v>
      </c>
      <c r="AR713">
        <v>3</v>
      </c>
      <c r="AS713">
        <v>3</v>
      </c>
      <c r="AT713">
        <v>3</v>
      </c>
      <c r="AU713">
        <v>3</v>
      </c>
      <c r="AV713">
        <v>3</v>
      </c>
      <c r="AW713">
        <v>4.5999999999999996</v>
      </c>
      <c r="AX713">
        <v>4.2</v>
      </c>
      <c r="AY713">
        <v>4.4000000000000004</v>
      </c>
      <c r="AZ713">
        <v>2</v>
      </c>
      <c r="BA713">
        <v>3</v>
      </c>
      <c r="BB713">
        <v>45</v>
      </c>
      <c r="BC713">
        <v>26</v>
      </c>
      <c r="BD713">
        <v>39.85</v>
      </c>
      <c r="BE713">
        <v>196</v>
      </c>
      <c r="BF713">
        <v>88.6</v>
      </c>
      <c r="BG713">
        <v>30</v>
      </c>
      <c r="BH713">
        <v>26</v>
      </c>
      <c r="BI713">
        <v>26.15</v>
      </c>
      <c r="BJ713">
        <v>126</v>
      </c>
      <c r="BK713">
        <v>87.2</v>
      </c>
      <c r="BL713">
        <v>325</v>
      </c>
      <c r="BM713">
        <v>10.480700000000001</v>
      </c>
    </row>
    <row r="714" spans="1:65" x14ac:dyDescent="0.25">
      <c r="A714" t="s">
        <v>777</v>
      </c>
      <c r="B714" t="s">
        <v>1756</v>
      </c>
      <c r="C714" t="s">
        <v>2157</v>
      </c>
      <c r="D714" s="1">
        <v>45518</v>
      </c>
      <c r="E714" s="1">
        <v>45575</v>
      </c>
      <c r="F714" s="1">
        <v>45767</v>
      </c>
      <c r="G714" t="s">
        <v>2162</v>
      </c>
      <c r="I714" t="s">
        <v>2175</v>
      </c>
      <c r="J714">
        <v>50288</v>
      </c>
      <c r="K714">
        <v>1508</v>
      </c>
      <c r="L714">
        <v>12.5</v>
      </c>
      <c r="M714">
        <v>17.399999999999999</v>
      </c>
      <c r="N714">
        <v>7</v>
      </c>
      <c r="O714">
        <v>19624</v>
      </c>
      <c r="P714" t="s">
        <v>2178</v>
      </c>
      <c r="Q714">
        <v>46</v>
      </c>
      <c r="R714">
        <v>83</v>
      </c>
      <c r="S714">
        <v>68</v>
      </c>
      <c r="T714">
        <v>255</v>
      </c>
      <c r="U714" t="s">
        <v>2194</v>
      </c>
      <c r="W714" t="s">
        <v>2209</v>
      </c>
      <c r="X714" t="s">
        <v>2211</v>
      </c>
      <c r="Y714" t="s">
        <v>2213</v>
      </c>
      <c r="Z714" s="1">
        <v>45772</v>
      </c>
      <c r="AA714" s="1">
        <v>45792</v>
      </c>
      <c r="AB714" t="s">
        <v>2215</v>
      </c>
      <c r="AC714" t="s">
        <v>2208</v>
      </c>
      <c r="AD714" t="s">
        <v>2219</v>
      </c>
      <c r="AE714" t="s">
        <v>2166</v>
      </c>
      <c r="AF714" t="s">
        <v>2165</v>
      </c>
      <c r="AG714" t="s">
        <v>2222</v>
      </c>
      <c r="AH714">
        <v>197</v>
      </c>
      <c r="AI714">
        <v>217</v>
      </c>
      <c r="AJ714">
        <v>20</v>
      </c>
      <c r="AK714">
        <v>10</v>
      </c>
      <c r="AL714" t="s">
        <v>2230</v>
      </c>
      <c r="AM714">
        <v>1</v>
      </c>
      <c r="AN714" t="s">
        <v>2175</v>
      </c>
      <c r="AO714" t="s">
        <v>2175</v>
      </c>
      <c r="AP714" t="s">
        <v>2175</v>
      </c>
      <c r="AQ714">
        <v>217.5</v>
      </c>
      <c r="AR714">
        <v>3</v>
      </c>
      <c r="AS714">
        <v>3</v>
      </c>
      <c r="AT714">
        <v>3</v>
      </c>
      <c r="AU714">
        <v>3</v>
      </c>
      <c r="AV714">
        <v>3</v>
      </c>
      <c r="AW714">
        <v>4.8</v>
      </c>
      <c r="AX714">
        <v>4.5999999999999996</v>
      </c>
      <c r="AY714">
        <v>4.2</v>
      </c>
      <c r="AZ714">
        <v>3</v>
      </c>
      <c r="BA714">
        <v>3</v>
      </c>
      <c r="BB714">
        <v>50</v>
      </c>
      <c r="BC714">
        <v>27</v>
      </c>
      <c r="BD714">
        <v>42.44</v>
      </c>
      <c r="BE714">
        <v>220</v>
      </c>
      <c r="BF714">
        <v>84.9</v>
      </c>
      <c r="BG714">
        <v>25</v>
      </c>
      <c r="BH714">
        <v>27</v>
      </c>
      <c r="BI714">
        <v>21.89</v>
      </c>
      <c r="BJ714">
        <v>108</v>
      </c>
      <c r="BK714">
        <v>87.6</v>
      </c>
      <c r="BL714">
        <v>414</v>
      </c>
      <c r="BM714">
        <v>8.4646000000000008</v>
      </c>
    </row>
    <row r="715" spans="1:65" x14ac:dyDescent="0.25">
      <c r="A715" t="s">
        <v>778</v>
      </c>
      <c r="B715" t="s">
        <v>1757</v>
      </c>
      <c r="C715" t="s">
        <v>2159</v>
      </c>
      <c r="D715" s="1">
        <v>45407</v>
      </c>
      <c r="E715" s="1">
        <v>45461</v>
      </c>
      <c r="F715" s="1">
        <v>45643</v>
      </c>
      <c r="G715" t="s">
        <v>2161</v>
      </c>
      <c r="I715" t="s">
        <v>2175</v>
      </c>
      <c r="J715">
        <v>49205</v>
      </c>
      <c r="K715">
        <v>1476</v>
      </c>
      <c r="L715">
        <v>15.5</v>
      </c>
      <c r="M715">
        <v>16.600000000000001</v>
      </c>
      <c r="N715">
        <v>7</v>
      </c>
      <c r="O715">
        <v>17462</v>
      </c>
      <c r="P715" t="s">
        <v>2178</v>
      </c>
      <c r="Q715">
        <v>38</v>
      </c>
      <c r="R715">
        <v>57</v>
      </c>
      <c r="S715">
        <v>104</v>
      </c>
      <c r="T715">
        <v>247</v>
      </c>
      <c r="U715" t="s">
        <v>2179</v>
      </c>
      <c r="W715" t="s">
        <v>2209</v>
      </c>
      <c r="X715" t="s">
        <v>2211</v>
      </c>
      <c r="Y715" t="s">
        <v>2213</v>
      </c>
      <c r="Z715" s="1">
        <v>45660</v>
      </c>
      <c r="AA715" s="1">
        <v>45679</v>
      </c>
      <c r="AB715" t="s">
        <v>2215</v>
      </c>
      <c r="AC715" t="s">
        <v>2208</v>
      </c>
      <c r="AD715" t="s">
        <v>2219</v>
      </c>
      <c r="AE715" t="s">
        <v>2165</v>
      </c>
      <c r="AF715" t="s">
        <v>2162</v>
      </c>
      <c r="AG715" t="s">
        <v>2222</v>
      </c>
      <c r="AH715">
        <v>199</v>
      </c>
      <c r="AI715">
        <v>218</v>
      </c>
      <c r="AJ715">
        <v>19</v>
      </c>
      <c r="AK715">
        <v>6</v>
      </c>
      <c r="AL715" t="s">
        <v>2223</v>
      </c>
      <c r="AM715">
        <v>0</v>
      </c>
      <c r="AN715" t="s">
        <v>2175</v>
      </c>
      <c r="AO715" t="s">
        <v>2175</v>
      </c>
      <c r="AP715" t="s">
        <v>2175</v>
      </c>
      <c r="AQ715">
        <v>257.3</v>
      </c>
      <c r="AR715">
        <v>3</v>
      </c>
      <c r="AS715">
        <v>3</v>
      </c>
      <c r="AT715">
        <v>3</v>
      </c>
      <c r="AU715">
        <v>3</v>
      </c>
      <c r="AV715">
        <v>3</v>
      </c>
      <c r="AW715">
        <v>4.5999999999999996</v>
      </c>
      <c r="AX715">
        <v>4.2</v>
      </c>
      <c r="AY715">
        <v>4.3</v>
      </c>
      <c r="AZ715">
        <v>0</v>
      </c>
      <c r="BA715">
        <v>3</v>
      </c>
      <c r="BB715">
        <v>40</v>
      </c>
      <c r="BC715">
        <v>25</v>
      </c>
      <c r="BD715">
        <v>34.72</v>
      </c>
      <c r="BE715">
        <v>161</v>
      </c>
      <c r="BF715">
        <v>86.8</v>
      </c>
      <c r="BG715">
        <v>36</v>
      </c>
      <c r="BH715">
        <v>25</v>
      </c>
      <c r="BI715">
        <v>31.92</v>
      </c>
      <c r="BJ715">
        <v>149</v>
      </c>
      <c r="BK715">
        <v>88.7</v>
      </c>
      <c r="BL715">
        <v>278</v>
      </c>
      <c r="BM715">
        <v>12.2218</v>
      </c>
    </row>
    <row r="716" spans="1:65" x14ac:dyDescent="0.25">
      <c r="A716" t="s">
        <v>779</v>
      </c>
      <c r="B716" t="s">
        <v>1758</v>
      </c>
      <c r="C716" t="s">
        <v>2157</v>
      </c>
      <c r="D716" s="1">
        <v>45536</v>
      </c>
      <c r="E716" s="1">
        <v>45569</v>
      </c>
      <c r="F716" s="1">
        <v>45740</v>
      </c>
      <c r="G716" t="s">
        <v>2162</v>
      </c>
      <c r="I716" t="s">
        <v>2175</v>
      </c>
      <c r="J716">
        <v>43269</v>
      </c>
      <c r="K716">
        <v>1298</v>
      </c>
      <c r="L716">
        <v>14.9</v>
      </c>
      <c r="M716">
        <v>14.4</v>
      </c>
      <c r="N716">
        <v>7</v>
      </c>
      <c r="O716">
        <v>19849</v>
      </c>
      <c r="P716" t="s">
        <v>2178</v>
      </c>
      <c r="Q716">
        <v>33</v>
      </c>
      <c r="R716">
        <v>56</v>
      </c>
      <c r="S716">
        <v>101</v>
      </c>
      <c r="T716">
        <v>227</v>
      </c>
      <c r="U716" t="s">
        <v>2179</v>
      </c>
      <c r="W716" t="s">
        <v>2209</v>
      </c>
      <c r="X716" t="s">
        <v>2211</v>
      </c>
      <c r="Y716" t="s">
        <v>2213</v>
      </c>
      <c r="Z716" s="1">
        <v>45759</v>
      </c>
      <c r="AA716" s="1">
        <v>45775</v>
      </c>
      <c r="AB716" t="s">
        <v>2215</v>
      </c>
      <c r="AC716" t="s">
        <v>2208</v>
      </c>
      <c r="AD716" t="s">
        <v>2219</v>
      </c>
      <c r="AE716" t="s">
        <v>2165</v>
      </c>
      <c r="AF716" t="s">
        <v>2162</v>
      </c>
      <c r="AG716" t="s">
        <v>2222</v>
      </c>
      <c r="AH716">
        <v>190</v>
      </c>
      <c r="AI716">
        <v>206</v>
      </c>
      <c r="AJ716">
        <v>16</v>
      </c>
      <c r="AK716">
        <v>10</v>
      </c>
      <c r="AL716" t="s">
        <v>2230</v>
      </c>
      <c r="AM716">
        <v>1</v>
      </c>
      <c r="AN716" t="s">
        <v>2175</v>
      </c>
      <c r="AO716" t="s">
        <v>2175</v>
      </c>
      <c r="AP716" t="s">
        <v>2175</v>
      </c>
      <c r="AQ716">
        <v>214.56</v>
      </c>
      <c r="AR716">
        <v>3</v>
      </c>
      <c r="AS716">
        <v>3</v>
      </c>
      <c r="AT716">
        <v>3</v>
      </c>
      <c r="AU716">
        <v>3</v>
      </c>
      <c r="AV716">
        <v>3</v>
      </c>
      <c r="AW716">
        <v>4.5999999999999996</v>
      </c>
      <c r="AX716">
        <v>4.2</v>
      </c>
      <c r="AY716">
        <v>4.2</v>
      </c>
      <c r="AZ716">
        <v>3</v>
      </c>
      <c r="BA716">
        <v>3</v>
      </c>
      <c r="BB716">
        <v>43</v>
      </c>
      <c r="BC716">
        <v>27</v>
      </c>
      <c r="BD716">
        <v>37.33</v>
      </c>
      <c r="BE716">
        <v>194</v>
      </c>
      <c r="BF716">
        <v>86.8</v>
      </c>
      <c r="BG716">
        <v>25</v>
      </c>
      <c r="BH716">
        <v>27</v>
      </c>
      <c r="BI716">
        <v>21.89</v>
      </c>
      <c r="BJ716">
        <v>108</v>
      </c>
      <c r="BK716">
        <v>87.6</v>
      </c>
      <c r="BL716">
        <v>302</v>
      </c>
      <c r="BM716">
        <v>8.2590000000000003</v>
      </c>
    </row>
    <row r="717" spans="1:65" x14ac:dyDescent="0.25">
      <c r="A717" t="s">
        <v>780</v>
      </c>
      <c r="B717" t="s">
        <v>1759</v>
      </c>
      <c r="C717" t="s">
        <v>2160</v>
      </c>
      <c r="D717" s="1">
        <v>45310</v>
      </c>
      <c r="E717" s="1">
        <v>45353</v>
      </c>
      <c r="F717" s="1">
        <v>45527</v>
      </c>
      <c r="G717" t="s">
        <v>2163</v>
      </c>
      <c r="I717" t="s">
        <v>2175</v>
      </c>
      <c r="J717">
        <v>41126</v>
      </c>
      <c r="K717">
        <v>1233</v>
      </c>
      <c r="L717">
        <v>16.2</v>
      </c>
      <c r="M717">
        <v>15.9</v>
      </c>
      <c r="N717">
        <v>8</v>
      </c>
      <c r="O717">
        <v>16698</v>
      </c>
      <c r="P717" t="s">
        <v>2178</v>
      </c>
      <c r="Q717">
        <v>44</v>
      </c>
      <c r="R717">
        <v>82</v>
      </c>
      <c r="S717">
        <v>64</v>
      </c>
      <c r="T717">
        <v>216</v>
      </c>
      <c r="U717" t="s">
        <v>2198</v>
      </c>
      <c r="W717" t="s">
        <v>2209</v>
      </c>
      <c r="X717" t="s">
        <v>2211</v>
      </c>
      <c r="Y717" t="s">
        <v>2213</v>
      </c>
      <c r="Z717" s="1">
        <v>45543</v>
      </c>
      <c r="AA717" s="1">
        <v>45567</v>
      </c>
      <c r="AB717" t="s">
        <v>2215</v>
      </c>
      <c r="AC717" t="s">
        <v>2208</v>
      </c>
      <c r="AD717" t="s">
        <v>2219</v>
      </c>
      <c r="AE717" t="s">
        <v>2166</v>
      </c>
      <c r="AF717" t="s">
        <v>2161</v>
      </c>
      <c r="AG717" t="s">
        <v>2222</v>
      </c>
      <c r="AH717">
        <v>190</v>
      </c>
      <c r="AI717">
        <v>214</v>
      </c>
      <c r="AJ717">
        <v>24</v>
      </c>
      <c r="AK717">
        <v>3</v>
      </c>
      <c r="AL717" t="s">
        <v>2227</v>
      </c>
      <c r="AM717">
        <v>0</v>
      </c>
      <c r="AN717" t="s">
        <v>2175</v>
      </c>
      <c r="AO717" t="s">
        <v>2175</v>
      </c>
      <c r="AP717" t="s">
        <v>2175</v>
      </c>
      <c r="AQ717">
        <v>257.58</v>
      </c>
      <c r="AR717">
        <v>3</v>
      </c>
      <c r="AS717">
        <v>3</v>
      </c>
      <c r="AT717">
        <v>3</v>
      </c>
      <c r="AU717">
        <v>3</v>
      </c>
      <c r="AV717">
        <v>3</v>
      </c>
      <c r="AW717">
        <v>4.8</v>
      </c>
      <c r="AX717">
        <v>4.3</v>
      </c>
      <c r="AY717">
        <v>4.4000000000000004</v>
      </c>
      <c r="AZ717">
        <v>1</v>
      </c>
      <c r="BA717">
        <v>3</v>
      </c>
      <c r="BB717">
        <v>49</v>
      </c>
      <c r="BC717">
        <v>26</v>
      </c>
      <c r="BD717">
        <v>43.12</v>
      </c>
      <c r="BE717">
        <v>216</v>
      </c>
      <c r="BF717">
        <v>88</v>
      </c>
      <c r="BG717">
        <v>35</v>
      </c>
      <c r="BH717">
        <v>26</v>
      </c>
      <c r="BI717">
        <v>31.08</v>
      </c>
      <c r="BJ717">
        <v>149</v>
      </c>
      <c r="BK717">
        <v>88.8</v>
      </c>
      <c r="BL717">
        <v>380</v>
      </c>
      <c r="BM717">
        <v>7.3216999999999999</v>
      </c>
    </row>
    <row r="718" spans="1:65" x14ac:dyDescent="0.25">
      <c r="A718" t="s">
        <v>781</v>
      </c>
      <c r="B718" t="s">
        <v>1760</v>
      </c>
      <c r="C718" t="s">
        <v>2159</v>
      </c>
      <c r="D718" s="1">
        <v>45472</v>
      </c>
      <c r="E718" s="1">
        <v>45507</v>
      </c>
      <c r="F718" s="1">
        <v>45733</v>
      </c>
      <c r="G718" t="s">
        <v>2162</v>
      </c>
      <c r="I718" t="s">
        <v>2175</v>
      </c>
      <c r="J718">
        <v>57974</v>
      </c>
      <c r="K718">
        <v>1739</v>
      </c>
      <c r="L718">
        <v>14.5</v>
      </c>
      <c r="M718">
        <v>16.100000000000001</v>
      </c>
      <c r="N718">
        <v>7</v>
      </c>
      <c r="O718">
        <v>19558</v>
      </c>
      <c r="P718" t="s">
        <v>2178</v>
      </c>
      <c r="Q718">
        <v>61</v>
      </c>
      <c r="R718">
        <v>89</v>
      </c>
      <c r="S718">
        <v>84</v>
      </c>
      <c r="T718">
        <v>247</v>
      </c>
      <c r="U718" t="s">
        <v>2194</v>
      </c>
      <c r="W718" t="s">
        <v>2209</v>
      </c>
      <c r="X718" t="s">
        <v>2211</v>
      </c>
      <c r="Y718" t="s">
        <v>2213</v>
      </c>
      <c r="Z718" s="1">
        <v>45741</v>
      </c>
      <c r="AA718" s="1">
        <v>45759</v>
      </c>
      <c r="AB718" t="s">
        <v>2215</v>
      </c>
      <c r="AC718" t="s">
        <v>2208</v>
      </c>
      <c r="AD718" t="s">
        <v>2219</v>
      </c>
      <c r="AE718" t="s">
        <v>2166</v>
      </c>
      <c r="AF718" t="s">
        <v>2165</v>
      </c>
      <c r="AG718" t="s">
        <v>2222</v>
      </c>
      <c r="AH718">
        <v>234</v>
      </c>
      <c r="AI718">
        <v>252</v>
      </c>
      <c r="AJ718">
        <v>18</v>
      </c>
      <c r="AK718">
        <v>8</v>
      </c>
      <c r="AL718" t="s">
        <v>2232</v>
      </c>
      <c r="AM718">
        <v>0</v>
      </c>
      <c r="AN718" t="s">
        <v>2175</v>
      </c>
      <c r="AO718" t="s">
        <v>2175</v>
      </c>
      <c r="AP718" t="s">
        <v>2175</v>
      </c>
      <c r="AQ718">
        <v>233.45</v>
      </c>
      <c r="AR718">
        <v>3</v>
      </c>
      <c r="AS718">
        <v>3</v>
      </c>
      <c r="AT718">
        <v>3</v>
      </c>
      <c r="AU718">
        <v>3</v>
      </c>
      <c r="AV718">
        <v>3</v>
      </c>
      <c r="AW718">
        <v>4.8</v>
      </c>
      <c r="AX718">
        <v>4.5999999999999996</v>
      </c>
      <c r="AY718">
        <v>4.2</v>
      </c>
      <c r="AZ718">
        <v>0</v>
      </c>
      <c r="BA718">
        <v>3</v>
      </c>
      <c r="BB718">
        <v>41</v>
      </c>
      <c r="BC718">
        <v>26</v>
      </c>
      <c r="BD718">
        <v>36.15</v>
      </c>
      <c r="BE718">
        <v>176</v>
      </c>
      <c r="BF718">
        <v>88.2</v>
      </c>
      <c r="BG718">
        <v>29</v>
      </c>
      <c r="BH718">
        <v>26</v>
      </c>
      <c r="BI718">
        <v>25.54</v>
      </c>
      <c r="BJ718">
        <v>124</v>
      </c>
      <c r="BK718">
        <v>88.1</v>
      </c>
      <c r="BL718">
        <v>328</v>
      </c>
      <c r="BM718">
        <v>12.666399999999999</v>
      </c>
    </row>
    <row r="719" spans="1:65" x14ac:dyDescent="0.25">
      <c r="A719" t="s">
        <v>782</v>
      </c>
      <c r="B719" t="s">
        <v>1761</v>
      </c>
      <c r="C719" t="s">
        <v>2157</v>
      </c>
      <c r="D719" s="1">
        <v>45389</v>
      </c>
      <c r="E719" s="1">
        <v>45415</v>
      </c>
      <c r="F719" s="1">
        <v>45532</v>
      </c>
      <c r="G719" t="s">
        <v>2164</v>
      </c>
      <c r="I719" t="s">
        <v>2175</v>
      </c>
      <c r="J719">
        <v>34524</v>
      </c>
      <c r="K719">
        <v>1035</v>
      </c>
      <c r="L719">
        <v>12.6</v>
      </c>
      <c r="M719">
        <v>13.9</v>
      </c>
      <c r="N719">
        <v>7</v>
      </c>
      <c r="O719">
        <v>18558</v>
      </c>
      <c r="P719" t="s">
        <v>2178</v>
      </c>
      <c r="Q719">
        <v>29</v>
      </c>
      <c r="R719">
        <v>49</v>
      </c>
      <c r="S719">
        <v>58</v>
      </c>
      <c r="T719">
        <v>253</v>
      </c>
      <c r="U719" t="s">
        <v>2201</v>
      </c>
      <c r="W719" t="s">
        <v>2209</v>
      </c>
      <c r="X719" t="s">
        <v>2211</v>
      </c>
      <c r="Y719" t="s">
        <v>2213</v>
      </c>
      <c r="Z719" s="1">
        <v>45551</v>
      </c>
      <c r="AA719" s="1">
        <v>45567</v>
      </c>
      <c r="AB719" t="s">
        <v>2215</v>
      </c>
      <c r="AC719" t="s">
        <v>2208</v>
      </c>
      <c r="AD719" t="s">
        <v>2219</v>
      </c>
      <c r="AE719" t="s">
        <v>2165</v>
      </c>
      <c r="AF719" t="s">
        <v>2161</v>
      </c>
      <c r="AG719" t="s">
        <v>2222</v>
      </c>
      <c r="AH719">
        <v>136</v>
      </c>
      <c r="AI719">
        <v>152</v>
      </c>
      <c r="AJ719">
        <v>16</v>
      </c>
      <c r="AK719">
        <v>5</v>
      </c>
      <c r="AL719" t="s">
        <v>2224</v>
      </c>
      <c r="AM719">
        <v>0</v>
      </c>
      <c r="AN719" t="s">
        <v>2175</v>
      </c>
      <c r="AO719" t="s">
        <v>2175</v>
      </c>
      <c r="AP719" t="s">
        <v>2175</v>
      </c>
      <c r="AQ719">
        <v>175.14</v>
      </c>
      <c r="AR719">
        <v>3</v>
      </c>
      <c r="AS719">
        <v>3</v>
      </c>
      <c r="AT719">
        <v>3</v>
      </c>
      <c r="AU719">
        <v>3</v>
      </c>
      <c r="AV719">
        <v>3</v>
      </c>
      <c r="AW719">
        <v>4.5999999999999996</v>
      </c>
      <c r="AX719">
        <v>4.3</v>
      </c>
      <c r="AY719">
        <v>4.5</v>
      </c>
      <c r="AZ719">
        <v>3</v>
      </c>
      <c r="BA719">
        <v>3</v>
      </c>
      <c r="BB719">
        <v>36</v>
      </c>
      <c r="BC719">
        <v>27</v>
      </c>
      <c r="BD719">
        <v>31.37</v>
      </c>
      <c r="BE719">
        <v>158</v>
      </c>
      <c r="BF719">
        <v>87.1</v>
      </c>
      <c r="BG719">
        <v>35</v>
      </c>
      <c r="BH719">
        <v>27</v>
      </c>
      <c r="BI719">
        <v>30.96</v>
      </c>
      <c r="BJ719">
        <v>158</v>
      </c>
      <c r="BK719">
        <v>88.5</v>
      </c>
      <c r="BL719">
        <v>305</v>
      </c>
      <c r="BM719">
        <v>8.0908999999999995</v>
      </c>
    </row>
    <row r="720" spans="1:65" x14ac:dyDescent="0.25">
      <c r="A720" t="s">
        <v>783</v>
      </c>
      <c r="B720" t="s">
        <v>1762</v>
      </c>
      <c r="C720" t="s">
        <v>2157</v>
      </c>
      <c r="D720" s="1">
        <v>45446</v>
      </c>
      <c r="E720" s="1">
        <v>45488</v>
      </c>
      <c r="F720" s="1">
        <v>45614</v>
      </c>
      <c r="G720" t="s">
        <v>2161</v>
      </c>
      <c r="I720" t="s">
        <v>2175</v>
      </c>
      <c r="J720">
        <v>34198</v>
      </c>
      <c r="K720">
        <v>1025</v>
      </c>
      <c r="L720">
        <v>13.9</v>
      </c>
      <c r="M720">
        <v>12.3</v>
      </c>
      <c r="N720">
        <v>7</v>
      </c>
      <c r="O720">
        <v>15422</v>
      </c>
      <c r="P720" t="s">
        <v>2178</v>
      </c>
      <c r="Q720">
        <v>33</v>
      </c>
      <c r="R720">
        <v>58</v>
      </c>
      <c r="S720">
        <v>49</v>
      </c>
      <c r="T720">
        <v>244</v>
      </c>
      <c r="U720" t="s">
        <v>2196</v>
      </c>
      <c r="W720" t="s">
        <v>2209</v>
      </c>
      <c r="X720" t="s">
        <v>2211</v>
      </c>
      <c r="Y720" t="s">
        <v>2213</v>
      </c>
      <c r="Z720" s="1">
        <v>45628</v>
      </c>
      <c r="AA720" s="1">
        <v>45644</v>
      </c>
      <c r="AB720" t="s">
        <v>2215</v>
      </c>
      <c r="AC720" t="s">
        <v>2208</v>
      </c>
      <c r="AD720" t="s">
        <v>2219</v>
      </c>
      <c r="AE720" t="s">
        <v>2165</v>
      </c>
      <c r="AF720" t="s">
        <v>2163</v>
      </c>
      <c r="AG720" t="s">
        <v>2222</v>
      </c>
      <c r="AH720">
        <v>140</v>
      </c>
      <c r="AI720">
        <v>156</v>
      </c>
      <c r="AJ720">
        <v>16</v>
      </c>
      <c r="AK720">
        <v>7</v>
      </c>
      <c r="AL720" t="s">
        <v>2226</v>
      </c>
      <c r="AM720">
        <v>0</v>
      </c>
      <c r="AN720" t="s">
        <v>2175</v>
      </c>
      <c r="AO720" t="s">
        <v>2175</v>
      </c>
      <c r="AP720" t="s">
        <v>2175</v>
      </c>
      <c r="AQ720">
        <v>170.97</v>
      </c>
      <c r="AR720">
        <v>3</v>
      </c>
      <c r="AS720">
        <v>3</v>
      </c>
      <c r="AT720">
        <v>3</v>
      </c>
      <c r="AU720">
        <v>3</v>
      </c>
      <c r="AV720">
        <v>3</v>
      </c>
      <c r="AW720">
        <v>4.5999999999999996</v>
      </c>
      <c r="AX720">
        <v>4.4000000000000004</v>
      </c>
      <c r="AY720">
        <v>4.3</v>
      </c>
      <c r="AZ720">
        <v>3</v>
      </c>
      <c r="BA720">
        <v>3</v>
      </c>
      <c r="BB720">
        <v>38</v>
      </c>
      <c r="BC720">
        <v>27</v>
      </c>
      <c r="BD720">
        <v>34</v>
      </c>
      <c r="BE720">
        <v>174</v>
      </c>
      <c r="BF720">
        <v>89.5</v>
      </c>
      <c r="BG720">
        <v>28</v>
      </c>
      <c r="BH720">
        <v>27</v>
      </c>
      <c r="BI720">
        <v>25.26</v>
      </c>
      <c r="BJ720">
        <v>129</v>
      </c>
      <c r="BK720">
        <v>90.2</v>
      </c>
      <c r="BL720">
        <v>319</v>
      </c>
      <c r="BM720">
        <v>7.2777000000000003</v>
      </c>
    </row>
    <row r="721" spans="1:65" x14ac:dyDescent="0.25">
      <c r="A721" t="s">
        <v>784</v>
      </c>
      <c r="B721" t="s">
        <v>1763</v>
      </c>
      <c r="C721" t="s">
        <v>2159</v>
      </c>
      <c r="D721" s="1">
        <v>45496</v>
      </c>
      <c r="E721" s="1">
        <v>45518</v>
      </c>
      <c r="F721" s="1">
        <v>45778</v>
      </c>
      <c r="G721" t="s">
        <v>2166</v>
      </c>
      <c r="I721" t="s">
        <v>2175</v>
      </c>
      <c r="J721">
        <v>48925</v>
      </c>
      <c r="K721">
        <v>1467</v>
      </c>
      <c r="L721">
        <v>17.100000000000001</v>
      </c>
      <c r="M721">
        <v>14.9</v>
      </c>
      <c r="N721">
        <v>7</v>
      </c>
      <c r="O721">
        <v>16225</v>
      </c>
      <c r="P721" t="s">
        <v>2178</v>
      </c>
      <c r="Q721">
        <v>54</v>
      </c>
      <c r="R721">
        <v>100</v>
      </c>
      <c r="S721">
        <v>120</v>
      </c>
      <c r="T721">
        <v>178</v>
      </c>
      <c r="U721" t="s">
        <v>2205</v>
      </c>
      <c r="W721" t="s">
        <v>2209</v>
      </c>
      <c r="X721" t="s">
        <v>2211</v>
      </c>
      <c r="Y721" t="s">
        <v>2213</v>
      </c>
      <c r="Z721" s="1">
        <v>45792</v>
      </c>
      <c r="AA721" s="1">
        <v>45810</v>
      </c>
      <c r="AB721" t="s">
        <v>2215</v>
      </c>
      <c r="AC721" t="s">
        <v>2208</v>
      </c>
      <c r="AD721" t="s">
        <v>2219</v>
      </c>
      <c r="AE721" t="s">
        <v>2165</v>
      </c>
      <c r="AF721" t="s">
        <v>2164</v>
      </c>
      <c r="AG721" t="s">
        <v>2222</v>
      </c>
      <c r="AH721">
        <v>274</v>
      </c>
      <c r="AI721">
        <v>292</v>
      </c>
      <c r="AJ721">
        <v>18</v>
      </c>
      <c r="AK721">
        <v>8</v>
      </c>
      <c r="AL721" t="s">
        <v>2232</v>
      </c>
      <c r="AM721">
        <v>0</v>
      </c>
      <c r="AN721" t="s">
        <v>2175</v>
      </c>
      <c r="AO721" t="s">
        <v>2175</v>
      </c>
      <c r="AP721" t="s">
        <v>2175</v>
      </c>
      <c r="AQ721">
        <v>254.79</v>
      </c>
      <c r="AR721">
        <v>3</v>
      </c>
      <c r="AS721">
        <v>3</v>
      </c>
      <c r="AT721">
        <v>3</v>
      </c>
      <c r="AU721">
        <v>3</v>
      </c>
      <c r="AV721">
        <v>3</v>
      </c>
      <c r="AW721">
        <v>4.5999999999999996</v>
      </c>
      <c r="AX721">
        <v>4.5</v>
      </c>
      <c r="AY721">
        <v>4.8</v>
      </c>
      <c r="AZ721">
        <v>0</v>
      </c>
      <c r="BA721">
        <v>3</v>
      </c>
      <c r="BB721">
        <v>36</v>
      </c>
      <c r="BC721">
        <v>26</v>
      </c>
      <c r="BD721">
        <v>31.73</v>
      </c>
      <c r="BE721">
        <v>152</v>
      </c>
      <c r="BF721">
        <v>88.1</v>
      </c>
      <c r="BG721">
        <v>41</v>
      </c>
      <c r="BH721">
        <v>26</v>
      </c>
      <c r="BI721">
        <v>36.15</v>
      </c>
      <c r="BJ721">
        <v>176</v>
      </c>
      <c r="BK721">
        <v>88.2</v>
      </c>
      <c r="BL721">
        <v>264</v>
      </c>
      <c r="BM721">
        <v>12.3767</v>
      </c>
    </row>
    <row r="722" spans="1:65" x14ac:dyDescent="0.25">
      <c r="A722" t="s">
        <v>785</v>
      </c>
      <c r="B722" t="s">
        <v>1764</v>
      </c>
      <c r="C722" t="s">
        <v>2160</v>
      </c>
      <c r="D722" s="1">
        <v>45267</v>
      </c>
      <c r="E722" s="1">
        <v>45299</v>
      </c>
      <c r="F722" s="1">
        <v>45404</v>
      </c>
      <c r="G722" t="s">
        <v>2166</v>
      </c>
      <c r="I722" t="s">
        <v>2175</v>
      </c>
      <c r="J722">
        <v>37263</v>
      </c>
      <c r="K722">
        <v>1117</v>
      </c>
      <c r="L722">
        <v>16.899999999999999</v>
      </c>
      <c r="M722">
        <v>14.6</v>
      </c>
      <c r="N722">
        <v>8</v>
      </c>
      <c r="O722">
        <v>17197</v>
      </c>
      <c r="P722" t="s">
        <v>2178</v>
      </c>
      <c r="Q722">
        <v>27</v>
      </c>
      <c r="R722">
        <v>41</v>
      </c>
      <c r="S722">
        <v>47</v>
      </c>
      <c r="T722">
        <v>324</v>
      </c>
      <c r="U722" t="s">
        <v>2181</v>
      </c>
      <c r="W722" t="s">
        <v>2209</v>
      </c>
      <c r="X722" t="s">
        <v>2211</v>
      </c>
      <c r="Y722" t="s">
        <v>2213</v>
      </c>
      <c r="Z722" s="1">
        <v>45414</v>
      </c>
      <c r="AA722" s="1">
        <v>45435</v>
      </c>
      <c r="AB722" t="s">
        <v>2215</v>
      </c>
      <c r="AC722" t="s">
        <v>2208</v>
      </c>
      <c r="AD722" t="s">
        <v>2219</v>
      </c>
      <c r="AE722" t="s">
        <v>2166</v>
      </c>
      <c r="AF722" t="s">
        <v>2163</v>
      </c>
      <c r="AG722" t="s">
        <v>2222</v>
      </c>
      <c r="AH722">
        <v>115</v>
      </c>
      <c r="AI722">
        <v>136</v>
      </c>
      <c r="AJ722">
        <v>21</v>
      </c>
      <c r="AK722">
        <v>1</v>
      </c>
      <c r="AL722" t="s">
        <v>2233</v>
      </c>
      <c r="AM722">
        <v>0</v>
      </c>
      <c r="AN722" t="s">
        <v>2175</v>
      </c>
      <c r="AO722" t="s">
        <v>2175</v>
      </c>
      <c r="AP722" t="s">
        <v>2175</v>
      </c>
      <c r="AQ722">
        <v>246.74</v>
      </c>
      <c r="AR722">
        <v>3</v>
      </c>
      <c r="AS722">
        <v>3</v>
      </c>
      <c r="AT722">
        <v>3</v>
      </c>
      <c r="AU722">
        <v>3</v>
      </c>
      <c r="AV722">
        <v>3</v>
      </c>
      <c r="AW722">
        <v>4.8</v>
      </c>
      <c r="AX722">
        <v>4.4000000000000004</v>
      </c>
      <c r="AY722">
        <v>4.8</v>
      </c>
      <c r="AZ722">
        <v>1</v>
      </c>
      <c r="BA722">
        <v>3</v>
      </c>
      <c r="BB722">
        <v>40</v>
      </c>
      <c r="BC722">
        <v>27</v>
      </c>
      <c r="BD722">
        <v>35.07</v>
      </c>
      <c r="BE722">
        <v>181</v>
      </c>
      <c r="BF722">
        <v>87.7</v>
      </c>
      <c r="BG722">
        <v>40</v>
      </c>
      <c r="BH722">
        <v>27</v>
      </c>
      <c r="BI722">
        <v>35.07</v>
      </c>
      <c r="BJ722">
        <v>181</v>
      </c>
      <c r="BK722">
        <v>87.7</v>
      </c>
      <c r="BL722">
        <v>359</v>
      </c>
      <c r="BM722">
        <v>7.6234000000000002</v>
      </c>
    </row>
    <row r="723" spans="1:65" x14ac:dyDescent="0.25">
      <c r="A723" t="s">
        <v>786</v>
      </c>
      <c r="B723" t="s">
        <v>1765</v>
      </c>
      <c r="C723" t="s">
        <v>2158</v>
      </c>
      <c r="D723" s="1">
        <v>45539</v>
      </c>
      <c r="E723" s="1">
        <v>45581</v>
      </c>
      <c r="F723" s="1">
        <v>45768</v>
      </c>
      <c r="G723" t="s">
        <v>2165</v>
      </c>
      <c r="I723" t="s">
        <v>2175</v>
      </c>
      <c r="J723">
        <v>43704</v>
      </c>
      <c r="K723">
        <v>1311</v>
      </c>
      <c r="L723">
        <v>12.7</v>
      </c>
      <c r="M723">
        <v>17.600000000000001</v>
      </c>
      <c r="N723">
        <v>7</v>
      </c>
      <c r="O723">
        <v>15124</v>
      </c>
      <c r="P723" t="s">
        <v>2178</v>
      </c>
      <c r="Q723">
        <v>44</v>
      </c>
      <c r="R723">
        <v>79</v>
      </c>
      <c r="S723">
        <v>70</v>
      </c>
      <c r="T723">
        <v>226</v>
      </c>
      <c r="U723" t="s">
        <v>2196</v>
      </c>
      <c r="W723" t="s">
        <v>2209</v>
      </c>
      <c r="X723" t="s">
        <v>2211</v>
      </c>
      <c r="Y723" t="s">
        <v>2213</v>
      </c>
      <c r="Z723" s="1">
        <v>45774</v>
      </c>
      <c r="AA723" s="1">
        <v>45793</v>
      </c>
      <c r="AB723" t="s">
        <v>2215</v>
      </c>
      <c r="AC723" t="s">
        <v>2208</v>
      </c>
      <c r="AD723" t="s">
        <v>2219</v>
      </c>
      <c r="AE723" t="s">
        <v>2165</v>
      </c>
      <c r="AF723" t="s">
        <v>2163</v>
      </c>
      <c r="AG723" t="s">
        <v>2222</v>
      </c>
      <c r="AH723">
        <v>193</v>
      </c>
      <c r="AI723">
        <v>212</v>
      </c>
      <c r="AJ723">
        <v>19</v>
      </c>
      <c r="AK723">
        <v>10</v>
      </c>
      <c r="AL723" t="s">
        <v>2230</v>
      </c>
      <c r="AM723">
        <v>1</v>
      </c>
      <c r="AN723" t="s">
        <v>2175</v>
      </c>
      <c r="AO723" t="s">
        <v>2175</v>
      </c>
      <c r="AP723" t="s">
        <v>2175</v>
      </c>
      <c r="AQ723">
        <v>223.52</v>
      </c>
      <c r="AR723">
        <v>3</v>
      </c>
      <c r="AS723">
        <v>3</v>
      </c>
      <c r="AT723">
        <v>3</v>
      </c>
      <c r="AU723">
        <v>3</v>
      </c>
      <c r="AV723">
        <v>3</v>
      </c>
      <c r="AW723">
        <v>4.5999999999999996</v>
      </c>
      <c r="AX723">
        <v>4.4000000000000004</v>
      </c>
      <c r="AY723">
        <v>4.5999999999999996</v>
      </c>
      <c r="AZ723">
        <v>2</v>
      </c>
      <c r="BA723">
        <v>3</v>
      </c>
      <c r="BB723">
        <v>43</v>
      </c>
      <c r="BC723">
        <v>27</v>
      </c>
      <c r="BD723">
        <v>37.33</v>
      </c>
      <c r="BE723">
        <v>194</v>
      </c>
      <c r="BF723">
        <v>86.8</v>
      </c>
      <c r="BG723">
        <v>43</v>
      </c>
      <c r="BH723">
        <v>27</v>
      </c>
      <c r="BI723">
        <v>37.33</v>
      </c>
      <c r="BJ723">
        <v>194</v>
      </c>
      <c r="BK723">
        <v>86.8</v>
      </c>
      <c r="BL723">
        <v>359</v>
      </c>
      <c r="BM723">
        <v>8.3421000000000003</v>
      </c>
    </row>
    <row r="724" spans="1:65" x14ac:dyDescent="0.25">
      <c r="A724" t="s">
        <v>787</v>
      </c>
      <c r="B724" t="s">
        <v>1766</v>
      </c>
      <c r="C724" t="s">
        <v>2160</v>
      </c>
      <c r="D724" s="1">
        <v>45488</v>
      </c>
      <c r="E724" s="1">
        <v>45521</v>
      </c>
      <c r="F724" s="1">
        <v>45653</v>
      </c>
      <c r="G724" t="s">
        <v>2165</v>
      </c>
      <c r="I724" t="s">
        <v>2175</v>
      </c>
      <c r="J724">
        <v>32017</v>
      </c>
      <c r="K724">
        <v>960</v>
      </c>
      <c r="L724">
        <v>17.399999999999999</v>
      </c>
      <c r="M724">
        <v>12.5</v>
      </c>
      <c r="N724">
        <v>8</v>
      </c>
      <c r="O724">
        <v>19470</v>
      </c>
      <c r="P724" t="s">
        <v>2178</v>
      </c>
      <c r="Q724">
        <v>27</v>
      </c>
      <c r="R724">
        <v>44</v>
      </c>
      <c r="S724">
        <v>75</v>
      </c>
      <c r="T724">
        <v>219</v>
      </c>
      <c r="U724" t="s">
        <v>2198</v>
      </c>
      <c r="W724" t="s">
        <v>2209</v>
      </c>
      <c r="X724" t="s">
        <v>2211</v>
      </c>
      <c r="Y724" t="s">
        <v>2213</v>
      </c>
      <c r="Z724" s="1">
        <v>45667</v>
      </c>
      <c r="AA724" s="1">
        <v>45690</v>
      </c>
      <c r="AB724" t="s">
        <v>2215</v>
      </c>
      <c r="AC724" t="s">
        <v>2208</v>
      </c>
      <c r="AD724" t="s">
        <v>2219</v>
      </c>
      <c r="AE724" t="s">
        <v>2166</v>
      </c>
      <c r="AF724" t="s">
        <v>2161</v>
      </c>
      <c r="AG724" t="s">
        <v>2222</v>
      </c>
      <c r="AH724">
        <v>146</v>
      </c>
      <c r="AI724">
        <v>169</v>
      </c>
      <c r="AJ724">
        <v>23</v>
      </c>
      <c r="AK724">
        <v>8</v>
      </c>
      <c r="AL724" t="s">
        <v>2232</v>
      </c>
      <c r="AM724">
        <v>0</v>
      </c>
      <c r="AN724" t="s">
        <v>2175</v>
      </c>
      <c r="AO724" t="s">
        <v>2175</v>
      </c>
      <c r="AP724" t="s">
        <v>2175</v>
      </c>
      <c r="AQ724">
        <v>217.5</v>
      </c>
      <c r="AR724">
        <v>3</v>
      </c>
      <c r="AS724">
        <v>3</v>
      </c>
      <c r="AT724">
        <v>3</v>
      </c>
      <c r="AU724">
        <v>3</v>
      </c>
      <c r="AV724">
        <v>3</v>
      </c>
      <c r="AW724">
        <v>4.8</v>
      </c>
      <c r="AX724">
        <v>4.3</v>
      </c>
      <c r="AY724">
        <v>4.5999999999999996</v>
      </c>
      <c r="AZ724">
        <v>1</v>
      </c>
      <c r="BA724">
        <v>3</v>
      </c>
      <c r="BB724">
        <v>41</v>
      </c>
      <c r="BC724">
        <v>26</v>
      </c>
      <c r="BD724">
        <v>36.15</v>
      </c>
      <c r="BE724">
        <v>176</v>
      </c>
      <c r="BF724">
        <v>88.2</v>
      </c>
      <c r="BG724">
        <v>36</v>
      </c>
      <c r="BH724">
        <v>26</v>
      </c>
      <c r="BI724">
        <v>31.73</v>
      </c>
      <c r="BJ724">
        <v>152</v>
      </c>
      <c r="BK724">
        <v>88.1</v>
      </c>
      <c r="BL724">
        <v>328</v>
      </c>
      <c r="BM724">
        <v>6.9951999999999996</v>
      </c>
    </row>
    <row r="725" spans="1:65" x14ac:dyDescent="0.25">
      <c r="A725" t="s">
        <v>788</v>
      </c>
      <c r="B725" t="s">
        <v>1767</v>
      </c>
      <c r="C725" t="s">
        <v>2158</v>
      </c>
      <c r="D725" s="1">
        <v>45431</v>
      </c>
      <c r="E725" s="1">
        <v>45461</v>
      </c>
      <c r="F725" s="1">
        <v>45579</v>
      </c>
      <c r="G725" t="s">
        <v>2162</v>
      </c>
      <c r="I725" t="s">
        <v>2175</v>
      </c>
      <c r="J725">
        <v>39993</v>
      </c>
      <c r="K725">
        <v>1199</v>
      </c>
      <c r="L725">
        <v>13.8</v>
      </c>
      <c r="M725">
        <v>13.6</v>
      </c>
      <c r="N725">
        <v>8</v>
      </c>
      <c r="O725">
        <v>19905</v>
      </c>
      <c r="P725" t="s">
        <v>2178</v>
      </c>
      <c r="Q725">
        <v>29</v>
      </c>
      <c r="R725">
        <v>41</v>
      </c>
      <c r="S725">
        <v>65</v>
      </c>
      <c r="T725">
        <v>296</v>
      </c>
      <c r="U725" t="s">
        <v>2205</v>
      </c>
      <c r="W725" t="s">
        <v>2209</v>
      </c>
      <c r="X725" t="s">
        <v>2211</v>
      </c>
      <c r="Y725" t="s">
        <v>2213</v>
      </c>
      <c r="Z725" s="1">
        <v>45596</v>
      </c>
      <c r="AA725" s="1">
        <v>45612</v>
      </c>
      <c r="AB725" t="s">
        <v>2215</v>
      </c>
      <c r="AC725" t="s">
        <v>2208</v>
      </c>
      <c r="AD725" t="s">
        <v>2219</v>
      </c>
      <c r="AE725" t="s">
        <v>2165</v>
      </c>
      <c r="AF725" t="s">
        <v>2164</v>
      </c>
      <c r="AG725" t="s">
        <v>2222</v>
      </c>
      <c r="AH725">
        <v>135</v>
      </c>
      <c r="AI725">
        <v>151</v>
      </c>
      <c r="AJ725">
        <v>16</v>
      </c>
      <c r="AK725">
        <v>6</v>
      </c>
      <c r="AL725" t="s">
        <v>2223</v>
      </c>
      <c r="AM725">
        <v>0</v>
      </c>
      <c r="AN725" t="s">
        <v>2175</v>
      </c>
      <c r="AO725" t="s">
        <v>2175</v>
      </c>
      <c r="AP725" t="s">
        <v>2175</v>
      </c>
      <c r="AQ725">
        <v>187.68</v>
      </c>
      <c r="AR725">
        <v>3</v>
      </c>
      <c r="AS725">
        <v>3</v>
      </c>
      <c r="AT725">
        <v>3</v>
      </c>
      <c r="AU725">
        <v>3</v>
      </c>
      <c r="AV725">
        <v>3</v>
      </c>
      <c r="AW725">
        <v>4.5999999999999996</v>
      </c>
      <c r="AX725">
        <v>4.5</v>
      </c>
      <c r="AY725">
        <v>4.2</v>
      </c>
      <c r="AZ725">
        <v>2</v>
      </c>
      <c r="BA725">
        <v>3</v>
      </c>
      <c r="BB725">
        <v>40</v>
      </c>
      <c r="BC725">
        <v>25</v>
      </c>
      <c r="BD725">
        <v>34.72</v>
      </c>
      <c r="BE725">
        <v>161</v>
      </c>
      <c r="BF725">
        <v>86.8</v>
      </c>
      <c r="BG725">
        <v>29</v>
      </c>
      <c r="BH725">
        <v>25</v>
      </c>
      <c r="BI725">
        <v>25.56</v>
      </c>
      <c r="BJ725">
        <v>117</v>
      </c>
      <c r="BK725">
        <v>88.1</v>
      </c>
      <c r="BL725">
        <v>294</v>
      </c>
      <c r="BM725">
        <v>9.9337</v>
      </c>
    </row>
    <row r="726" spans="1:65" x14ac:dyDescent="0.25">
      <c r="A726" t="s">
        <v>789</v>
      </c>
      <c r="B726" t="s">
        <v>1768</v>
      </c>
      <c r="C726" t="s">
        <v>2157</v>
      </c>
      <c r="D726" s="1">
        <v>45440</v>
      </c>
      <c r="E726" s="1">
        <v>45461</v>
      </c>
      <c r="F726" s="1">
        <v>45640</v>
      </c>
      <c r="G726" t="s">
        <v>2165</v>
      </c>
      <c r="I726" t="s">
        <v>2175</v>
      </c>
      <c r="J726">
        <v>47937</v>
      </c>
      <c r="K726">
        <v>1438</v>
      </c>
      <c r="L726">
        <v>16.7</v>
      </c>
      <c r="M726">
        <v>13.8</v>
      </c>
      <c r="N726">
        <v>8</v>
      </c>
      <c r="O726">
        <v>16356</v>
      </c>
      <c r="P726" t="s">
        <v>2178</v>
      </c>
      <c r="Q726">
        <v>44</v>
      </c>
      <c r="R726">
        <v>76</v>
      </c>
      <c r="S726">
        <v>72</v>
      </c>
      <c r="T726">
        <v>249</v>
      </c>
      <c r="U726" t="s">
        <v>2181</v>
      </c>
      <c r="W726" t="s">
        <v>2209</v>
      </c>
      <c r="X726" t="s">
        <v>2211</v>
      </c>
      <c r="Y726" t="s">
        <v>2213</v>
      </c>
      <c r="Z726" s="1">
        <v>45653</v>
      </c>
      <c r="AA726" s="1">
        <v>45671</v>
      </c>
      <c r="AB726" t="s">
        <v>2215</v>
      </c>
      <c r="AC726" t="s">
        <v>2208</v>
      </c>
      <c r="AD726" t="s">
        <v>2219</v>
      </c>
      <c r="AE726" t="s">
        <v>2166</v>
      </c>
      <c r="AF726" t="s">
        <v>2163</v>
      </c>
      <c r="AG726" t="s">
        <v>2222</v>
      </c>
      <c r="AH726">
        <v>192</v>
      </c>
      <c r="AI726">
        <v>210</v>
      </c>
      <c r="AJ726">
        <v>18</v>
      </c>
      <c r="AK726">
        <v>6</v>
      </c>
      <c r="AL726" t="s">
        <v>2223</v>
      </c>
      <c r="AM726">
        <v>0</v>
      </c>
      <c r="AN726" t="s">
        <v>2175</v>
      </c>
      <c r="AO726" t="s">
        <v>2175</v>
      </c>
      <c r="AP726" t="s">
        <v>2175</v>
      </c>
      <c r="AQ726">
        <v>230.46</v>
      </c>
      <c r="AR726">
        <v>3</v>
      </c>
      <c r="AS726">
        <v>3</v>
      </c>
      <c r="AT726">
        <v>3</v>
      </c>
      <c r="AU726">
        <v>3</v>
      </c>
      <c r="AV726">
        <v>3</v>
      </c>
      <c r="AW726">
        <v>4.8</v>
      </c>
      <c r="AX726">
        <v>4.4000000000000004</v>
      </c>
      <c r="AY726">
        <v>4.5999999999999996</v>
      </c>
      <c r="AZ726">
        <v>3</v>
      </c>
      <c r="BA726">
        <v>3</v>
      </c>
      <c r="BB726">
        <v>45</v>
      </c>
      <c r="BC726">
        <v>25</v>
      </c>
      <c r="BD726">
        <v>39.200000000000003</v>
      </c>
      <c r="BE726">
        <v>186</v>
      </c>
      <c r="BF726">
        <v>87.1</v>
      </c>
      <c r="BG726">
        <v>40</v>
      </c>
      <c r="BH726">
        <v>25</v>
      </c>
      <c r="BI726">
        <v>34.72</v>
      </c>
      <c r="BJ726">
        <v>161</v>
      </c>
      <c r="BK726">
        <v>86.8</v>
      </c>
      <c r="BL726">
        <v>307</v>
      </c>
      <c r="BM726">
        <v>10.306800000000001</v>
      </c>
    </row>
    <row r="727" spans="1:65" x14ac:dyDescent="0.25">
      <c r="A727" t="s">
        <v>790</v>
      </c>
      <c r="B727" t="s">
        <v>1769</v>
      </c>
      <c r="C727" t="s">
        <v>2160</v>
      </c>
      <c r="D727" s="1">
        <v>45298</v>
      </c>
      <c r="E727" s="1">
        <v>45353</v>
      </c>
      <c r="F727" s="1">
        <v>45552</v>
      </c>
      <c r="G727" t="s">
        <v>2163</v>
      </c>
      <c r="I727" t="s">
        <v>2175</v>
      </c>
      <c r="J727">
        <v>48714</v>
      </c>
      <c r="K727">
        <v>1461</v>
      </c>
      <c r="L727">
        <v>15.3</v>
      </c>
      <c r="M727">
        <v>12.3</v>
      </c>
      <c r="N727">
        <v>7</v>
      </c>
      <c r="O727">
        <v>16789</v>
      </c>
      <c r="P727" t="s">
        <v>2178</v>
      </c>
      <c r="Q727">
        <v>50</v>
      </c>
      <c r="R727">
        <v>97</v>
      </c>
      <c r="S727">
        <v>63</v>
      </c>
      <c r="T727">
        <v>231</v>
      </c>
      <c r="U727" t="s">
        <v>2181</v>
      </c>
      <c r="W727" t="s">
        <v>2209</v>
      </c>
      <c r="X727" t="s">
        <v>2211</v>
      </c>
      <c r="Y727" t="s">
        <v>2213</v>
      </c>
      <c r="Z727" s="1">
        <v>45563</v>
      </c>
      <c r="AA727" s="1">
        <v>45578</v>
      </c>
      <c r="AB727" t="s">
        <v>2215</v>
      </c>
      <c r="AC727" t="s">
        <v>2208</v>
      </c>
      <c r="AD727" t="s">
        <v>2219</v>
      </c>
      <c r="AE727" t="s">
        <v>2166</v>
      </c>
      <c r="AF727" t="s">
        <v>2163</v>
      </c>
      <c r="AG727" t="s">
        <v>2222</v>
      </c>
      <c r="AH727">
        <v>210</v>
      </c>
      <c r="AI727">
        <v>225</v>
      </c>
      <c r="AJ727">
        <v>15</v>
      </c>
      <c r="AK727">
        <v>3</v>
      </c>
      <c r="AL727" t="s">
        <v>2227</v>
      </c>
      <c r="AM727">
        <v>0</v>
      </c>
      <c r="AN727" t="s">
        <v>2175</v>
      </c>
      <c r="AO727" t="s">
        <v>2175</v>
      </c>
      <c r="AP727" t="s">
        <v>2175</v>
      </c>
      <c r="AQ727">
        <v>188.19</v>
      </c>
      <c r="AR727">
        <v>3</v>
      </c>
      <c r="AS727">
        <v>3</v>
      </c>
      <c r="AT727">
        <v>3</v>
      </c>
      <c r="AU727">
        <v>3</v>
      </c>
      <c r="AV727">
        <v>3</v>
      </c>
      <c r="AW727">
        <v>4.8</v>
      </c>
      <c r="AX727">
        <v>4.4000000000000004</v>
      </c>
      <c r="AY727">
        <v>4.4000000000000004</v>
      </c>
      <c r="AZ727">
        <v>1</v>
      </c>
      <c r="BA727">
        <v>3</v>
      </c>
      <c r="BB727">
        <v>49</v>
      </c>
      <c r="BC727">
        <v>26</v>
      </c>
      <c r="BD727">
        <v>43.12</v>
      </c>
      <c r="BE727">
        <v>216</v>
      </c>
      <c r="BF727">
        <v>88</v>
      </c>
      <c r="BG727">
        <v>35</v>
      </c>
      <c r="BH727">
        <v>26</v>
      </c>
      <c r="BI727">
        <v>31.08</v>
      </c>
      <c r="BJ727">
        <v>149</v>
      </c>
      <c r="BK727">
        <v>88.8</v>
      </c>
      <c r="BL727">
        <v>365</v>
      </c>
      <c r="BM727">
        <v>8.6725999999999992</v>
      </c>
    </row>
    <row r="728" spans="1:65" x14ac:dyDescent="0.25">
      <c r="A728" t="s">
        <v>791</v>
      </c>
      <c r="B728" t="s">
        <v>1770</v>
      </c>
      <c r="C728" t="s">
        <v>2159</v>
      </c>
      <c r="D728" s="1">
        <v>45297</v>
      </c>
      <c r="E728" s="1">
        <v>45352</v>
      </c>
      <c r="F728" s="1">
        <v>45543</v>
      </c>
      <c r="G728" t="s">
        <v>2163</v>
      </c>
      <c r="I728" t="s">
        <v>2175</v>
      </c>
      <c r="J728">
        <v>46473</v>
      </c>
      <c r="K728">
        <v>1394</v>
      </c>
      <c r="L728">
        <v>16.5</v>
      </c>
      <c r="M728">
        <v>12.3</v>
      </c>
      <c r="N728">
        <v>7</v>
      </c>
      <c r="O728">
        <v>18364</v>
      </c>
      <c r="P728" t="s">
        <v>2178</v>
      </c>
      <c r="Q728">
        <v>43</v>
      </c>
      <c r="R728">
        <v>82</v>
      </c>
      <c r="S728">
        <v>84</v>
      </c>
      <c r="T728">
        <v>222</v>
      </c>
      <c r="U728" t="s">
        <v>2179</v>
      </c>
      <c r="W728" t="s">
        <v>2209</v>
      </c>
      <c r="X728" t="s">
        <v>2211</v>
      </c>
      <c r="Y728" t="s">
        <v>2213</v>
      </c>
      <c r="Z728" s="1">
        <v>45561</v>
      </c>
      <c r="AA728" s="1">
        <v>45578</v>
      </c>
      <c r="AB728" t="s">
        <v>2215</v>
      </c>
      <c r="AC728" t="s">
        <v>2208</v>
      </c>
      <c r="AD728" t="s">
        <v>2219</v>
      </c>
      <c r="AE728" t="s">
        <v>2165</v>
      </c>
      <c r="AF728" t="s">
        <v>2162</v>
      </c>
      <c r="AG728" t="s">
        <v>2222</v>
      </c>
      <c r="AH728">
        <v>209</v>
      </c>
      <c r="AI728">
        <v>226</v>
      </c>
      <c r="AJ728">
        <v>17</v>
      </c>
      <c r="AK728">
        <v>3</v>
      </c>
      <c r="AL728" t="s">
        <v>2227</v>
      </c>
      <c r="AM728">
        <v>0</v>
      </c>
      <c r="AN728" t="s">
        <v>2175</v>
      </c>
      <c r="AO728" t="s">
        <v>2175</v>
      </c>
      <c r="AP728" t="s">
        <v>2175</v>
      </c>
      <c r="AQ728">
        <v>202.95</v>
      </c>
      <c r="AR728">
        <v>3</v>
      </c>
      <c r="AS728">
        <v>3</v>
      </c>
      <c r="AT728">
        <v>3</v>
      </c>
      <c r="AU728">
        <v>3</v>
      </c>
      <c r="AV728">
        <v>3</v>
      </c>
      <c r="AW728">
        <v>4.5999999999999996</v>
      </c>
      <c r="AX728">
        <v>4.2</v>
      </c>
      <c r="AY728">
        <v>4.4000000000000004</v>
      </c>
      <c r="AZ728">
        <v>0</v>
      </c>
      <c r="BA728">
        <v>3</v>
      </c>
      <c r="BB728">
        <v>48</v>
      </c>
      <c r="BC728">
        <v>26</v>
      </c>
      <c r="BD728">
        <v>42.38</v>
      </c>
      <c r="BE728">
        <v>212</v>
      </c>
      <c r="BF728">
        <v>88.3</v>
      </c>
      <c r="BG728">
        <v>35</v>
      </c>
      <c r="BH728">
        <v>26</v>
      </c>
      <c r="BI728">
        <v>31.08</v>
      </c>
      <c r="BJ728">
        <v>149</v>
      </c>
      <c r="BK728">
        <v>88.8</v>
      </c>
      <c r="BL728">
        <v>342</v>
      </c>
      <c r="BM728">
        <v>8.4297000000000004</v>
      </c>
    </row>
    <row r="729" spans="1:65" x14ac:dyDescent="0.25">
      <c r="A729" t="s">
        <v>792</v>
      </c>
      <c r="B729" t="s">
        <v>1771</v>
      </c>
      <c r="C729" t="s">
        <v>2158</v>
      </c>
      <c r="D729" s="1">
        <v>45312</v>
      </c>
      <c r="E729" s="1">
        <v>45363</v>
      </c>
      <c r="F729" s="1">
        <v>45649</v>
      </c>
      <c r="G729" t="s">
        <v>2162</v>
      </c>
      <c r="I729" t="s">
        <v>2175</v>
      </c>
      <c r="J729">
        <v>54338</v>
      </c>
      <c r="K729">
        <v>1630</v>
      </c>
      <c r="L729">
        <v>12.9</v>
      </c>
      <c r="M729">
        <v>12.9</v>
      </c>
      <c r="N729">
        <v>7</v>
      </c>
      <c r="O729">
        <v>16187</v>
      </c>
      <c r="P729" t="s">
        <v>2178</v>
      </c>
      <c r="Q729">
        <v>59</v>
      </c>
      <c r="R729">
        <v>111</v>
      </c>
      <c r="S729">
        <v>127</v>
      </c>
      <c r="T729">
        <v>182</v>
      </c>
      <c r="U729" t="s">
        <v>2201</v>
      </c>
      <c r="W729" t="s">
        <v>2209</v>
      </c>
      <c r="X729" t="s">
        <v>2211</v>
      </c>
      <c r="Y729" t="s">
        <v>2213</v>
      </c>
      <c r="Z729" s="1">
        <v>45660</v>
      </c>
      <c r="AA729" s="1">
        <v>45676</v>
      </c>
      <c r="AB729" t="s">
        <v>2215</v>
      </c>
      <c r="AC729" t="s">
        <v>2208</v>
      </c>
      <c r="AD729" t="s">
        <v>2219</v>
      </c>
      <c r="AE729" t="s">
        <v>2165</v>
      </c>
      <c r="AF729" t="s">
        <v>2161</v>
      </c>
      <c r="AG729" t="s">
        <v>2222</v>
      </c>
      <c r="AH729">
        <v>297</v>
      </c>
      <c r="AI729">
        <v>313</v>
      </c>
      <c r="AJ729">
        <v>16</v>
      </c>
      <c r="AK729">
        <v>3</v>
      </c>
      <c r="AL729" t="s">
        <v>2227</v>
      </c>
      <c r="AM729">
        <v>0</v>
      </c>
      <c r="AN729" t="s">
        <v>2175</v>
      </c>
      <c r="AO729" t="s">
        <v>2175</v>
      </c>
      <c r="AP729" t="s">
        <v>2175</v>
      </c>
      <c r="AQ729">
        <v>166.41</v>
      </c>
      <c r="AR729">
        <v>3</v>
      </c>
      <c r="AS729">
        <v>3</v>
      </c>
      <c r="AT729">
        <v>3</v>
      </c>
      <c r="AU729">
        <v>3</v>
      </c>
      <c r="AV729">
        <v>3</v>
      </c>
      <c r="AW729">
        <v>4.5999999999999996</v>
      </c>
      <c r="AX729">
        <v>4.3</v>
      </c>
      <c r="AY729">
        <v>4.2</v>
      </c>
      <c r="AZ729">
        <v>2</v>
      </c>
      <c r="BA729">
        <v>3</v>
      </c>
      <c r="BB729">
        <v>48</v>
      </c>
      <c r="BC729">
        <v>26</v>
      </c>
      <c r="BD729">
        <v>42.38</v>
      </c>
      <c r="BE729">
        <v>212</v>
      </c>
      <c r="BF729">
        <v>88.3</v>
      </c>
      <c r="BG729">
        <v>31</v>
      </c>
      <c r="BH729">
        <v>26</v>
      </c>
      <c r="BI729">
        <v>27.27</v>
      </c>
      <c r="BJ729">
        <v>130</v>
      </c>
      <c r="BK729">
        <v>88</v>
      </c>
      <c r="BL729">
        <v>376</v>
      </c>
      <c r="BM729">
        <v>9.8562999999999992</v>
      </c>
    </row>
    <row r="730" spans="1:65" x14ac:dyDescent="0.25">
      <c r="A730" t="s">
        <v>793</v>
      </c>
      <c r="B730" t="s">
        <v>1772</v>
      </c>
      <c r="C730" t="s">
        <v>2157</v>
      </c>
      <c r="D730" s="1">
        <v>45424</v>
      </c>
      <c r="E730" s="1">
        <v>45452</v>
      </c>
      <c r="F730" s="1">
        <v>45635</v>
      </c>
      <c r="G730" t="s">
        <v>2163</v>
      </c>
      <c r="I730" t="s">
        <v>2175</v>
      </c>
      <c r="J730">
        <v>39141</v>
      </c>
      <c r="K730">
        <v>1174</v>
      </c>
      <c r="L730">
        <v>13.5</v>
      </c>
      <c r="M730">
        <v>17.899999999999999</v>
      </c>
      <c r="N730">
        <v>8</v>
      </c>
      <c r="O730">
        <v>15691</v>
      </c>
      <c r="P730" t="s">
        <v>2178</v>
      </c>
      <c r="Q730">
        <v>42</v>
      </c>
      <c r="R730">
        <v>68</v>
      </c>
      <c r="S730">
        <v>90</v>
      </c>
      <c r="T730">
        <v>195</v>
      </c>
      <c r="U730" t="s">
        <v>2179</v>
      </c>
      <c r="W730" t="s">
        <v>2209</v>
      </c>
      <c r="X730" t="s">
        <v>2211</v>
      </c>
      <c r="Y730" t="s">
        <v>2213</v>
      </c>
      <c r="Z730" s="1">
        <v>45652</v>
      </c>
      <c r="AA730" s="1">
        <v>45670</v>
      </c>
      <c r="AB730" t="s">
        <v>2215</v>
      </c>
      <c r="AC730" t="s">
        <v>2208</v>
      </c>
      <c r="AD730" t="s">
        <v>2219</v>
      </c>
      <c r="AE730" t="s">
        <v>2165</v>
      </c>
      <c r="AF730" t="s">
        <v>2162</v>
      </c>
      <c r="AG730" t="s">
        <v>2222</v>
      </c>
      <c r="AH730">
        <v>200</v>
      </c>
      <c r="AI730">
        <v>218</v>
      </c>
      <c r="AJ730">
        <v>18</v>
      </c>
      <c r="AK730">
        <v>6</v>
      </c>
      <c r="AL730" t="s">
        <v>2223</v>
      </c>
      <c r="AM730">
        <v>0</v>
      </c>
      <c r="AN730" t="s">
        <v>2175</v>
      </c>
      <c r="AO730" t="s">
        <v>2175</v>
      </c>
      <c r="AP730" t="s">
        <v>2175</v>
      </c>
      <c r="AQ730">
        <v>241.65</v>
      </c>
      <c r="AR730">
        <v>3</v>
      </c>
      <c r="AS730">
        <v>3</v>
      </c>
      <c r="AT730">
        <v>3</v>
      </c>
      <c r="AU730">
        <v>3</v>
      </c>
      <c r="AV730">
        <v>3</v>
      </c>
      <c r="AW730">
        <v>4.5999999999999996</v>
      </c>
      <c r="AX730">
        <v>4.2</v>
      </c>
      <c r="AY730">
        <v>4.4000000000000004</v>
      </c>
      <c r="AZ730">
        <v>3</v>
      </c>
      <c r="BA730">
        <v>3</v>
      </c>
      <c r="BB730">
        <v>40</v>
      </c>
      <c r="BC730">
        <v>25</v>
      </c>
      <c r="BD730">
        <v>34.72</v>
      </c>
      <c r="BE730">
        <v>161</v>
      </c>
      <c r="BF730">
        <v>86.8</v>
      </c>
      <c r="BG730">
        <v>30</v>
      </c>
      <c r="BH730">
        <v>25</v>
      </c>
      <c r="BI730">
        <v>26.48</v>
      </c>
      <c r="BJ730">
        <v>121</v>
      </c>
      <c r="BK730">
        <v>88.3</v>
      </c>
      <c r="BL730">
        <v>278</v>
      </c>
      <c r="BM730">
        <v>9.7220999999999993</v>
      </c>
    </row>
    <row r="731" spans="1:65" x14ac:dyDescent="0.25">
      <c r="A731" t="s">
        <v>794</v>
      </c>
      <c r="B731" t="s">
        <v>1773</v>
      </c>
      <c r="C731" t="s">
        <v>2158</v>
      </c>
      <c r="D731" s="1">
        <v>45287</v>
      </c>
      <c r="E731" s="1">
        <v>45310</v>
      </c>
      <c r="F731" s="1">
        <v>45497</v>
      </c>
      <c r="G731" t="s">
        <v>2161</v>
      </c>
      <c r="I731" t="s">
        <v>2175</v>
      </c>
      <c r="J731">
        <v>43861</v>
      </c>
      <c r="K731">
        <v>1315</v>
      </c>
      <c r="L731">
        <v>15.3</v>
      </c>
      <c r="M731">
        <v>12.6</v>
      </c>
      <c r="N731">
        <v>8</v>
      </c>
      <c r="O731">
        <v>16878</v>
      </c>
      <c r="P731" t="s">
        <v>2178</v>
      </c>
      <c r="Q731">
        <v>43</v>
      </c>
      <c r="R731">
        <v>77</v>
      </c>
      <c r="S731">
        <v>80</v>
      </c>
      <c r="T731">
        <v>219</v>
      </c>
      <c r="U731" t="s">
        <v>2181</v>
      </c>
      <c r="W731" t="s">
        <v>2209</v>
      </c>
      <c r="X731" t="s">
        <v>2211</v>
      </c>
      <c r="Y731" t="s">
        <v>2213</v>
      </c>
      <c r="Z731" s="1">
        <v>45510</v>
      </c>
      <c r="AA731" s="1">
        <v>45529</v>
      </c>
      <c r="AB731" t="s">
        <v>2215</v>
      </c>
      <c r="AC731" t="s">
        <v>2208</v>
      </c>
      <c r="AD731" t="s">
        <v>2219</v>
      </c>
      <c r="AE731" t="s">
        <v>2166</v>
      </c>
      <c r="AF731" t="s">
        <v>2163</v>
      </c>
      <c r="AG731" t="s">
        <v>2222</v>
      </c>
      <c r="AH731">
        <v>200</v>
      </c>
      <c r="AI731">
        <v>219</v>
      </c>
      <c r="AJ731">
        <v>19</v>
      </c>
      <c r="AK731">
        <v>1</v>
      </c>
      <c r="AL731" t="s">
        <v>2233</v>
      </c>
      <c r="AM731">
        <v>0</v>
      </c>
      <c r="AN731" t="s">
        <v>2175</v>
      </c>
      <c r="AO731" t="s">
        <v>2175</v>
      </c>
      <c r="AP731" t="s">
        <v>2175</v>
      </c>
      <c r="AQ731">
        <v>192.78</v>
      </c>
      <c r="AR731">
        <v>3</v>
      </c>
      <c r="AS731">
        <v>3</v>
      </c>
      <c r="AT731">
        <v>3</v>
      </c>
      <c r="AU731">
        <v>3</v>
      </c>
      <c r="AV731">
        <v>3</v>
      </c>
      <c r="AW731">
        <v>4.8</v>
      </c>
      <c r="AX731">
        <v>4.4000000000000004</v>
      </c>
      <c r="AY731">
        <v>4.3</v>
      </c>
      <c r="AZ731">
        <v>2</v>
      </c>
      <c r="BA731">
        <v>3</v>
      </c>
      <c r="BB731">
        <v>40</v>
      </c>
      <c r="BC731">
        <v>27</v>
      </c>
      <c r="BD731">
        <v>35.07</v>
      </c>
      <c r="BE731">
        <v>181</v>
      </c>
      <c r="BF731">
        <v>87.7</v>
      </c>
      <c r="BG731">
        <v>33</v>
      </c>
      <c r="BH731">
        <v>27</v>
      </c>
      <c r="BI731">
        <v>28.81</v>
      </c>
      <c r="BJ731">
        <v>146</v>
      </c>
      <c r="BK731">
        <v>87.3</v>
      </c>
      <c r="BL731">
        <v>359</v>
      </c>
      <c r="BM731">
        <v>8.9732000000000003</v>
      </c>
    </row>
    <row r="732" spans="1:65" x14ac:dyDescent="0.25">
      <c r="A732" t="s">
        <v>795</v>
      </c>
      <c r="B732" t="s">
        <v>1774</v>
      </c>
      <c r="C732" t="s">
        <v>2159</v>
      </c>
      <c r="D732" s="1">
        <v>45297</v>
      </c>
      <c r="E732" s="1">
        <v>45326</v>
      </c>
      <c r="F732" s="1">
        <v>45535</v>
      </c>
      <c r="G732" t="s">
        <v>2164</v>
      </c>
      <c r="I732" t="s">
        <v>2175</v>
      </c>
      <c r="J732">
        <v>52313</v>
      </c>
      <c r="K732">
        <v>1569</v>
      </c>
      <c r="L732">
        <v>15.5</v>
      </c>
      <c r="M732">
        <v>17.2</v>
      </c>
      <c r="N732">
        <v>7</v>
      </c>
      <c r="O732">
        <v>15287</v>
      </c>
      <c r="P732" t="s">
        <v>2178</v>
      </c>
      <c r="Q732">
        <v>50</v>
      </c>
      <c r="R732">
        <v>73</v>
      </c>
      <c r="S732">
        <v>93</v>
      </c>
      <c r="T732">
        <v>242</v>
      </c>
      <c r="U732" t="s">
        <v>2205</v>
      </c>
      <c r="W732" t="s">
        <v>2209</v>
      </c>
      <c r="X732" t="s">
        <v>2211</v>
      </c>
      <c r="Y732" t="s">
        <v>2213</v>
      </c>
      <c r="Z732" s="1">
        <v>45542</v>
      </c>
      <c r="AA732" s="1">
        <v>45558</v>
      </c>
      <c r="AB732" t="s">
        <v>2215</v>
      </c>
      <c r="AC732" t="s">
        <v>2208</v>
      </c>
      <c r="AD732" t="s">
        <v>2219</v>
      </c>
      <c r="AE732" t="s">
        <v>2165</v>
      </c>
      <c r="AF732" t="s">
        <v>2164</v>
      </c>
      <c r="AG732" t="s">
        <v>2222</v>
      </c>
      <c r="AH732">
        <v>216</v>
      </c>
      <c r="AI732">
        <v>232</v>
      </c>
      <c r="AJ732">
        <v>16</v>
      </c>
      <c r="AK732">
        <v>2</v>
      </c>
      <c r="AL732" t="s">
        <v>2228</v>
      </c>
      <c r="AM732">
        <v>0</v>
      </c>
      <c r="AN732" t="s">
        <v>2175</v>
      </c>
      <c r="AO732" t="s">
        <v>2175</v>
      </c>
      <c r="AP732" t="s">
        <v>2175</v>
      </c>
      <c r="AQ732">
        <v>266.60000000000002</v>
      </c>
      <c r="AR732">
        <v>3</v>
      </c>
      <c r="AS732">
        <v>3</v>
      </c>
      <c r="AT732">
        <v>3</v>
      </c>
      <c r="AU732">
        <v>3</v>
      </c>
      <c r="AV732">
        <v>3</v>
      </c>
      <c r="AW732">
        <v>4.5999999999999996</v>
      </c>
      <c r="AX732">
        <v>4.5</v>
      </c>
      <c r="AY732">
        <v>4.5</v>
      </c>
      <c r="AZ732">
        <v>0</v>
      </c>
      <c r="BA732">
        <v>3</v>
      </c>
      <c r="BB732">
        <v>36</v>
      </c>
      <c r="BC732">
        <v>24</v>
      </c>
      <c r="BD732">
        <v>31.79</v>
      </c>
      <c r="BE732">
        <v>142</v>
      </c>
      <c r="BF732">
        <v>88.3</v>
      </c>
      <c r="BG732">
        <v>27</v>
      </c>
      <c r="BH732">
        <v>24</v>
      </c>
      <c r="BI732">
        <v>24.04</v>
      </c>
      <c r="BJ732">
        <v>106</v>
      </c>
      <c r="BK732">
        <v>89</v>
      </c>
      <c r="BL732">
        <v>248</v>
      </c>
      <c r="BM732">
        <v>15.345599999999999</v>
      </c>
    </row>
    <row r="733" spans="1:65" x14ac:dyDescent="0.25">
      <c r="A733" t="s">
        <v>796</v>
      </c>
      <c r="B733" t="s">
        <v>1775</v>
      </c>
      <c r="C733" t="s">
        <v>2160</v>
      </c>
      <c r="D733" s="1">
        <v>45332</v>
      </c>
      <c r="E733" s="1">
        <v>45363</v>
      </c>
      <c r="F733" s="1">
        <v>45572</v>
      </c>
      <c r="G733" t="s">
        <v>2161</v>
      </c>
      <c r="I733" t="s">
        <v>2175</v>
      </c>
      <c r="J733">
        <v>54535</v>
      </c>
      <c r="K733">
        <v>1636</v>
      </c>
      <c r="L733">
        <v>16.100000000000001</v>
      </c>
      <c r="M733">
        <v>16.899999999999999</v>
      </c>
      <c r="N733">
        <v>8</v>
      </c>
      <c r="O733">
        <v>18398</v>
      </c>
      <c r="P733" t="s">
        <v>2178</v>
      </c>
      <c r="Q733">
        <v>52</v>
      </c>
      <c r="R733">
        <v>92</v>
      </c>
      <c r="S733">
        <v>84</v>
      </c>
      <c r="T733">
        <v>239</v>
      </c>
      <c r="U733" t="s">
        <v>2201</v>
      </c>
      <c r="W733" t="s">
        <v>2209</v>
      </c>
      <c r="X733" t="s">
        <v>2211</v>
      </c>
      <c r="Y733" t="s">
        <v>2213</v>
      </c>
      <c r="Z733" s="1">
        <v>45591</v>
      </c>
      <c r="AA733" s="1">
        <v>45615</v>
      </c>
      <c r="AB733" t="s">
        <v>2215</v>
      </c>
      <c r="AC733" t="s">
        <v>2208</v>
      </c>
      <c r="AD733" t="s">
        <v>2219</v>
      </c>
      <c r="AE733" t="s">
        <v>2165</v>
      </c>
      <c r="AF733" t="s">
        <v>2161</v>
      </c>
      <c r="AG733" t="s">
        <v>2222</v>
      </c>
      <c r="AH733">
        <v>228</v>
      </c>
      <c r="AI733">
        <v>252</v>
      </c>
      <c r="AJ733">
        <v>24</v>
      </c>
      <c r="AK733">
        <v>3</v>
      </c>
      <c r="AL733" t="s">
        <v>2227</v>
      </c>
      <c r="AM733">
        <v>0</v>
      </c>
      <c r="AN733" t="s">
        <v>2175</v>
      </c>
      <c r="AO733" t="s">
        <v>2175</v>
      </c>
      <c r="AP733" t="s">
        <v>2175</v>
      </c>
      <c r="AQ733">
        <v>272.08999999999997</v>
      </c>
      <c r="AR733">
        <v>3</v>
      </c>
      <c r="AS733">
        <v>3</v>
      </c>
      <c r="AT733">
        <v>3</v>
      </c>
      <c r="AU733">
        <v>3</v>
      </c>
      <c r="AV733">
        <v>3</v>
      </c>
      <c r="AW733">
        <v>4.5999999999999996</v>
      </c>
      <c r="AX733">
        <v>4.3</v>
      </c>
      <c r="AY733">
        <v>4.3</v>
      </c>
      <c r="AZ733">
        <v>1</v>
      </c>
      <c r="BA733">
        <v>3</v>
      </c>
      <c r="BB733">
        <v>48</v>
      </c>
      <c r="BC733">
        <v>26</v>
      </c>
      <c r="BD733">
        <v>42.38</v>
      </c>
      <c r="BE733">
        <v>212</v>
      </c>
      <c r="BF733">
        <v>88.3</v>
      </c>
      <c r="BG733">
        <v>38</v>
      </c>
      <c r="BH733">
        <v>26</v>
      </c>
      <c r="BI733">
        <v>33.729999999999997</v>
      </c>
      <c r="BJ733">
        <v>164</v>
      </c>
      <c r="BK733">
        <v>88.8</v>
      </c>
      <c r="BL733">
        <v>376</v>
      </c>
      <c r="BM733">
        <v>9.8920999999999992</v>
      </c>
    </row>
    <row r="734" spans="1:65" x14ac:dyDescent="0.25">
      <c r="A734" t="s">
        <v>797</v>
      </c>
      <c r="B734" t="s">
        <v>1776</v>
      </c>
      <c r="C734" t="s">
        <v>2158</v>
      </c>
      <c r="D734" s="1">
        <v>45372</v>
      </c>
      <c r="E734" s="1">
        <v>45431</v>
      </c>
      <c r="F734" s="1">
        <v>45651</v>
      </c>
      <c r="G734" t="s">
        <v>2163</v>
      </c>
      <c r="I734" t="s">
        <v>2175</v>
      </c>
      <c r="J734">
        <v>58618</v>
      </c>
      <c r="K734">
        <v>1758</v>
      </c>
      <c r="L734">
        <v>16.7</v>
      </c>
      <c r="M734">
        <v>15.6</v>
      </c>
      <c r="N734">
        <v>8</v>
      </c>
      <c r="O734">
        <v>17578</v>
      </c>
      <c r="P734" t="s">
        <v>2178</v>
      </c>
      <c r="Q734">
        <v>48</v>
      </c>
      <c r="R734">
        <v>85</v>
      </c>
      <c r="S734">
        <v>101</v>
      </c>
      <c r="T734">
        <v>250</v>
      </c>
      <c r="U734" t="s">
        <v>2194</v>
      </c>
      <c r="W734" t="s">
        <v>2209</v>
      </c>
      <c r="X734" t="s">
        <v>2211</v>
      </c>
      <c r="Y734" t="s">
        <v>2213</v>
      </c>
      <c r="Z734" s="1">
        <v>45665</v>
      </c>
      <c r="AA734" s="1">
        <v>45689</v>
      </c>
      <c r="AB734" t="s">
        <v>2215</v>
      </c>
      <c r="AC734" t="s">
        <v>2208</v>
      </c>
      <c r="AD734" t="s">
        <v>2219</v>
      </c>
      <c r="AE734" t="s">
        <v>2166</v>
      </c>
      <c r="AF734" t="s">
        <v>2165</v>
      </c>
      <c r="AG734" t="s">
        <v>2222</v>
      </c>
      <c r="AH734">
        <v>234</v>
      </c>
      <c r="AI734">
        <v>258</v>
      </c>
      <c r="AJ734">
        <v>24</v>
      </c>
      <c r="AK734">
        <v>5</v>
      </c>
      <c r="AL734" t="s">
        <v>2224</v>
      </c>
      <c r="AM734">
        <v>0</v>
      </c>
      <c r="AN734" t="s">
        <v>2175</v>
      </c>
      <c r="AO734" t="s">
        <v>2175</v>
      </c>
      <c r="AP734" t="s">
        <v>2175</v>
      </c>
      <c r="AQ734">
        <v>260.52</v>
      </c>
      <c r="AR734">
        <v>3</v>
      </c>
      <c r="AS734">
        <v>3</v>
      </c>
      <c r="AT734">
        <v>3</v>
      </c>
      <c r="AU734">
        <v>3</v>
      </c>
      <c r="AV734">
        <v>3</v>
      </c>
      <c r="AW734">
        <v>4.8</v>
      </c>
      <c r="AX734">
        <v>4.5999999999999996</v>
      </c>
      <c r="AY734">
        <v>4.4000000000000004</v>
      </c>
      <c r="AZ734">
        <v>2</v>
      </c>
      <c r="BA734">
        <v>3</v>
      </c>
      <c r="BB734">
        <v>43</v>
      </c>
      <c r="BC734">
        <v>27</v>
      </c>
      <c r="BD734">
        <v>37.299999999999997</v>
      </c>
      <c r="BE734">
        <v>193</v>
      </c>
      <c r="BF734">
        <v>86.7</v>
      </c>
      <c r="BG734">
        <v>38</v>
      </c>
      <c r="BH734">
        <v>27</v>
      </c>
      <c r="BI734">
        <v>33.33</v>
      </c>
      <c r="BJ734">
        <v>171</v>
      </c>
      <c r="BK734">
        <v>87.7</v>
      </c>
      <c r="BL734">
        <v>351</v>
      </c>
      <c r="BM734">
        <v>11.246700000000001</v>
      </c>
    </row>
    <row r="735" spans="1:65" x14ac:dyDescent="0.25">
      <c r="A735" t="s">
        <v>798</v>
      </c>
      <c r="B735" t="s">
        <v>1777</v>
      </c>
      <c r="C735" t="s">
        <v>2160</v>
      </c>
      <c r="D735" s="1">
        <v>45255</v>
      </c>
      <c r="E735" s="1">
        <v>45302</v>
      </c>
      <c r="F735" s="1">
        <v>45449</v>
      </c>
      <c r="G735" t="s">
        <v>2165</v>
      </c>
      <c r="I735" t="s">
        <v>2175</v>
      </c>
      <c r="J735">
        <v>36636</v>
      </c>
      <c r="K735">
        <v>1099</v>
      </c>
      <c r="L735">
        <v>17.7</v>
      </c>
      <c r="M735">
        <v>16.600000000000001</v>
      </c>
      <c r="N735">
        <v>8</v>
      </c>
      <c r="O735">
        <v>17077</v>
      </c>
      <c r="P735" t="s">
        <v>2178</v>
      </c>
      <c r="Q735">
        <v>40</v>
      </c>
      <c r="R735">
        <v>59</v>
      </c>
      <c r="S735">
        <v>53</v>
      </c>
      <c r="T735">
        <v>241</v>
      </c>
      <c r="U735" t="s">
        <v>2181</v>
      </c>
      <c r="W735" t="s">
        <v>2209</v>
      </c>
      <c r="X735" t="s">
        <v>2211</v>
      </c>
      <c r="Y735" t="s">
        <v>2213</v>
      </c>
      <c r="Z735" s="1">
        <v>45454</v>
      </c>
      <c r="AA735" s="1">
        <v>45472</v>
      </c>
      <c r="AB735" t="s">
        <v>2215</v>
      </c>
      <c r="AC735" t="s">
        <v>2208</v>
      </c>
      <c r="AD735" t="s">
        <v>2219</v>
      </c>
      <c r="AE735" t="s">
        <v>2166</v>
      </c>
      <c r="AF735" t="s">
        <v>2163</v>
      </c>
      <c r="AG735" t="s">
        <v>2222</v>
      </c>
      <c r="AH735">
        <v>152</v>
      </c>
      <c r="AI735">
        <v>170</v>
      </c>
      <c r="AJ735">
        <v>18</v>
      </c>
      <c r="AK735">
        <v>1</v>
      </c>
      <c r="AL735" t="s">
        <v>2233</v>
      </c>
      <c r="AM735">
        <v>0</v>
      </c>
      <c r="AN735" t="s">
        <v>2175</v>
      </c>
      <c r="AO735" t="s">
        <v>2175</v>
      </c>
      <c r="AP735" t="s">
        <v>2175</v>
      </c>
      <c r="AQ735">
        <v>293.82</v>
      </c>
      <c r="AR735">
        <v>3</v>
      </c>
      <c r="AS735">
        <v>3</v>
      </c>
      <c r="AT735">
        <v>3</v>
      </c>
      <c r="AU735">
        <v>3</v>
      </c>
      <c r="AV735">
        <v>3</v>
      </c>
      <c r="AW735">
        <v>4.8</v>
      </c>
      <c r="AX735">
        <v>4.4000000000000004</v>
      </c>
      <c r="AY735">
        <v>4.5999999999999996</v>
      </c>
      <c r="AZ735">
        <v>1</v>
      </c>
      <c r="BA735">
        <v>3</v>
      </c>
      <c r="BB735">
        <v>40</v>
      </c>
      <c r="BC735">
        <v>27</v>
      </c>
      <c r="BD735">
        <v>35.07</v>
      </c>
      <c r="BE735">
        <v>181</v>
      </c>
      <c r="BF735">
        <v>87.7</v>
      </c>
      <c r="BG735">
        <v>43</v>
      </c>
      <c r="BH735">
        <v>27</v>
      </c>
      <c r="BI735">
        <v>38.299999999999997</v>
      </c>
      <c r="BJ735">
        <v>197</v>
      </c>
      <c r="BK735">
        <v>89.1</v>
      </c>
      <c r="BL735">
        <v>359</v>
      </c>
      <c r="BM735">
        <v>7.4950999999999999</v>
      </c>
    </row>
    <row r="736" spans="1:65" x14ac:dyDescent="0.25">
      <c r="A736" t="s">
        <v>799</v>
      </c>
      <c r="B736" t="s">
        <v>1778</v>
      </c>
      <c r="C736" t="s">
        <v>2159</v>
      </c>
      <c r="D736" s="1">
        <v>45542</v>
      </c>
      <c r="E736" s="1">
        <v>45581</v>
      </c>
      <c r="F736" s="1">
        <v>45689</v>
      </c>
      <c r="G736" t="s">
        <v>2161</v>
      </c>
      <c r="I736" t="s">
        <v>2175</v>
      </c>
      <c r="J736">
        <v>34873</v>
      </c>
      <c r="K736">
        <v>1046</v>
      </c>
      <c r="L736">
        <v>16.5</v>
      </c>
      <c r="M736">
        <v>13.3</v>
      </c>
      <c r="N736">
        <v>8</v>
      </c>
      <c r="O736">
        <v>16260</v>
      </c>
      <c r="P736" t="s">
        <v>2178</v>
      </c>
      <c r="Q736">
        <v>29</v>
      </c>
      <c r="R736">
        <v>44</v>
      </c>
      <c r="S736">
        <v>47</v>
      </c>
      <c r="T736">
        <v>290</v>
      </c>
      <c r="U736" t="s">
        <v>2179</v>
      </c>
      <c r="W736" t="s">
        <v>2209</v>
      </c>
      <c r="X736" t="s">
        <v>2211</v>
      </c>
      <c r="Y736" t="s">
        <v>2213</v>
      </c>
      <c r="Z736" s="1">
        <v>45701</v>
      </c>
      <c r="AA736" s="1">
        <v>45721</v>
      </c>
      <c r="AB736" t="s">
        <v>2215</v>
      </c>
      <c r="AC736" t="s">
        <v>2208</v>
      </c>
      <c r="AD736" t="s">
        <v>2219</v>
      </c>
      <c r="AE736" t="s">
        <v>2165</v>
      </c>
      <c r="AF736" t="s">
        <v>2162</v>
      </c>
      <c r="AG736" t="s">
        <v>2222</v>
      </c>
      <c r="AH736">
        <v>120</v>
      </c>
      <c r="AI736">
        <v>140</v>
      </c>
      <c r="AJ736">
        <v>20</v>
      </c>
      <c r="AK736">
        <v>10</v>
      </c>
      <c r="AL736" t="s">
        <v>2230</v>
      </c>
      <c r="AM736">
        <v>1</v>
      </c>
      <c r="AN736" t="s">
        <v>2175</v>
      </c>
      <c r="AO736" t="s">
        <v>2175</v>
      </c>
      <c r="AP736" t="s">
        <v>2175</v>
      </c>
      <c r="AQ736">
        <v>219.45</v>
      </c>
      <c r="AR736">
        <v>3</v>
      </c>
      <c r="AS736">
        <v>3</v>
      </c>
      <c r="AT736">
        <v>3</v>
      </c>
      <c r="AU736">
        <v>3</v>
      </c>
      <c r="AV736">
        <v>3</v>
      </c>
      <c r="AW736">
        <v>4.5999999999999996</v>
      </c>
      <c r="AX736">
        <v>4.2</v>
      </c>
      <c r="AY736">
        <v>4.3</v>
      </c>
      <c r="AZ736">
        <v>0</v>
      </c>
      <c r="BA736">
        <v>3</v>
      </c>
      <c r="BB736">
        <v>43</v>
      </c>
      <c r="BC736">
        <v>27</v>
      </c>
      <c r="BD736">
        <v>37.33</v>
      </c>
      <c r="BE736">
        <v>194</v>
      </c>
      <c r="BF736">
        <v>86.8</v>
      </c>
      <c r="BG736">
        <v>34</v>
      </c>
      <c r="BH736">
        <v>27</v>
      </c>
      <c r="BI736">
        <v>29.93</v>
      </c>
      <c r="BJ736">
        <v>149</v>
      </c>
      <c r="BK736">
        <v>88</v>
      </c>
      <c r="BL736">
        <v>302</v>
      </c>
      <c r="BM736">
        <v>6.6563999999999997</v>
      </c>
    </row>
    <row r="737" spans="1:65" x14ac:dyDescent="0.25">
      <c r="A737" t="s">
        <v>800</v>
      </c>
      <c r="B737" t="s">
        <v>1779</v>
      </c>
      <c r="C737" t="s">
        <v>2160</v>
      </c>
      <c r="D737" s="1">
        <v>45313</v>
      </c>
      <c r="E737" s="1">
        <v>45352</v>
      </c>
      <c r="F737" s="1">
        <v>45574</v>
      </c>
      <c r="G737" t="s">
        <v>2165</v>
      </c>
      <c r="I737" t="s">
        <v>2175</v>
      </c>
      <c r="J737">
        <v>52056</v>
      </c>
      <c r="K737">
        <v>1561</v>
      </c>
      <c r="L737">
        <v>14.5</v>
      </c>
      <c r="M737">
        <v>12.8</v>
      </c>
      <c r="N737">
        <v>7</v>
      </c>
      <c r="O737">
        <v>15521</v>
      </c>
      <c r="P737" t="s">
        <v>2178</v>
      </c>
      <c r="Q737">
        <v>49</v>
      </c>
      <c r="R737">
        <v>73</v>
      </c>
      <c r="S737">
        <v>106</v>
      </c>
      <c r="T737">
        <v>228</v>
      </c>
      <c r="U737" t="s">
        <v>2181</v>
      </c>
      <c r="W737" t="s">
        <v>2209</v>
      </c>
      <c r="X737" t="s">
        <v>2211</v>
      </c>
      <c r="Y737" t="s">
        <v>2213</v>
      </c>
      <c r="Z737" s="1">
        <v>45580</v>
      </c>
      <c r="AA737" s="1">
        <v>45603</v>
      </c>
      <c r="AB737" t="s">
        <v>2215</v>
      </c>
      <c r="AC737" t="s">
        <v>2208</v>
      </c>
      <c r="AD737" t="s">
        <v>2219</v>
      </c>
      <c r="AE737" t="s">
        <v>2166</v>
      </c>
      <c r="AF737" t="s">
        <v>2163</v>
      </c>
      <c r="AG737" t="s">
        <v>2222</v>
      </c>
      <c r="AH737">
        <v>228</v>
      </c>
      <c r="AI737">
        <v>251</v>
      </c>
      <c r="AJ737">
        <v>23</v>
      </c>
      <c r="AK737">
        <v>3</v>
      </c>
      <c r="AL737" t="s">
        <v>2227</v>
      </c>
      <c r="AM737">
        <v>0</v>
      </c>
      <c r="AN737" t="s">
        <v>2175</v>
      </c>
      <c r="AO737" t="s">
        <v>2175</v>
      </c>
      <c r="AP737" t="s">
        <v>2175</v>
      </c>
      <c r="AQ737">
        <v>185.6</v>
      </c>
      <c r="AR737">
        <v>3</v>
      </c>
      <c r="AS737">
        <v>3</v>
      </c>
      <c r="AT737">
        <v>3</v>
      </c>
      <c r="AU737">
        <v>3</v>
      </c>
      <c r="AV737">
        <v>3</v>
      </c>
      <c r="AW737">
        <v>4.8</v>
      </c>
      <c r="AX737">
        <v>4.4000000000000004</v>
      </c>
      <c r="AY737">
        <v>4.5999999999999996</v>
      </c>
      <c r="AZ737">
        <v>1</v>
      </c>
      <c r="BA737">
        <v>3</v>
      </c>
      <c r="BB737">
        <v>49</v>
      </c>
      <c r="BC737">
        <v>26</v>
      </c>
      <c r="BD737">
        <v>43.12</v>
      </c>
      <c r="BE737">
        <v>216</v>
      </c>
      <c r="BF737">
        <v>88</v>
      </c>
      <c r="BG737">
        <v>48</v>
      </c>
      <c r="BH737">
        <v>26</v>
      </c>
      <c r="BI737">
        <v>42.38</v>
      </c>
      <c r="BJ737">
        <v>212</v>
      </c>
      <c r="BK737">
        <v>88.3</v>
      </c>
      <c r="BL737">
        <v>365</v>
      </c>
      <c r="BM737">
        <v>9.2675999999999998</v>
      </c>
    </row>
    <row r="738" spans="1:65" x14ac:dyDescent="0.25">
      <c r="A738" t="s">
        <v>801</v>
      </c>
      <c r="B738" t="s">
        <v>1780</v>
      </c>
      <c r="C738" t="s">
        <v>2158</v>
      </c>
      <c r="D738" s="1">
        <v>45501</v>
      </c>
      <c r="E738" s="1">
        <v>45541</v>
      </c>
      <c r="F738" s="1">
        <v>45718</v>
      </c>
      <c r="G738" t="s">
        <v>2163</v>
      </c>
      <c r="I738" t="s">
        <v>2175</v>
      </c>
      <c r="J738">
        <v>58992</v>
      </c>
      <c r="K738">
        <v>1769</v>
      </c>
      <c r="L738">
        <v>16.8</v>
      </c>
      <c r="M738">
        <v>14.4</v>
      </c>
      <c r="N738">
        <v>7</v>
      </c>
      <c r="O738">
        <v>17172</v>
      </c>
      <c r="P738" t="s">
        <v>2178</v>
      </c>
      <c r="Q738">
        <v>45</v>
      </c>
      <c r="R738">
        <v>76</v>
      </c>
      <c r="S738">
        <v>75</v>
      </c>
      <c r="T738">
        <v>300</v>
      </c>
      <c r="U738" t="s">
        <v>2205</v>
      </c>
      <c r="W738" t="s">
        <v>2209</v>
      </c>
      <c r="X738" t="s">
        <v>2211</v>
      </c>
      <c r="Y738" t="s">
        <v>2213</v>
      </c>
      <c r="Z738" s="1">
        <v>45737</v>
      </c>
      <c r="AA738" s="1">
        <v>45758</v>
      </c>
      <c r="AB738" t="s">
        <v>2215</v>
      </c>
      <c r="AC738" t="s">
        <v>2208</v>
      </c>
      <c r="AD738" t="s">
        <v>2219</v>
      </c>
      <c r="AE738" t="s">
        <v>2165</v>
      </c>
      <c r="AF738" t="s">
        <v>2164</v>
      </c>
      <c r="AG738" t="s">
        <v>2222</v>
      </c>
      <c r="AH738">
        <v>196</v>
      </c>
      <c r="AI738">
        <v>217</v>
      </c>
      <c r="AJ738">
        <v>21</v>
      </c>
      <c r="AK738">
        <v>9</v>
      </c>
      <c r="AL738" t="s">
        <v>2234</v>
      </c>
      <c r="AM738">
        <v>0</v>
      </c>
      <c r="AN738" t="s">
        <v>2175</v>
      </c>
      <c r="AO738" t="s">
        <v>2175</v>
      </c>
      <c r="AP738" t="s">
        <v>2175</v>
      </c>
      <c r="AQ738">
        <v>241.92</v>
      </c>
      <c r="AR738">
        <v>3</v>
      </c>
      <c r="AS738">
        <v>3</v>
      </c>
      <c r="AT738">
        <v>3</v>
      </c>
      <c r="AU738">
        <v>3</v>
      </c>
      <c r="AV738">
        <v>3</v>
      </c>
      <c r="AW738">
        <v>4.5999999999999996</v>
      </c>
      <c r="AX738">
        <v>4.5</v>
      </c>
      <c r="AY738">
        <v>4.4000000000000004</v>
      </c>
      <c r="AZ738">
        <v>2</v>
      </c>
      <c r="BA738">
        <v>3</v>
      </c>
      <c r="BB738">
        <v>45</v>
      </c>
      <c r="BC738">
        <v>26</v>
      </c>
      <c r="BD738">
        <v>39.85</v>
      </c>
      <c r="BE738">
        <v>196</v>
      </c>
      <c r="BF738">
        <v>88.6</v>
      </c>
      <c r="BG738">
        <v>30</v>
      </c>
      <c r="BH738">
        <v>26</v>
      </c>
      <c r="BI738">
        <v>26.15</v>
      </c>
      <c r="BJ738">
        <v>126</v>
      </c>
      <c r="BK738">
        <v>87.2</v>
      </c>
      <c r="BL738">
        <v>343</v>
      </c>
      <c r="BM738">
        <v>11.5739</v>
      </c>
    </row>
    <row r="739" spans="1:65" x14ac:dyDescent="0.25">
      <c r="A739" t="s">
        <v>802</v>
      </c>
      <c r="B739" t="s">
        <v>1781</v>
      </c>
      <c r="C739" t="s">
        <v>2160</v>
      </c>
      <c r="D739" s="1">
        <v>45357</v>
      </c>
      <c r="E739" s="1">
        <v>45401</v>
      </c>
      <c r="F739" s="1">
        <v>45638</v>
      </c>
      <c r="G739" t="s">
        <v>2162</v>
      </c>
      <c r="I739" t="s">
        <v>2175</v>
      </c>
      <c r="J739">
        <v>54209</v>
      </c>
      <c r="K739">
        <v>1626</v>
      </c>
      <c r="L739">
        <v>17.100000000000001</v>
      </c>
      <c r="M739">
        <v>17.899999999999999</v>
      </c>
      <c r="N739">
        <v>8</v>
      </c>
      <c r="O739">
        <v>17686</v>
      </c>
      <c r="P739" t="s">
        <v>2178</v>
      </c>
      <c r="Q739">
        <v>52</v>
      </c>
      <c r="R739">
        <v>99</v>
      </c>
      <c r="S739">
        <v>98</v>
      </c>
      <c r="T739">
        <v>217</v>
      </c>
      <c r="U739" t="s">
        <v>2179</v>
      </c>
      <c r="W739" t="s">
        <v>2209</v>
      </c>
      <c r="X739" t="s">
        <v>2211</v>
      </c>
      <c r="Y739" t="s">
        <v>2213</v>
      </c>
      <c r="Z739" s="1">
        <v>45650</v>
      </c>
      <c r="AA739" s="1">
        <v>45668</v>
      </c>
      <c r="AB739" t="s">
        <v>2215</v>
      </c>
      <c r="AC739" t="s">
        <v>2208</v>
      </c>
      <c r="AD739" t="s">
        <v>2219</v>
      </c>
      <c r="AE739" t="s">
        <v>2165</v>
      </c>
      <c r="AF739" t="s">
        <v>2162</v>
      </c>
      <c r="AG739" t="s">
        <v>2222</v>
      </c>
      <c r="AH739">
        <v>249</v>
      </c>
      <c r="AI739">
        <v>267</v>
      </c>
      <c r="AJ739">
        <v>18</v>
      </c>
      <c r="AK739">
        <v>4</v>
      </c>
      <c r="AL739" t="s">
        <v>2225</v>
      </c>
      <c r="AM739">
        <v>0</v>
      </c>
      <c r="AN739" t="s">
        <v>2175</v>
      </c>
      <c r="AO739" t="s">
        <v>2175</v>
      </c>
      <c r="AP739" t="s">
        <v>2175</v>
      </c>
      <c r="AQ739">
        <v>306.08999999999997</v>
      </c>
      <c r="AR739">
        <v>3</v>
      </c>
      <c r="AS739">
        <v>3</v>
      </c>
      <c r="AT739">
        <v>3</v>
      </c>
      <c r="AU739">
        <v>3</v>
      </c>
      <c r="AV739">
        <v>3</v>
      </c>
      <c r="AW739">
        <v>4.5999999999999996</v>
      </c>
      <c r="AX739">
        <v>4.2</v>
      </c>
      <c r="AY739">
        <v>4.2</v>
      </c>
      <c r="AZ739">
        <v>1</v>
      </c>
      <c r="BA739">
        <v>3</v>
      </c>
      <c r="BB739">
        <v>46</v>
      </c>
      <c r="BC739">
        <v>26</v>
      </c>
      <c r="BD739">
        <v>40.729999999999997</v>
      </c>
      <c r="BE739">
        <v>203</v>
      </c>
      <c r="BF739">
        <v>88.5</v>
      </c>
      <c r="BG739">
        <v>25</v>
      </c>
      <c r="BH739">
        <v>26</v>
      </c>
      <c r="BI739">
        <v>21.81</v>
      </c>
      <c r="BJ739">
        <v>104</v>
      </c>
      <c r="BK739">
        <v>87.2</v>
      </c>
      <c r="BL739">
        <v>307</v>
      </c>
      <c r="BM739">
        <v>10.268800000000001</v>
      </c>
    </row>
    <row r="740" spans="1:65" x14ac:dyDescent="0.25">
      <c r="A740" t="s">
        <v>803</v>
      </c>
      <c r="B740" t="s">
        <v>1782</v>
      </c>
      <c r="C740" t="s">
        <v>2157</v>
      </c>
      <c r="D740" s="1">
        <v>45334</v>
      </c>
      <c r="E740" s="1">
        <v>45392</v>
      </c>
      <c r="F740" s="1">
        <v>45593</v>
      </c>
      <c r="G740" t="s">
        <v>2163</v>
      </c>
      <c r="I740" t="s">
        <v>2175</v>
      </c>
      <c r="J740">
        <v>58835</v>
      </c>
      <c r="K740">
        <v>1765</v>
      </c>
      <c r="L740">
        <v>13.6</v>
      </c>
      <c r="M740">
        <v>13.3</v>
      </c>
      <c r="N740">
        <v>7</v>
      </c>
      <c r="O740">
        <v>18175</v>
      </c>
      <c r="P740" t="s">
        <v>2178</v>
      </c>
      <c r="Q740">
        <v>41</v>
      </c>
      <c r="R740">
        <v>71</v>
      </c>
      <c r="S740">
        <v>106</v>
      </c>
      <c r="T740">
        <v>269</v>
      </c>
      <c r="U740" t="s">
        <v>2182</v>
      </c>
      <c r="W740" t="s">
        <v>2209</v>
      </c>
      <c r="X740" t="s">
        <v>2211</v>
      </c>
      <c r="Y740" t="s">
        <v>2213</v>
      </c>
      <c r="Z740" s="1">
        <v>45610</v>
      </c>
      <c r="AA740" s="1">
        <v>45627</v>
      </c>
      <c r="AB740" t="s">
        <v>2215</v>
      </c>
      <c r="AC740" t="s">
        <v>2208</v>
      </c>
      <c r="AD740" t="s">
        <v>2219</v>
      </c>
      <c r="AE740" t="s">
        <v>2166</v>
      </c>
      <c r="AF740" t="s">
        <v>2162</v>
      </c>
      <c r="AG740" t="s">
        <v>2222</v>
      </c>
      <c r="AH740">
        <v>218</v>
      </c>
      <c r="AI740">
        <v>235</v>
      </c>
      <c r="AJ740">
        <v>17</v>
      </c>
      <c r="AK740">
        <v>4</v>
      </c>
      <c r="AL740" t="s">
        <v>2225</v>
      </c>
      <c r="AM740">
        <v>0</v>
      </c>
      <c r="AN740" t="s">
        <v>2175</v>
      </c>
      <c r="AO740" t="s">
        <v>2175</v>
      </c>
      <c r="AP740" t="s">
        <v>2175</v>
      </c>
      <c r="AQ740">
        <v>180.88</v>
      </c>
      <c r="AR740">
        <v>3</v>
      </c>
      <c r="AS740">
        <v>3</v>
      </c>
      <c r="AT740">
        <v>3</v>
      </c>
      <c r="AU740">
        <v>3</v>
      </c>
      <c r="AV740">
        <v>3</v>
      </c>
      <c r="AW740">
        <v>4.8</v>
      </c>
      <c r="AX740">
        <v>4.2</v>
      </c>
      <c r="AY740">
        <v>4.4000000000000004</v>
      </c>
      <c r="AZ740">
        <v>3</v>
      </c>
      <c r="BA740">
        <v>3</v>
      </c>
      <c r="BB740">
        <v>45</v>
      </c>
      <c r="BC740">
        <v>26</v>
      </c>
      <c r="BD740">
        <v>40.270000000000003</v>
      </c>
      <c r="BE740">
        <v>199</v>
      </c>
      <c r="BF740">
        <v>89.5</v>
      </c>
      <c r="BG740">
        <v>31</v>
      </c>
      <c r="BH740">
        <v>26</v>
      </c>
      <c r="BI740">
        <v>27.23</v>
      </c>
      <c r="BJ740">
        <v>132</v>
      </c>
      <c r="BK740">
        <v>87.8</v>
      </c>
      <c r="BL740">
        <v>303</v>
      </c>
      <c r="BM740">
        <v>11.3691</v>
      </c>
    </row>
    <row r="741" spans="1:65" x14ac:dyDescent="0.25">
      <c r="A741" t="s">
        <v>804</v>
      </c>
      <c r="B741" t="s">
        <v>1783</v>
      </c>
      <c r="C741" t="s">
        <v>2158</v>
      </c>
      <c r="D741" s="1">
        <v>45317</v>
      </c>
      <c r="E741" s="1">
        <v>45363</v>
      </c>
      <c r="F741" s="1">
        <v>45538</v>
      </c>
      <c r="G741" t="s">
        <v>2166</v>
      </c>
      <c r="I741" t="s">
        <v>2175</v>
      </c>
      <c r="J741">
        <v>55487</v>
      </c>
      <c r="K741">
        <v>1664</v>
      </c>
      <c r="L741">
        <v>12.8</v>
      </c>
      <c r="M741">
        <v>12.6</v>
      </c>
      <c r="N741">
        <v>8</v>
      </c>
      <c r="O741">
        <v>19651</v>
      </c>
      <c r="P741" t="s">
        <v>2178</v>
      </c>
      <c r="Q741">
        <v>37</v>
      </c>
      <c r="R741">
        <v>64</v>
      </c>
      <c r="S741">
        <v>92</v>
      </c>
      <c r="T741">
        <v>287</v>
      </c>
      <c r="U741" t="s">
        <v>2201</v>
      </c>
      <c r="W741" t="s">
        <v>2209</v>
      </c>
      <c r="X741" t="s">
        <v>2211</v>
      </c>
      <c r="Y741" t="s">
        <v>2213</v>
      </c>
      <c r="Z741" s="1">
        <v>45556</v>
      </c>
      <c r="AA741" s="1">
        <v>45572</v>
      </c>
      <c r="AB741" t="s">
        <v>2215</v>
      </c>
      <c r="AC741" t="s">
        <v>2208</v>
      </c>
      <c r="AD741" t="s">
        <v>2219</v>
      </c>
      <c r="AE741" t="s">
        <v>2165</v>
      </c>
      <c r="AF741" t="s">
        <v>2161</v>
      </c>
      <c r="AG741" t="s">
        <v>2222</v>
      </c>
      <c r="AH741">
        <v>193</v>
      </c>
      <c r="AI741">
        <v>209</v>
      </c>
      <c r="AJ741">
        <v>16</v>
      </c>
      <c r="AK741">
        <v>3</v>
      </c>
      <c r="AL741" t="s">
        <v>2227</v>
      </c>
      <c r="AM741">
        <v>0</v>
      </c>
      <c r="AN741" t="s">
        <v>2175</v>
      </c>
      <c r="AO741" t="s">
        <v>2175</v>
      </c>
      <c r="AP741" t="s">
        <v>2175</v>
      </c>
      <c r="AQ741">
        <v>161.28</v>
      </c>
      <c r="AR741">
        <v>3</v>
      </c>
      <c r="AS741">
        <v>3</v>
      </c>
      <c r="AT741">
        <v>3</v>
      </c>
      <c r="AU741">
        <v>3</v>
      </c>
      <c r="AV741">
        <v>3</v>
      </c>
      <c r="AW741">
        <v>4.5999999999999996</v>
      </c>
      <c r="AX741">
        <v>4.3</v>
      </c>
      <c r="AY741">
        <v>4.8</v>
      </c>
      <c r="AZ741">
        <v>2</v>
      </c>
      <c r="BA741">
        <v>3</v>
      </c>
      <c r="BB741">
        <v>48</v>
      </c>
      <c r="BC741">
        <v>26</v>
      </c>
      <c r="BD741">
        <v>42.38</v>
      </c>
      <c r="BE741">
        <v>212</v>
      </c>
      <c r="BF741">
        <v>88.3</v>
      </c>
      <c r="BG741">
        <v>49</v>
      </c>
      <c r="BH741">
        <v>26</v>
      </c>
      <c r="BI741">
        <v>43.12</v>
      </c>
      <c r="BJ741">
        <v>216</v>
      </c>
      <c r="BK741">
        <v>88</v>
      </c>
      <c r="BL741">
        <v>376</v>
      </c>
      <c r="BM741">
        <v>10.0648</v>
      </c>
    </row>
    <row r="742" spans="1:65" x14ac:dyDescent="0.25">
      <c r="A742" t="s">
        <v>805</v>
      </c>
      <c r="B742" t="s">
        <v>1784</v>
      </c>
      <c r="C742" t="s">
        <v>2157</v>
      </c>
      <c r="D742" s="1">
        <v>45314</v>
      </c>
      <c r="E742" s="1">
        <v>45353</v>
      </c>
      <c r="F742" s="1">
        <v>45474</v>
      </c>
      <c r="G742" t="s">
        <v>2162</v>
      </c>
      <c r="I742" t="s">
        <v>2175</v>
      </c>
      <c r="J742">
        <v>32253</v>
      </c>
      <c r="K742">
        <v>967</v>
      </c>
      <c r="L742">
        <v>14.1</v>
      </c>
      <c r="M742">
        <v>13.5</v>
      </c>
      <c r="N742">
        <v>8</v>
      </c>
      <c r="O742">
        <v>19054</v>
      </c>
      <c r="P742" t="s">
        <v>2178</v>
      </c>
      <c r="Q742">
        <v>34</v>
      </c>
      <c r="R742">
        <v>47</v>
      </c>
      <c r="S742">
        <v>47</v>
      </c>
      <c r="T742">
        <v>251</v>
      </c>
      <c r="U742" t="s">
        <v>2181</v>
      </c>
      <c r="W742" t="s">
        <v>2209</v>
      </c>
      <c r="X742" t="s">
        <v>2211</v>
      </c>
      <c r="Y742" t="s">
        <v>2213</v>
      </c>
      <c r="Z742" s="1">
        <v>45481</v>
      </c>
      <c r="AA742" s="1">
        <v>45503</v>
      </c>
      <c r="AB742" t="s">
        <v>2215</v>
      </c>
      <c r="AC742" t="s">
        <v>2208</v>
      </c>
      <c r="AD742" t="s">
        <v>2219</v>
      </c>
      <c r="AE742" t="s">
        <v>2166</v>
      </c>
      <c r="AF742" t="s">
        <v>2163</v>
      </c>
      <c r="AG742" t="s">
        <v>2222</v>
      </c>
      <c r="AH742">
        <v>128</v>
      </c>
      <c r="AI742">
        <v>150</v>
      </c>
      <c r="AJ742">
        <v>22</v>
      </c>
      <c r="AK742">
        <v>3</v>
      </c>
      <c r="AL742" t="s">
        <v>2227</v>
      </c>
      <c r="AM742">
        <v>0</v>
      </c>
      <c r="AN742" t="s">
        <v>2175</v>
      </c>
      <c r="AO742" t="s">
        <v>2175</v>
      </c>
      <c r="AP742" t="s">
        <v>2175</v>
      </c>
      <c r="AQ742">
        <v>190.35</v>
      </c>
      <c r="AR742">
        <v>3</v>
      </c>
      <c r="AS742">
        <v>3</v>
      </c>
      <c r="AT742">
        <v>3</v>
      </c>
      <c r="AU742">
        <v>3</v>
      </c>
      <c r="AV742">
        <v>3</v>
      </c>
      <c r="AW742">
        <v>4.8</v>
      </c>
      <c r="AX742">
        <v>4.4000000000000004</v>
      </c>
      <c r="AY742">
        <v>4.2</v>
      </c>
      <c r="AZ742">
        <v>3</v>
      </c>
      <c r="BA742">
        <v>3</v>
      </c>
      <c r="BB742">
        <v>49</v>
      </c>
      <c r="BC742">
        <v>26</v>
      </c>
      <c r="BD742">
        <v>43.12</v>
      </c>
      <c r="BE742">
        <v>216</v>
      </c>
      <c r="BF742">
        <v>88</v>
      </c>
      <c r="BG742">
        <v>31</v>
      </c>
      <c r="BH742">
        <v>26</v>
      </c>
      <c r="BI742">
        <v>27.27</v>
      </c>
      <c r="BJ742">
        <v>130</v>
      </c>
      <c r="BK742">
        <v>88</v>
      </c>
      <c r="BL742">
        <v>365</v>
      </c>
      <c r="BM742">
        <v>5.742</v>
      </c>
    </row>
    <row r="743" spans="1:65" x14ac:dyDescent="0.25">
      <c r="A743" t="s">
        <v>806</v>
      </c>
      <c r="B743" t="s">
        <v>1785</v>
      </c>
      <c r="C743" t="s">
        <v>2158</v>
      </c>
      <c r="D743" s="1">
        <v>45252</v>
      </c>
      <c r="E743" s="1">
        <v>45310</v>
      </c>
      <c r="F743" s="1">
        <v>45459</v>
      </c>
      <c r="G743" t="s">
        <v>2166</v>
      </c>
      <c r="I743" t="s">
        <v>2175</v>
      </c>
      <c r="J743">
        <v>46156</v>
      </c>
      <c r="K743">
        <v>1384</v>
      </c>
      <c r="L743">
        <v>15.6</v>
      </c>
      <c r="M743">
        <v>14.3</v>
      </c>
      <c r="N743">
        <v>8</v>
      </c>
      <c r="O743">
        <v>16270</v>
      </c>
      <c r="P743" t="s">
        <v>2178</v>
      </c>
      <c r="Q743">
        <v>32</v>
      </c>
      <c r="R743">
        <v>55</v>
      </c>
      <c r="S743">
        <v>68</v>
      </c>
      <c r="T743">
        <v>297</v>
      </c>
      <c r="U743" t="s">
        <v>2194</v>
      </c>
      <c r="W743" t="s">
        <v>2209</v>
      </c>
      <c r="X743" t="s">
        <v>2211</v>
      </c>
      <c r="Y743" t="s">
        <v>2213</v>
      </c>
      <c r="Z743" s="1">
        <v>45465</v>
      </c>
      <c r="AA743" s="1">
        <v>45480</v>
      </c>
      <c r="AB743" t="s">
        <v>2215</v>
      </c>
      <c r="AC743" t="s">
        <v>2208</v>
      </c>
      <c r="AD743" t="s">
        <v>2219</v>
      </c>
      <c r="AE743" t="s">
        <v>2166</v>
      </c>
      <c r="AF743" t="s">
        <v>2165</v>
      </c>
      <c r="AG743" t="s">
        <v>2222</v>
      </c>
      <c r="AH743">
        <v>155</v>
      </c>
      <c r="AI743">
        <v>170</v>
      </c>
      <c r="AJ743">
        <v>15</v>
      </c>
      <c r="AK743">
        <v>1</v>
      </c>
      <c r="AL743" t="s">
        <v>2233</v>
      </c>
      <c r="AM743">
        <v>0</v>
      </c>
      <c r="AN743" t="s">
        <v>2175</v>
      </c>
      <c r="AO743" t="s">
        <v>2175</v>
      </c>
      <c r="AP743" t="s">
        <v>2175</v>
      </c>
      <c r="AQ743">
        <v>223.08</v>
      </c>
      <c r="AR743">
        <v>3</v>
      </c>
      <c r="AS743">
        <v>3</v>
      </c>
      <c r="AT743">
        <v>3</v>
      </c>
      <c r="AU743">
        <v>3</v>
      </c>
      <c r="AV743">
        <v>3</v>
      </c>
      <c r="AW743">
        <v>4.8</v>
      </c>
      <c r="AX743">
        <v>4.5999999999999996</v>
      </c>
      <c r="AY743">
        <v>4.8</v>
      </c>
      <c r="AZ743">
        <v>2</v>
      </c>
      <c r="BA743">
        <v>3</v>
      </c>
      <c r="BB743">
        <v>40</v>
      </c>
      <c r="BC743">
        <v>27</v>
      </c>
      <c r="BD743">
        <v>35.07</v>
      </c>
      <c r="BE743">
        <v>181</v>
      </c>
      <c r="BF743">
        <v>87.7</v>
      </c>
      <c r="BG743">
        <v>40</v>
      </c>
      <c r="BH743">
        <v>27</v>
      </c>
      <c r="BI743">
        <v>35.07</v>
      </c>
      <c r="BJ743">
        <v>181</v>
      </c>
      <c r="BK743">
        <v>87.7</v>
      </c>
      <c r="BL743">
        <v>378</v>
      </c>
      <c r="BM743">
        <v>9.4427000000000003</v>
      </c>
    </row>
    <row r="744" spans="1:65" x14ac:dyDescent="0.25">
      <c r="A744" t="s">
        <v>807</v>
      </c>
      <c r="B744" t="s">
        <v>1786</v>
      </c>
      <c r="C744" t="s">
        <v>2158</v>
      </c>
      <c r="D744" s="1">
        <v>45526</v>
      </c>
      <c r="E744" s="1">
        <v>45553</v>
      </c>
      <c r="F744" s="1">
        <v>45745</v>
      </c>
      <c r="G744" t="s">
        <v>2166</v>
      </c>
      <c r="I744" t="s">
        <v>2175</v>
      </c>
      <c r="J744">
        <v>46284</v>
      </c>
      <c r="K744">
        <v>1388</v>
      </c>
      <c r="L744">
        <v>16.899999999999999</v>
      </c>
      <c r="M744">
        <v>14</v>
      </c>
      <c r="N744">
        <v>7</v>
      </c>
      <c r="O744">
        <v>19801</v>
      </c>
      <c r="P744" t="s">
        <v>2178</v>
      </c>
      <c r="Q744">
        <v>32</v>
      </c>
      <c r="R744">
        <v>63</v>
      </c>
      <c r="S744">
        <v>104</v>
      </c>
      <c r="T744">
        <v>232</v>
      </c>
      <c r="U744" t="s">
        <v>2196</v>
      </c>
      <c r="W744" t="s">
        <v>2209</v>
      </c>
      <c r="X744" t="s">
        <v>2211</v>
      </c>
      <c r="Y744" t="s">
        <v>2213</v>
      </c>
      <c r="Z744" s="1">
        <v>45752</v>
      </c>
      <c r="AA744" s="1">
        <v>45770</v>
      </c>
      <c r="AB744" t="s">
        <v>2215</v>
      </c>
      <c r="AC744" t="s">
        <v>2208</v>
      </c>
      <c r="AD744" t="s">
        <v>2219</v>
      </c>
      <c r="AE744" t="s">
        <v>2165</v>
      </c>
      <c r="AF744" t="s">
        <v>2163</v>
      </c>
      <c r="AG744" t="s">
        <v>2222</v>
      </c>
      <c r="AH744">
        <v>199</v>
      </c>
      <c r="AI744">
        <v>217</v>
      </c>
      <c r="AJ744">
        <v>18</v>
      </c>
      <c r="AK744">
        <v>9</v>
      </c>
      <c r="AL744" t="s">
        <v>2234</v>
      </c>
      <c r="AM744">
        <v>0</v>
      </c>
      <c r="AN744" t="s">
        <v>2175</v>
      </c>
      <c r="AO744" t="s">
        <v>2175</v>
      </c>
      <c r="AP744" t="s">
        <v>2175</v>
      </c>
      <c r="AQ744">
        <v>236.6</v>
      </c>
      <c r="AR744">
        <v>3</v>
      </c>
      <c r="AS744">
        <v>3</v>
      </c>
      <c r="AT744">
        <v>3</v>
      </c>
      <c r="AU744">
        <v>3</v>
      </c>
      <c r="AV744">
        <v>3</v>
      </c>
      <c r="AW744">
        <v>4.5999999999999996</v>
      </c>
      <c r="AX744">
        <v>4.4000000000000004</v>
      </c>
      <c r="AY744">
        <v>4.8</v>
      </c>
      <c r="AZ744">
        <v>2</v>
      </c>
      <c r="BA744">
        <v>3</v>
      </c>
      <c r="BB744">
        <v>45</v>
      </c>
      <c r="BC744">
        <v>26</v>
      </c>
      <c r="BD744">
        <v>39.85</v>
      </c>
      <c r="BE744">
        <v>196</v>
      </c>
      <c r="BF744">
        <v>88.6</v>
      </c>
      <c r="BG744">
        <v>48</v>
      </c>
      <c r="BH744">
        <v>26</v>
      </c>
      <c r="BI744">
        <v>42</v>
      </c>
      <c r="BJ744">
        <v>204</v>
      </c>
      <c r="BK744">
        <v>87.5</v>
      </c>
      <c r="BL744">
        <v>322</v>
      </c>
      <c r="BM744">
        <v>9.0806000000000004</v>
      </c>
    </row>
    <row r="745" spans="1:65" x14ac:dyDescent="0.25">
      <c r="A745" t="s">
        <v>808</v>
      </c>
      <c r="B745" t="s">
        <v>1787</v>
      </c>
      <c r="C745" t="s">
        <v>2159</v>
      </c>
      <c r="D745" s="1">
        <v>45256</v>
      </c>
      <c r="E745" s="1">
        <v>45302</v>
      </c>
      <c r="F745" s="1">
        <v>45406</v>
      </c>
      <c r="G745" t="s">
        <v>2163</v>
      </c>
      <c r="I745" t="s">
        <v>2175</v>
      </c>
      <c r="J745">
        <v>33744</v>
      </c>
      <c r="K745">
        <v>1012</v>
      </c>
      <c r="L745">
        <v>15.4</v>
      </c>
      <c r="M745">
        <v>13.5</v>
      </c>
      <c r="N745">
        <v>7</v>
      </c>
      <c r="O745">
        <v>19085</v>
      </c>
      <c r="P745" t="s">
        <v>2178</v>
      </c>
      <c r="Q745">
        <v>31</v>
      </c>
      <c r="R745">
        <v>45</v>
      </c>
      <c r="S745">
        <v>44</v>
      </c>
      <c r="T745">
        <v>281</v>
      </c>
      <c r="U745" t="s">
        <v>2196</v>
      </c>
      <c r="W745" t="s">
        <v>2209</v>
      </c>
      <c r="X745" t="s">
        <v>2211</v>
      </c>
      <c r="Y745" t="s">
        <v>2213</v>
      </c>
      <c r="Z745" s="1">
        <v>45422</v>
      </c>
      <c r="AA745" s="1">
        <v>45439</v>
      </c>
      <c r="AB745" t="s">
        <v>2215</v>
      </c>
      <c r="AC745" t="s">
        <v>2208</v>
      </c>
      <c r="AD745" t="s">
        <v>2219</v>
      </c>
      <c r="AE745" t="s">
        <v>2165</v>
      </c>
      <c r="AF745" t="s">
        <v>2163</v>
      </c>
      <c r="AG745" t="s">
        <v>2222</v>
      </c>
      <c r="AH745">
        <v>120</v>
      </c>
      <c r="AI745">
        <v>137</v>
      </c>
      <c r="AJ745">
        <v>17</v>
      </c>
      <c r="AK745">
        <v>1</v>
      </c>
      <c r="AL745" t="s">
        <v>2233</v>
      </c>
      <c r="AM745">
        <v>0</v>
      </c>
      <c r="AN745" t="s">
        <v>2175</v>
      </c>
      <c r="AO745" t="s">
        <v>2175</v>
      </c>
      <c r="AP745" t="s">
        <v>2175</v>
      </c>
      <c r="AQ745">
        <v>207.9</v>
      </c>
      <c r="AR745">
        <v>3</v>
      </c>
      <c r="AS745">
        <v>3</v>
      </c>
      <c r="AT745">
        <v>3</v>
      </c>
      <c r="AU745">
        <v>3</v>
      </c>
      <c r="AV745">
        <v>3</v>
      </c>
      <c r="AW745">
        <v>4.5999999999999996</v>
      </c>
      <c r="AX745">
        <v>4.4000000000000004</v>
      </c>
      <c r="AY745">
        <v>4.4000000000000004</v>
      </c>
      <c r="AZ745">
        <v>0</v>
      </c>
      <c r="BA745">
        <v>3</v>
      </c>
      <c r="BB745">
        <v>43</v>
      </c>
      <c r="BC745">
        <v>27</v>
      </c>
      <c r="BD745">
        <v>38.299999999999997</v>
      </c>
      <c r="BE745">
        <v>197</v>
      </c>
      <c r="BF745">
        <v>89.1</v>
      </c>
      <c r="BG745">
        <v>40</v>
      </c>
      <c r="BH745">
        <v>27</v>
      </c>
      <c r="BI745">
        <v>34.93</v>
      </c>
      <c r="BJ745">
        <v>178</v>
      </c>
      <c r="BK745">
        <v>87.3</v>
      </c>
      <c r="BL745">
        <v>375</v>
      </c>
      <c r="BM745">
        <v>6.3429000000000002</v>
      </c>
    </row>
    <row r="746" spans="1:65" x14ac:dyDescent="0.25">
      <c r="A746" t="s">
        <v>809</v>
      </c>
      <c r="B746" t="s">
        <v>1788</v>
      </c>
      <c r="C746" t="s">
        <v>2159</v>
      </c>
      <c r="D746" s="1">
        <v>45536</v>
      </c>
      <c r="E746" s="1">
        <v>45581</v>
      </c>
      <c r="F746" s="1">
        <v>45744</v>
      </c>
      <c r="G746" t="s">
        <v>2164</v>
      </c>
      <c r="I746" t="s">
        <v>2175</v>
      </c>
      <c r="J746">
        <v>44220</v>
      </c>
      <c r="K746">
        <v>1326</v>
      </c>
      <c r="L746">
        <v>15.7</v>
      </c>
      <c r="M746">
        <v>17.100000000000001</v>
      </c>
      <c r="N746">
        <v>8</v>
      </c>
      <c r="O746">
        <v>17035</v>
      </c>
      <c r="P746" t="s">
        <v>2178</v>
      </c>
      <c r="Q746">
        <v>33</v>
      </c>
      <c r="R746">
        <v>51</v>
      </c>
      <c r="S746">
        <v>98</v>
      </c>
      <c r="T746">
        <v>242</v>
      </c>
      <c r="U746" t="s">
        <v>2182</v>
      </c>
      <c r="W746" t="s">
        <v>2209</v>
      </c>
      <c r="X746" t="s">
        <v>2211</v>
      </c>
      <c r="Y746" t="s">
        <v>2213</v>
      </c>
      <c r="Z746" s="1">
        <v>45763</v>
      </c>
      <c r="AA746" s="1">
        <v>45785</v>
      </c>
      <c r="AB746" t="s">
        <v>2215</v>
      </c>
      <c r="AC746" t="s">
        <v>2208</v>
      </c>
      <c r="AD746" t="s">
        <v>2219</v>
      </c>
      <c r="AE746" t="s">
        <v>2166</v>
      </c>
      <c r="AF746" t="s">
        <v>2162</v>
      </c>
      <c r="AG746" t="s">
        <v>2222</v>
      </c>
      <c r="AH746">
        <v>182</v>
      </c>
      <c r="AI746">
        <v>204</v>
      </c>
      <c r="AJ746">
        <v>22</v>
      </c>
      <c r="AK746">
        <v>10</v>
      </c>
      <c r="AL746" t="s">
        <v>2230</v>
      </c>
      <c r="AM746">
        <v>1</v>
      </c>
      <c r="AN746" t="s">
        <v>2175</v>
      </c>
      <c r="AO746" t="s">
        <v>2175</v>
      </c>
      <c r="AP746" t="s">
        <v>2175</v>
      </c>
      <c r="AQ746">
        <v>268.47000000000003</v>
      </c>
      <c r="AR746">
        <v>3</v>
      </c>
      <c r="AS746">
        <v>3</v>
      </c>
      <c r="AT746">
        <v>3</v>
      </c>
      <c r="AU746">
        <v>3</v>
      </c>
      <c r="AV746">
        <v>3</v>
      </c>
      <c r="AW746">
        <v>4.8</v>
      </c>
      <c r="AX746">
        <v>4.2</v>
      </c>
      <c r="AY746">
        <v>4.5</v>
      </c>
      <c r="AZ746">
        <v>0</v>
      </c>
      <c r="BA746">
        <v>3</v>
      </c>
      <c r="BB746">
        <v>50</v>
      </c>
      <c r="BC746">
        <v>27</v>
      </c>
      <c r="BD746">
        <v>42.44</v>
      </c>
      <c r="BE746">
        <v>220</v>
      </c>
      <c r="BF746">
        <v>84.9</v>
      </c>
      <c r="BG746">
        <v>27</v>
      </c>
      <c r="BH746">
        <v>27</v>
      </c>
      <c r="BI746">
        <v>23.56</v>
      </c>
      <c r="BJ746">
        <v>116</v>
      </c>
      <c r="BK746">
        <v>87.3</v>
      </c>
      <c r="BL746">
        <v>328</v>
      </c>
      <c r="BM746">
        <v>7.4432</v>
      </c>
    </row>
    <row r="747" spans="1:65" x14ac:dyDescent="0.25">
      <c r="A747" t="s">
        <v>810</v>
      </c>
      <c r="B747" t="s">
        <v>1789</v>
      </c>
      <c r="C747" t="s">
        <v>2157</v>
      </c>
      <c r="D747" s="1">
        <v>45462</v>
      </c>
      <c r="E747" s="1">
        <v>45507</v>
      </c>
      <c r="F747" s="1">
        <v>45712</v>
      </c>
      <c r="G747" t="s">
        <v>2163</v>
      </c>
      <c r="I747" t="s">
        <v>2175</v>
      </c>
      <c r="J747">
        <v>42182</v>
      </c>
      <c r="K747">
        <v>1265</v>
      </c>
      <c r="L747">
        <v>12.3</v>
      </c>
      <c r="M747">
        <v>12.6</v>
      </c>
      <c r="N747">
        <v>7</v>
      </c>
      <c r="O747">
        <v>19062</v>
      </c>
      <c r="P747" t="s">
        <v>2178</v>
      </c>
      <c r="Q747">
        <v>43</v>
      </c>
      <c r="R747">
        <v>74</v>
      </c>
      <c r="S747">
        <v>100</v>
      </c>
      <c r="T747">
        <v>194</v>
      </c>
      <c r="U747" t="s">
        <v>2204</v>
      </c>
      <c r="W747" t="s">
        <v>2209</v>
      </c>
      <c r="X747" t="s">
        <v>2211</v>
      </c>
      <c r="Y747" t="s">
        <v>2213</v>
      </c>
      <c r="Z747" s="1">
        <v>45724</v>
      </c>
      <c r="AA747" s="1">
        <v>45745</v>
      </c>
      <c r="AB747" t="s">
        <v>2215</v>
      </c>
      <c r="AC747" t="s">
        <v>2208</v>
      </c>
      <c r="AD747" t="s">
        <v>2219</v>
      </c>
      <c r="AE747" t="s">
        <v>2166</v>
      </c>
      <c r="AF747" t="s">
        <v>2164</v>
      </c>
      <c r="AG747" t="s">
        <v>2222</v>
      </c>
      <c r="AH747">
        <v>217</v>
      </c>
      <c r="AI747">
        <v>238</v>
      </c>
      <c r="AJ747">
        <v>21</v>
      </c>
      <c r="AK747">
        <v>8</v>
      </c>
      <c r="AL747" t="s">
        <v>2232</v>
      </c>
      <c r="AM747">
        <v>0</v>
      </c>
      <c r="AN747" t="s">
        <v>2175</v>
      </c>
      <c r="AO747" t="s">
        <v>2175</v>
      </c>
      <c r="AP747" t="s">
        <v>2175</v>
      </c>
      <c r="AQ747">
        <v>154.97999999999999</v>
      </c>
      <c r="AR747">
        <v>3</v>
      </c>
      <c r="AS747">
        <v>3</v>
      </c>
      <c r="AT747">
        <v>3</v>
      </c>
      <c r="AU747">
        <v>3</v>
      </c>
      <c r="AV747">
        <v>3</v>
      </c>
      <c r="AW747">
        <v>4.8</v>
      </c>
      <c r="AX747">
        <v>4.5</v>
      </c>
      <c r="AY747">
        <v>4.4000000000000004</v>
      </c>
      <c r="AZ747">
        <v>3</v>
      </c>
      <c r="BA747">
        <v>3</v>
      </c>
      <c r="BB747">
        <v>41</v>
      </c>
      <c r="BC747">
        <v>26</v>
      </c>
      <c r="BD747">
        <v>36.15</v>
      </c>
      <c r="BE747">
        <v>176</v>
      </c>
      <c r="BF747">
        <v>88.2</v>
      </c>
      <c r="BG747">
        <v>37</v>
      </c>
      <c r="BH747">
        <v>26</v>
      </c>
      <c r="BI747">
        <v>32.880000000000003</v>
      </c>
      <c r="BJ747">
        <v>161</v>
      </c>
      <c r="BK747">
        <v>88.9</v>
      </c>
      <c r="BL747">
        <v>288</v>
      </c>
      <c r="BM747">
        <v>9.2161000000000008</v>
      </c>
    </row>
    <row r="748" spans="1:65" x14ac:dyDescent="0.25">
      <c r="A748" t="s">
        <v>811</v>
      </c>
      <c r="B748" t="s">
        <v>1790</v>
      </c>
      <c r="C748" t="s">
        <v>2160</v>
      </c>
      <c r="D748" s="1">
        <v>45431</v>
      </c>
      <c r="E748" s="1">
        <v>45457</v>
      </c>
      <c r="F748" s="1">
        <v>45621</v>
      </c>
      <c r="G748" t="s">
        <v>2163</v>
      </c>
      <c r="I748" t="s">
        <v>2175</v>
      </c>
      <c r="J748">
        <v>57429</v>
      </c>
      <c r="K748">
        <v>1722</v>
      </c>
      <c r="L748">
        <v>15.6</v>
      </c>
      <c r="M748">
        <v>15.9</v>
      </c>
      <c r="N748">
        <v>7</v>
      </c>
      <c r="O748">
        <v>19423</v>
      </c>
      <c r="P748" t="s">
        <v>2178</v>
      </c>
      <c r="Q748">
        <v>43</v>
      </c>
      <c r="R748">
        <v>67</v>
      </c>
      <c r="S748">
        <v>72</v>
      </c>
      <c r="T748">
        <v>315</v>
      </c>
      <c r="U748" t="s">
        <v>2181</v>
      </c>
      <c r="W748" t="s">
        <v>2209</v>
      </c>
      <c r="X748" t="s">
        <v>2211</v>
      </c>
      <c r="Y748" t="s">
        <v>2213</v>
      </c>
      <c r="Z748" s="1">
        <v>45639</v>
      </c>
      <c r="AA748" s="1">
        <v>45657</v>
      </c>
      <c r="AB748" t="s">
        <v>2215</v>
      </c>
      <c r="AC748" t="s">
        <v>2208</v>
      </c>
      <c r="AD748" t="s">
        <v>2219</v>
      </c>
      <c r="AE748" t="s">
        <v>2166</v>
      </c>
      <c r="AF748" t="s">
        <v>2163</v>
      </c>
      <c r="AG748" t="s">
        <v>2222</v>
      </c>
      <c r="AH748">
        <v>182</v>
      </c>
      <c r="AI748">
        <v>200</v>
      </c>
      <c r="AJ748">
        <v>18</v>
      </c>
      <c r="AK748">
        <v>6</v>
      </c>
      <c r="AL748" t="s">
        <v>2223</v>
      </c>
      <c r="AM748">
        <v>0</v>
      </c>
      <c r="AN748" t="s">
        <v>2175</v>
      </c>
      <c r="AO748" t="s">
        <v>2175</v>
      </c>
      <c r="AP748" t="s">
        <v>2175</v>
      </c>
      <c r="AQ748">
        <v>248.04</v>
      </c>
      <c r="AR748">
        <v>3</v>
      </c>
      <c r="AS748">
        <v>3</v>
      </c>
      <c r="AT748">
        <v>3</v>
      </c>
      <c r="AU748">
        <v>3</v>
      </c>
      <c r="AV748">
        <v>3</v>
      </c>
      <c r="AW748">
        <v>4.8</v>
      </c>
      <c r="AX748">
        <v>4.4000000000000004</v>
      </c>
      <c r="AY748">
        <v>4.4000000000000004</v>
      </c>
      <c r="AZ748">
        <v>1</v>
      </c>
      <c r="BA748">
        <v>3</v>
      </c>
      <c r="BB748">
        <v>45</v>
      </c>
      <c r="BC748">
        <v>25</v>
      </c>
      <c r="BD748">
        <v>39.200000000000003</v>
      </c>
      <c r="BE748">
        <v>186</v>
      </c>
      <c r="BF748">
        <v>87.1</v>
      </c>
      <c r="BG748">
        <v>30</v>
      </c>
      <c r="BH748">
        <v>25</v>
      </c>
      <c r="BI748">
        <v>26.48</v>
      </c>
      <c r="BJ748">
        <v>121</v>
      </c>
      <c r="BK748">
        <v>88.3</v>
      </c>
      <c r="BL748">
        <v>307</v>
      </c>
      <c r="BM748">
        <v>12.3477</v>
      </c>
    </row>
    <row r="749" spans="1:65" x14ac:dyDescent="0.25">
      <c r="A749" t="s">
        <v>812</v>
      </c>
      <c r="B749" t="s">
        <v>1791</v>
      </c>
      <c r="C749" t="s">
        <v>2158</v>
      </c>
      <c r="D749" s="1">
        <v>45398</v>
      </c>
      <c r="E749" s="1">
        <v>45424</v>
      </c>
      <c r="F749" s="1">
        <v>45659</v>
      </c>
      <c r="G749" t="s">
        <v>2166</v>
      </c>
      <c r="I749" t="s">
        <v>2175</v>
      </c>
      <c r="J749">
        <v>57971</v>
      </c>
      <c r="K749">
        <v>1739</v>
      </c>
      <c r="L749">
        <v>13.9</v>
      </c>
      <c r="M749">
        <v>12.3</v>
      </c>
      <c r="N749">
        <v>7</v>
      </c>
      <c r="O749">
        <v>19213</v>
      </c>
      <c r="P749" t="s">
        <v>2178</v>
      </c>
      <c r="Q749">
        <v>39</v>
      </c>
      <c r="R749">
        <v>75</v>
      </c>
      <c r="S749">
        <v>130</v>
      </c>
      <c r="T749">
        <v>237</v>
      </c>
      <c r="U749" t="s">
        <v>2182</v>
      </c>
      <c r="W749" t="s">
        <v>2209</v>
      </c>
      <c r="X749" t="s">
        <v>2211</v>
      </c>
      <c r="Y749" t="s">
        <v>2213</v>
      </c>
      <c r="Z749" s="1">
        <v>45668</v>
      </c>
      <c r="AA749" s="1">
        <v>45688</v>
      </c>
      <c r="AB749" t="s">
        <v>2215</v>
      </c>
      <c r="AC749" t="s">
        <v>2208</v>
      </c>
      <c r="AD749" t="s">
        <v>2219</v>
      </c>
      <c r="AE749" t="s">
        <v>2166</v>
      </c>
      <c r="AF749" t="s">
        <v>2162</v>
      </c>
      <c r="AG749" t="s">
        <v>2222</v>
      </c>
      <c r="AH749">
        <v>244</v>
      </c>
      <c r="AI749">
        <v>264</v>
      </c>
      <c r="AJ749">
        <v>20</v>
      </c>
      <c r="AK749">
        <v>5</v>
      </c>
      <c r="AL749" t="s">
        <v>2224</v>
      </c>
      <c r="AM749">
        <v>0</v>
      </c>
      <c r="AN749" t="s">
        <v>2175</v>
      </c>
      <c r="AO749" t="s">
        <v>2175</v>
      </c>
      <c r="AP749" t="s">
        <v>2175</v>
      </c>
      <c r="AQ749">
        <v>170.97</v>
      </c>
      <c r="AR749">
        <v>3</v>
      </c>
      <c r="AS749">
        <v>3</v>
      </c>
      <c r="AT749">
        <v>3</v>
      </c>
      <c r="AU749">
        <v>3</v>
      </c>
      <c r="AV749">
        <v>3</v>
      </c>
      <c r="AW749">
        <v>4.8</v>
      </c>
      <c r="AX749">
        <v>4.2</v>
      </c>
      <c r="AY749">
        <v>4.8</v>
      </c>
      <c r="AZ749">
        <v>2</v>
      </c>
      <c r="BA749">
        <v>3</v>
      </c>
      <c r="BB749">
        <v>43</v>
      </c>
      <c r="BC749">
        <v>27</v>
      </c>
      <c r="BD749">
        <v>37.299999999999997</v>
      </c>
      <c r="BE749">
        <v>193</v>
      </c>
      <c r="BF749">
        <v>86.7</v>
      </c>
      <c r="BG749">
        <v>43</v>
      </c>
      <c r="BH749">
        <v>27</v>
      </c>
      <c r="BI749">
        <v>37.299999999999997</v>
      </c>
      <c r="BJ749">
        <v>193</v>
      </c>
      <c r="BK749">
        <v>86.7</v>
      </c>
      <c r="BL749">
        <v>301</v>
      </c>
      <c r="BM749">
        <v>11.1226</v>
      </c>
    </row>
    <row r="750" spans="1:65" x14ac:dyDescent="0.25">
      <c r="A750" t="s">
        <v>813</v>
      </c>
      <c r="B750" t="s">
        <v>1792</v>
      </c>
      <c r="C750" t="s">
        <v>2160</v>
      </c>
      <c r="D750" s="1">
        <v>45506</v>
      </c>
      <c r="E750" s="1">
        <v>45553</v>
      </c>
      <c r="F750" s="1">
        <v>45822</v>
      </c>
      <c r="G750" t="s">
        <v>2162</v>
      </c>
      <c r="I750" t="s">
        <v>2175</v>
      </c>
      <c r="J750">
        <v>57995</v>
      </c>
      <c r="K750">
        <v>1739</v>
      </c>
      <c r="L750">
        <v>17.8</v>
      </c>
      <c r="M750">
        <v>14.3</v>
      </c>
      <c r="N750">
        <v>7</v>
      </c>
      <c r="O750">
        <v>17829</v>
      </c>
      <c r="P750" t="s">
        <v>2178</v>
      </c>
      <c r="Q750">
        <v>52</v>
      </c>
      <c r="R750">
        <v>97</v>
      </c>
      <c r="S750">
        <v>135</v>
      </c>
      <c r="T750">
        <v>204</v>
      </c>
      <c r="U750" t="s">
        <v>2196</v>
      </c>
      <c r="W750" t="s">
        <v>2209</v>
      </c>
      <c r="X750" t="s">
        <v>2211</v>
      </c>
      <c r="Y750" t="s">
        <v>2213</v>
      </c>
      <c r="Z750" s="1">
        <v>45837</v>
      </c>
      <c r="AA750" s="1">
        <v>45854</v>
      </c>
      <c r="AB750" t="s">
        <v>2215</v>
      </c>
      <c r="AC750" t="s">
        <v>2208</v>
      </c>
      <c r="AD750" t="s">
        <v>2219</v>
      </c>
      <c r="AE750" t="s">
        <v>2165</v>
      </c>
      <c r="AF750" t="s">
        <v>2163</v>
      </c>
      <c r="AG750" t="s">
        <v>2222</v>
      </c>
      <c r="AH750">
        <v>284</v>
      </c>
      <c r="AI750">
        <v>301</v>
      </c>
      <c r="AJ750">
        <v>17</v>
      </c>
      <c r="AK750">
        <v>9</v>
      </c>
      <c r="AL750" t="s">
        <v>2234</v>
      </c>
      <c r="AM750">
        <v>0</v>
      </c>
      <c r="AN750" t="s">
        <v>2175</v>
      </c>
      <c r="AO750" t="s">
        <v>2175</v>
      </c>
      <c r="AP750" t="s">
        <v>2175</v>
      </c>
      <c r="AQ750">
        <v>254.54</v>
      </c>
      <c r="AR750">
        <v>3</v>
      </c>
      <c r="AS750">
        <v>3</v>
      </c>
      <c r="AT750">
        <v>3</v>
      </c>
      <c r="AU750">
        <v>3</v>
      </c>
      <c r="AV750">
        <v>3</v>
      </c>
      <c r="AW750">
        <v>4.5999999999999996</v>
      </c>
      <c r="AX750">
        <v>4.4000000000000004</v>
      </c>
      <c r="AY750">
        <v>4.2</v>
      </c>
      <c r="AZ750">
        <v>1</v>
      </c>
      <c r="BA750">
        <v>3</v>
      </c>
      <c r="BB750">
        <v>45</v>
      </c>
      <c r="BC750">
        <v>26</v>
      </c>
      <c r="BD750">
        <v>39.85</v>
      </c>
      <c r="BE750">
        <v>196</v>
      </c>
      <c r="BF750">
        <v>88.6</v>
      </c>
      <c r="BG750">
        <v>30</v>
      </c>
      <c r="BH750">
        <v>26</v>
      </c>
      <c r="BI750">
        <v>26.54</v>
      </c>
      <c r="BJ750">
        <v>129</v>
      </c>
      <c r="BK750">
        <v>88.5</v>
      </c>
      <c r="BL750">
        <v>322</v>
      </c>
      <c r="BM750">
        <v>11.378299999999999</v>
      </c>
    </row>
    <row r="751" spans="1:65" x14ac:dyDescent="0.25">
      <c r="A751" t="s">
        <v>814</v>
      </c>
      <c r="B751" t="s">
        <v>1793</v>
      </c>
      <c r="C751" t="s">
        <v>2159</v>
      </c>
      <c r="D751" s="1">
        <v>45495</v>
      </c>
      <c r="E751" s="1">
        <v>45521</v>
      </c>
      <c r="F751" s="1">
        <v>45655</v>
      </c>
      <c r="G751" t="s">
        <v>2161</v>
      </c>
      <c r="I751" t="s">
        <v>2175</v>
      </c>
      <c r="J751">
        <v>33164</v>
      </c>
      <c r="K751">
        <v>994</v>
      </c>
      <c r="L751">
        <v>12</v>
      </c>
      <c r="M751">
        <v>15.7</v>
      </c>
      <c r="N751">
        <v>8</v>
      </c>
      <c r="O751">
        <v>15243</v>
      </c>
      <c r="P751" t="s">
        <v>2178</v>
      </c>
      <c r="Q751">
        <v>33</v>
      </c>
      <c r="R751">
        <v>55</v>
      </c>
      <c r="S751">
        <v>53</v>
      </c>
      <c r="T751">
        <v>235</v>
      </c>
      <c r="U751" t="s">
        <v>2198</v>
      </c>
      <c r="W751" t="s">
        <v>2209</v>
      </c>
      <c r="X751" t="s">
        <v>2211</v>
      </c>
      <c r="Y751" t="s">
        <v>2213</v>
      </c>
      <c r="Z751" s="1">
        <v>45662</v>
      </c>
      <c r="AA751" s="1">
        <v>45686</v>
      </c>
      <c r="AB751" t="s">
        <v>2215</v>
      </c>
      <c r="AC751" t="s">
        <v>2208</v>
      </c>
      <c r="AD751" t="s">
        <v>2219</v>
      </c>
      <c r="AE751" t="s">
        <v>2166</v>
      </c>
      <c r="AF751" t="s">
        <v>2161</v>
      </c>
      <c r="AG751" t="s">
        <v>2222</v>
      </c>
      <c r="AH751">
        <v>141</v>
      </c>
      <c r="AI751">
        <v>165</v>
      </c>
      <c r="AJ751">
        <v>24</v>
      </c>
      <c r="AK751">
        <v>8</v>
      </c>
      <c r="AL751" t="s">
        <v>2232</v>
      </c>
      <c r="AM751">
        <v>0</v>
      </c>
      <c r="AN751" t="s">
        <v>2175</v>
      </c>
      <c r="AO751" t="s">
        <v>2175</v>
      </c>
      <c r="AP751" t="s">
        <v>2175</v>
      </c>
      <c r="AQ751">
        <v>188.4</v>
      </c>
      <c r="AR751">
        <v>3</v>
      </c>
      <c r="AS751">
        <v>3</v>
      </c>
      <c r="AT751">
        <v>3</v>
      </c>
      <c r="AU751">
        <v>3</v>
      </c>
      <c r="AV751">
        <v>3</v>
      </c>
      <c r="AW751">
        <v>4.8</v>
      </c>
      <c r="AX751">
        <v>4.3</v>
      </c>
      <c r="AY751">
        <v>4.3</v>
      </c>
      <c r="AZ751">
        <v>0</v>
      </c>
      <c r="BA751">
        <v>3</v>
      </c>
      <c r="BB751">
        <v>41</v>
      </c>
      <c r="BC751">
        <v>26</v>
      </c>
      <c r="BD751">
        <v>36.15</v>
      </c>
      <c r="BE751">
        <v>176</v>
      </c>
      <c r="BF751">
        <v>88.2</v>
      </c>
      <c r="BG751">
        <v>36</v>
      </c>
      <c r="BH751">
        <v>26</v>
      </c>
      <c r="BI751">
        <v>31.65</v>
      </c>
      <c r="BJ751">
        <v>152</v>
      </c>
      <c r="BK751">
        <v>87.9</v>
      </c>
      <c r="BL751">
        <v>328</v>
      </c>
      <c r="BM751">
        <v>7.2458</v>
      </c>
    </row>
    <row r="752" spans="1:65" x14ac:dyDescent="0.25">
      <c r="A752" t="s">
        <v>815</v>
      </c>
      <c r="B752" t="s">
        <v>1794</v>
      </c>
      <c r="C752" t="s">
        <v>2160</v>
      </c>
      <c r="D752" s="1">
        <v>45294</v>
      </c>
      <c r="E752" s="1">
        <v>45330</v>
      </c>
      <c r="F752" s="1">
        <v>45480</v>
      </c>
      <c r="G752" t="s">
        <v>2166</v>
      </c>
      <c r="I752" t="s">
        <v>2175</v>
      </c>
      <c r="J752">
        <v>47576</v>
      </c>
      <c r="K752">
        <v>1427</v>
      </c>
      <c r="L752">
        <v>14.4</v>
      </c>
      <c r="M752">
        <v>14</v>
      </c>
      <c r="N752">
        <v>8</v>
      </c>
      <c r="O752">
        <v>16211</v>
      </c>
      <c r="P752" t="s">
        <v>2178</v>
      </c>
      <c r="Q752">
        <v>35</v>
      </c>
      <c r="R752">
        <v>61</v>
      </c>
      <c r="S752">
        <v>60</v>
      </c>
      <c r="T752">
        <v>304</v>
      </c>
      <c r="U752" t="s">
        <v>2204</v>
      </c>
      <c r="W752" t="s">
        <v>2209</v>
      </c>
      <c r="X752" t="s">
        <v>2211</v>
      </c>
      <c r="Y752" t="s">
        <v>2213</v>
      </c>
      <c r="Z752" s="1">
        <v>45486</v>
      </c>
      <c r="AA752" s="1">
        <v>45502</v>
      </c>
      <c r="AB752" t="s">
        <v>2215</v>
      </c>
      <c r="AC752" t="s">
        <v>2208</v>
      </c>
      <c r="AD752" t="s">
        <v>2219</v>
      </c>
      <c r="AE752" t="s">
        <v>2166</v>
      </c>
      <c r="AF752" t="s">
        <v>2164</v>
      </c>
      <c r="AG752" t="s">
        <v>2222</v>
      </c>
      <c r="AH752">
        <v>156</v>
      </c>
      <c r="AI752">
        <v>172</v>
      </c>
      <c r="AJ752">
        <v>16</v>
      </c>
      <c r="AK752">
        <v>2</v>
      </c>
      <c r="AL752" t="s">
        <v>2228</v>
      </c>
      <c r="AM752">
        <v>0</v>
      </c>
      <c r="AN752" t="s">
        <v>2175</v>
      </c>
      <c r="AO752" t="s">
        <v>2175</v>
      </c>
      <c r="AP752" t="s">
        <v>2175</v>
      </c>
      <c r="AQ752">
        <v>201.6</v>
      </c>
      <c r="AR752">
        <v>3</v>
      </c>
      <c r="AS752">
        <v>3</v>
      </c>
      <c r="AT752">
        <v>3</v>
      </c>
      <c r="AU752">
        <v>3</v>
      </c>
      <c r="AV752">
        <v>3</v>
      </c>
      <c r="AW752">
        <v>4.8</v>
      </c>
      <c r="AX752">
        <v>4.5</v>
      </c>
      <c r="AY752">
        <v>4.8</v>
      </c>
      <c r="AZ752">
        <v>1</v>
      </c>
      <c r="BA752">
        <v>3</v>
      </c>
      <c r="BB752">
        <v>40</v>
      </c>
      <c r="BC752">
        <v>24</v>
      </c>
      <c r="BD752">
        <v>35.54</v>
      </c>
      <c r="BE752">
        <v>160</v>
      </c>
      <c r="BF752">
        <v>88.8</v>
      </c>
      <c r="BG752">
        <v>40</v>
      </c>
      <c r="BH752">
        <v>24</v>
      </c>
      <c r="BI752">
        <v>35.54</v>
      </c>
      <c r="BJ752">
        <v>160</v>
      </c>
      <c r="BK752">
        <v>88.8</v>
      </c>
      <c r="BL752">
        <v>266</v>
      </c>
      <c r="BM752">
        <v>12.3864</v>
      </c>
    </row>
    <row r="753" spans="1:65" x14ac:dyDescent="0.25">
      <c r="A753" t="s">
        <v>816</v>
      </c>
      <c r="B753" t="s">
        <v>1795</v>
      </c>
      <c r="C753" t="s">
        <v>2157</v>
      </c>
      <c r="D753" s="1">
        <v>45250</v>
      </c>
      <c r="E753" s="1">
        <v>45298</v>
      </c>
      <c r="F753" s="1">
        <v>45507</v>
      </c>
      <c r="G753" t="s">
        <v>2163</v>
      </c>
      <c r="I753" t="s">
        <v>2175</v>
      </c>
      <c r="J753">
        <v>47667</v>
      </c>
      <c r="K753">
        <v>1430</v>
      </c>
      <c r="L753">
        <v>12.7</v>
      </c>
      <c r="M753">
        <v>13.5</v>
      </c>
      <c r="N753">
        <v>8</v>
      </c>
      <c r="O753">
        <v>15755</v>
      </c>
      <c r="P753" t="s">
        <v>2178</v>
      </c>
      <c r="Q753">
        <v>49</v>
      </c>
      <c r="R753">
        <v>86</v>
      </c>
      <c r="S753">
        <v>81</v>
      </c>
      <c r="T753">
        <v>220</v>
      </c>
      <c r="U753" t="s">
        <v>2204</v>
      </c>
      <c r="W753" t="s">
        <v>2209</v>
      </c>
      <c r="X753" t="s">
        <v>2211</v>
      </c>
      <c r="Y753" t="s">
        <v>2213</v>
      </c>
      <c r="Z753" s="1">
        <v>45514</v>
      </c>
      <c r="AA753" s="1">
        <v>45537</v>
      </c>
      <c r="AB753" t="s">
        <v>2215</v>
      </c>
      <c r="AC753" t="s">
        <v>2208</v>
      </c>
      <c r="AD753" t="s">
        <v>2219</v>
      </c>
      <c r="AE753" t="s">
        <v>2166</v>
      </c>
      <c r="AF753" t="s">
        <v>2164</v>
      </c>
      <c r="AG753" t="s">
        <v>2222</v>
      </c>
      <c r="AH753">
        <v>216</v>
      </c>
      <c r="AI753">
        <v>239</v>
      </c>
      <c r="AJ753">
        <v>23</v>
      </c>
      <c r="AK753">
        <v>1</v>
      </c>
      <c r="AL753" t="s">
        <v>2233</v>
      </c>
      <c r="AM753">
        <v>0</v>
      </c>
      <c r="AN753" t="s">
        <v>2175</v>
      </c>
      <c r="AO753" t="s">
        <v>2175</v>
      </c>
      <c r="AP753" t="s">
        <v>2175</v>
      </c>
      <c r="AQ753">
        <v>171.45</v>
      </c>
      <c r="AR753">
        <v>3</v>
      </c>
      <c r="AS753">
        <v>3</v>
      </c>
      <c r="AT753">
        <v>3</v>
      </c>
      <c r="AU753">
        <v>3</v>
      </c>
      <c r="AV753">
        <v>3</v>
      </c>
      <c r="AW753">
        <v>4.8</v>
      </c>
      <c r="AX753">
        <v>4.5</v>
      </c>
      <c r="AY753">
        <v>4.4000000000000004</v>
      </c>
      <c r="AZ753">
        <v>3</v>
      </c>
      <c r="BA753">
        <v>3</v>
      </c>
      <c r="BB753">
        <v>40</v>
      </c>
      <c r="BC753">
        <v>27</v>
      </c>
      <c r="BD753">
        <v>35.07</v>
      </c>
      <c r="BE753">
        <v>181</v>
      </c>
      <c r="BF753">
        <v>87.7</v>
      </c>
      <c r="BG753">
        <v>40</v>
      </c>
      <c r="BH753">
        <v>27</v>
      </c>
      <c r="BI753">
        <v>34.93</v>
      </c>
      <c r="BJ753">
        <v>178</v>
      </c>
      <c r="BK753">
        <v>87.3</v>
      </c>
      <c r="BL753">
        <v>313</v>
      </c>
      <c r="BM753">
        <v>9.7517999999999994</v>
      </c>
    </row>
    <row r="754" spans="1:65" x14ac:dyDescent="0.25">
      <c r="A754" t="s">
        <v>817</v>
      </c>
      <c r="B754" t="s">
        <v>1796</v>
      </c>
      <c r="C754" t="s">
        <v>2157</v>
      </c>
      <c r="D754" s="1">
        <v>45419</v>
      </c>
      <c r="E754" s="1">
        <v>45450</v>
      </c>
      <c r="F754" s="1">
        <v>45605</v>
      </c>
      <c r="G754" t="s">
        <v>2163</v>
      </c>
      <c r="I754" t="s">
        <v>2175</v>
      </c>
      <c r="J754">
        <v>37354</v>
      </c>
      <c r="K754">
        <v>1120</v>
      </c>
      <c r="L754">
        <v>16.5</v>
      </c>
      <c r="M754">
        <v>15.5</v>
      </c>
      <c r="N754">
        <v>8</v>
      </c>
      <c r="O754">
        <v>16301</v>
      </c>
      <c r="P754" t="s">
        <v>2178</v>
      </c>
      <c r="Q754">
        <v>32</v>
      </c>
      <c r="R754">
        <v>56</v>
      </c>
      <c r="S754">
        <v>85</v>
      </c>
      <c r="T754">
        <v>215</v>
      </c>
      <c r="U754" t="s">
        <v>2181</v>
      </c>
      <c r="W754" t="s">
        <v>2209</v>
      </c>
      <c r="X754" t="s">
        <v>2211</v>
      </c>
      <c r="Y754" t="s">
        <v>2213</v>
      </c>
      <c r="Z754" s="1">
        <v>45623</v>
      </c>
      <c r="AA754" s="1">
        <v>45639</v>
      </c>
      <c r="AB754" t="s">
        <v>2215</v>
      </c>
      <c r="AC754" t="s">
        <v>2208</v>
      </c>
      <c r="AD754" t="s">
        <v>2219</v>
      </c>
      <c r="AE754" t="s">
        <v>2166</v>
      </c>
      <c r="AF754" t="s">
        <v>2163</v>
      </c>
      <c r="AG754" t="s">
        <v>2222</v>
      </c>
      <c r="AH754">
        <v>173</v>
      </c>
      <c r="AI754">
        <v>189</v>
      </c>
      <c r="AJ754">
        <v>16</v>
      </c>
      <c r="AK754">
        <v>6</v>
      </c>
      <c r="AL754" t="s">
        <v>2223</v>
      </c>
      <c r="AM754">
        <v>0</v>
      </c>
      <c r="AN754" t="s">
        <v>2175</v>
      </c>
      <c r="AO754" t="s">
        <v>2175</v>
      </c>
      <c r="AP754" t="s">
        <v>2175</v>
      </c>
      <c r="AQ754">
        <v>255.75</v>
      </c>
      <c r="AR754">
        <v>3</v>
      </c>
      <c r="AS754">
        <v>3</v>
      </c>
      <c r="AT754">
        <v>3</v>
      </c>
      <c r="AU754">
        <v>3</v>
      </c>
      <c r="AV754">
        <v>3</v>
      </c>
      <c r="AW754">
        <v>4.8</v>
      </c>
      <c r="AX754">
        <v>4.4000000000000004</v>
      </c>
      <c r="AY754">
        <v>4.4000000000000004</v>
      </c>
      <c r="AZ754">
        <v>3</v>
      </c>
      <c r="BA754">
        <v>3</v>
      </c>
      <c r="BB754">
        <v>45</v>
      </c>
      <c r="BC754">
        <v>25</v>
      </c>
      <c r="BD754">
        <v>39.200000000000003</v>
      </c>
      <c r="BE754">
        <v>186</v>
      </c>
      <c r="BF754">
        <v>87.1</v>
      </c>
      <c r="BG754">
        <v>30</v>
      </c>
      <c r="BH754">
        <v>25</v>
      </c>
      <c r="BI754">
        <v>26.48</v>
      </c>
      <c r="BJ754">
        <v>121</v>
      </c>
      <c r="BK754">
        <v>88.3</v>
      </c>
      <c r="BL754">
        <v>307</v>
      </c>
      <c r="BM754">
        <v>8.0313999999999997</v>
      </c>
    </row>
    <row r="755" spans="1:65" x14ac:dyDescent="0.25">
      <c r="A755" t="s">
        <v>818</v>
      </c>
      <c r="B755" t="s">
        <v>1797</v>
      </c>
      <c r="C755" t="s">
        <v>2160</v>
      </c>
      <c r="D755" s="1">
        <v>45501</v>
      </c>
      <c r="E755" s="1">
        <v>45539</v>
      </c>
      <c r="F755" s="1">
        <v>45704</v>
      </c>
      <c r="G755" t="s">
        <v>2161</v>
      </c>
      <c r="I755" t="s">
        <v>2175</v>
      </c>
      <c r="J755">
        <v>45449</v>
      </c>
      <c r="K755">
        <v>1363</v>
      </c>
      <c r="L755">
        <v>17.3</v>
      </c>
      <c r="M755">
        <v>17.8</v>
      </c>
      <c r="N755">
        <v>8</v>
      </c>
      <c r="O755">
        <v>19677</v>
      </c>
      <c r="P755" t="s">
        <v>2178</v>
      </c>
      <c r="Q755">
        <v>39</v>
      </c>
      <c r="R755">
        <v>76</v>
      </c>
      <c r="S755">
        <v>69</v>
      </c>
      <c r="T755">
        <v>247</v>
      </c>
      <c r="U755" t="s">
        <v>2205</v>
      </c>
      <c r="W755" t="s">
        <v>2209</v>
      </c>
      <c r="X755" t="s">
        <v>2211</v>
      </c>
      <c r="Y755" t="s">
        <v>2213</v>
      </c>
      <c r="Z755" s="1">
        <v>45723</v>
      </c>
      <c r="AA755" s="1">
        <v>45745</v>
      </c>
      <c r="AB755" t="s">
        <v>2215</v>
      </c>
      <c r="AC755" t="s">
        <v>2208</v>
      </c>
      <c r="AD755" t="s">
        <v>2219</v>
      </c>
      <c r="AE755" t="s">
        <v>2165</v>
      </c>
      <c r="AF755" t="s">
        <v>2164</v>
      </c>
      <c r="AG755" t="s">
        <v>2222</v>
      </c>
      <c r="AH755">
        <v>184</v>
      </c>
      <c r="AI755">
        <v>206</v>
      </c>
      <c r="AJ755">
        <v>22</v>
      </c>
      <c r="AK755">
        <v>9</v>
      </c>
      <c r="AL755" t="s">
        <v>2234</v>
      </c>
      <c r="AM755">
        <v>0</v>
      </c>
      <c r="AN755" t="s">
        <v>2175</v>
      </c>
      <c r="AO755" t="s">
        <v>2175</v>
      </c>
      <c r="AP755" t="s">
        <v>2175</v>
      </c>
      <c r="AQ755">
        <v>307.94</v>
      </c>
      <c r="AR755">
        <v>3</v>
      </c>
      <c r="AS755">
        <v>3</v>
      </c>
      <c r="AT755">
        <v>3</v>
      </c>
      <c r="AU755">
        <v>3</v>
      </c>
      <c r="AV755">
        <v>3</v>
      </c>
      <c r="AW755">
        <v>4.5999999999999996</v>
      </c>
      <c r="AX755">
        <v>4.5</v>
      </c>
      <c r="AY755">
        <v>4.3</v>
      </c>
      <c r="AZ755">
        <v>1</v>
      </c>
      <c r="BA755">
        <v>3</v>
      </c>
      <c r="BB755">
        <v>45</v>
      </c>
      <c r="BC755">
        <v>26</v>
      </c>
      <c r="BD755">
        <v>39.85</v>
      </c>
      <c r="BE755">
        <v>196</v>
      </c>
      <c r="BF755">
        <v>88.6</v>
      </c>
      <c r="BG755">
        <v>28</v>
      </c>
      <c r="BH755">
        <v>26</v>
      </c>
      <c r="BI755">
        <v>24.77</v>
      </c>
      <c r="BJ755">
        <v>119</v>
      </c>
      <c r="BK755">
        <v>88.5</v>
      </c>
      <c r="BL755">
        <v>343</v>
      </c>
      <c r="BM755">
        <v>8.9168000000000003</v>
      </c>
    </row>
    <row r="756" spans="1:65" x14ac:dyDescent="0.25">
      <c r="A756" t="s">
        <v>819</v>
      </c>
      <c r="B756" t="s">
        <v>1798</v>
      </c>
      <c r="C756" t="s">
        <v>2159</v>
      </c>
      <c r="D756" s="1">
        <v>45541</v>
      </c>
      <c r="E756" s="1">
        <v>45575</v>
      </c>
      <c r="F756" s="1">
        <v>45788</v>
      </c>
      <c r="G756" t="s">
        <v>2162</v>
      </c>
      <c r="I756" t="s">
        <v>2175</v>
      </c>
      <c r="J756">
        <v>43853</v>
      </c>
      <c r="K756">
        <v>1315</v>
      </c>
      <c r="L756">
        <v>15.7</v>
      </c>
      <c r="M756">
        <v>14.1</v>
      </c>
      <c r="N756">
        <v>7</v>
      </c>
      <c r="O756">
        <v>15843</v>
      </c>
      <c r="P756" t="s">
        <v>2178</v>
      </c>
      <c r="Q756">
        <v>47</v>
      </c>
      <c r="R756">
        <v>70</v>
      </c>
      <c r="S756">
        <v>106</v>
      </c>
      <c r="T756">
        <v>196</v>
      </c>
      <c r="U756" t="s">
        <v>2179</v>
      </c>
      <c r="W756" t="s">
        <v>2209</v>
      </c>
      <c r="X756" t="s">
        <v>2211</v>
      </c>
      <c r="Y756" t="s">
        <v>2213</v>
      </c>
      <c r="Z756" s="1">
        <v>45798</v>
      </c>
      <c r="AA756" s="1">
        <v>45819</v>
      </c>
      <c r="AB756" t="s">
        <v>2215</v>
      </c>
      <c r="AC756" t="s">
        <v>2208</v>
      </c>
      <c r="AD756" t="s">
        <v>2219</v>
      </c>
      <c r="AE756" t="s">
        <v>2165</v>
      </c>
      <c r="AF756" t="s">
        <v>2162</v>
      </c>
      <c r="AG756" t="s">
        <v>2222</v>
      </c>
      <c r="AH756">
        <v>223</v>
      </c>
      <c r="AI756">
        <v>244</v>
      </c>
      <c r="AJ756">
        <v>21</v>
      </c>
      <c r="AK756">
        <v>10</v>
      </c>
      <c r="AL756" t="s">
        <v>2230</v>
      </c>
      <c r="AM756">
        <v>1</v>
      </c>
      <c r="AN756" t="s">
        <v>2175</v>
      </c>
      <c r="AO756" t="s">
        <v>2175</v>
      </c>
      <c r="AP756" t="s">
        <v>2175</v>
      </c>
      <c r="AQ756">
        <v>221.37</v>
      </c>
      <c r="AR756">
        <v>3</v>
      </c>
      <c r="AS756">
        <v>3</v>
      </c>
      <c r="AT756">
        <v>3</v>
      </c>
      <c r="AU756">
        <v>3</v>
      </c>
      <c r="AV756">
        <v>3</v>
      </c>
      <c r="AW756">
        <v>4.5999999999999996</v>
      </c>
      <c r="AX756">
        <v>4.2</v>
      </c>
      <c r="AY756">
        <v>4.2</v>
      </c>
      <c r="AZ756">
        <v>0</v>
      </c>
      <c r="BA756">
        <v>3</v>
      </c>
      <c r="BB756">
        <v>43</v>
      </c>
      <c r="BC756">
        <v>27</v>
      </c>
      <c r="BD756">
        <v>37.33</v>
      </c>
      <c r="BE756">
        <v>194</v>
      </c>
      <c r="BF756">
        <v>86.8</v>
      </c>
      <c r="BG756">
        <v>25</v>
      </c>
      <c r="BH756">
        <v>27</v>
      </c>
      <c r="BI756">
        <v>21.89</v>
      </c>
      <c r="BJ756">
        <v>108</v>
      </c>
      <c r="BK756">
        <v>87.6</v>
      </c>
      <c r="BL756">
        <v>302</v>
      </c>
      <c r="BM756">
        <v>8.3704999999999998</v>
      </c>
    </row>
    <row r="757" spans="1:65" x14ac:dyDescent="0.25">
      <c r="A757" t="s">
        <v>820</v>
      </c>
      <c r="B757" t="s">
        <v>1799</v>
      </c>
      <c r="C757" t="s">
        <v>2160</v>
      </c>
      <c r="D757" s="1">
        <v>45510</v>
      </c>
      <c r="E757" s="1">
        <v>45553</v>
      </c>
      <c r="F757" s="1">
        <v>45735</v>
      </c>
      <c r="G757" t="s">
        <v>2166</v>
      </c>
      <c r="I757" t="s">
        <v>2175</v>
      </c>
      <c r="J757">
        <v>46555</v>
      </c>
      <c r="K757">
        <v>1396</v>
      </c>
      <c r="L757">
        <v>14.3</v>
      </c>
      <c r="M757">
        <v>13.3</v>
      </c>
      <c r="N757">
        <v>8</v>
      </c>
      <c r="O757">
        <v>19675</v>
      </c>
      <c r="P757" t="s">
        <v>2178</v>
      </c>
      <c r="Q757">
        <v>39</v>
      </c>
      <c r="R757">
        <v>68</v>
      </c>
      <c r="S757">
        <v>81</v>
      </c>
      <c r="T757">
        <v>247</v>
      </c>
      <c r="U757" t="s">
        <v>2179</v>
      </c>
      <c r="W757" t="s">
        <v>2209</v>
      </c>
      <c r="X757" t="s">
        <v>2211</v>
      </c>
      <c r="Y757" t="s">
        <v>2213</v>
      </c>
      <c r="Z757" s="1">
        <v>45741</v>
      </c>
      <c r="AA757" s="1">
        <v>45757</v>
      </c>
      <c r="AB757" t="s">
        <v>2215</v>
      </c>
      <c r="AC757" t="s">
        <v>2208</v>
      </c>
      <c r="AD757" t="s">
        <v>2219</v>
      </c>
      <c r="AE757" t="s">
        <v>2165</v>
      </c>
      <c r="AF757" t="s">
        <v>2162</v>
      </c>
      <c r="AG757" t="s">
        <v>2222</v>
      </c>
      <c r="AH757">
        <v>188</v>
      </c>
      <c r="AI757">
        <v>204</v>
      </c>
      <c r="AJ757">
        <v>16</v>
      </c>
      <c r="AK757">
        <v>9</v>
      </c>
      <c r="AL757" t="s">
        <v>2234</v>
      </c>
      <c r="AM757">
        <v>0</v>
      </c>
      <c r="AN757" t="s">
        <v>2175</v>
      </c>
      <c r="AO757" t="s">
        <v>2175</v>
      </c>
      <c r="AP757" t="s">
        <v>2175</v>
      </c>
      <c r="AQ757">
        <v>190.19</v>
      </c>
      <c r="AR757">
        <v>3</v>
      </c>
      <c r="AS757">
        <v>3</v>
      </c>
      <c r="AT757">
        <v>3</v>
      </c>
      <c r="AU757">
        <v>3</v>
      </c>
      <c r="AV757">
        <v>3</v>
      </c>
      <c r="AW757">
        <v>4.5999999999999996</v>
      </c>
      <c r="AX757">
        <v>4.2</v>
      </c>
      <c r="AY757">
        <v>4.8</v>
      </c>
      <c r="AZ757">
        <v>1</v>
      </c>
      <c r="BA757">
        <v>3</v>
      </c>
      <c r="BB757">
        <v>45</v>
      </c>
      <c r="BC757">
        <v>26</v>
      </c>
      <c r="BD757">
        <v>39.85</v>
      </c>
      <c r="BE757">
        <v>196</v>
      </c>
      <c r="BF757">
        <v>88.6</v>
      </c>
      <c r="BG757">
        <v>48</v>
      </c>
      <c r="BH757">
        <v>26</v>
      </c>
      <c r="BI757">
        <v>42</v>
      </c>
      <c r="BJ757">
        <v>204</v>
      </c>
      <c r="BK757">
        <v>87.5</v>
      </c>
      <c r="BL757">
        <v>325</v>
      </c>
      <c r="BM757">
        <v>9.1338000000000008</v>
      </c>
    </row>
    <row r="758" spans="1:65" x14ac:dyDescent="0.25">
      <c r="A758" t="s">
        <v>821</v>
      </c>
      <c r="B758" t="s">
        <v>1800</v>
      </c>
      <c r="C758" t="s">
        <v>2160</v>
      </c>
      <c r="D758" s="1">
        <v>45269</v>
      </c>
      <c r="E758" s="1">
        <v>45310</v>
      </c>
      <c r="F758" s="1">
        <v>45528</v>
      </c>
      <c r="G758" t="s">
        <v>2162</v>
      </c>
      <c r="I758" t="s">
        <v>2175</v>
      </c>
      <c r="J758">
        <v>59054</v>
      </c>
      <c r="K758">
        <v>1771</v>
      </c>
      <c r="L758">
        <v>14.5</v>
      </c>
      <c r="M758">
        <v>17.7</v>
      </c>
      <c r="N758">
        <v>7</v>
      </c>
      <c r="O758">
        <v>16435</v>
      </c>
      <c r="P758" t="s">
        <v>2178</v>
      </c>
      <c r="Q758">
        <v>44</v>
      </c>
      <c r="R758">
        <v>82</v>
      </c>
      <c r="S758">
        <v>101</v>
      </c>
      <c r="T758">
        <v>260</v>
      </c>
      <c r="U758" t="s">
        <v>2201</v>
      </c>
      <c r="W758" t="s">
        <v>2209</v>
      </c>
      <c r="X758" t="s">
        <v>2211</v>
      </c>
      <c r="Y758" t="s">
        <v>2213</v>
      </c>
      <c r="Z758" s="1">
        <v>45537</v>
      </c>
      <c r="AA758" s="1">
        <v>45554</v>
      </c>
      <c r="AB758" t="s">
        <v>2215</v>
      </c>
      <c r="AC758" t="s">
        <v>2208</v>
      </c>
      <c r="AD758" t="s">
        <v>2219</v>
      </c>
      <c r="AE758" t="s">
        <v>2165</v>
      </c>
      <c r="AF758" t="s">
        <v>2161</v>
      </c>
      <c r="AG758" t="s">
        <v>2222</v>
      </c>
      <c r="AH758">
        <v>227</v>
      </c>
      <c r="AI758">
        <v>244</v>
      </c>
      <c r="AJ758">
        <v>17</v>
      </c>
      <c r="AK758">
        <v>1</v>
      </c>
      <c r="AL758" t="s">
        <v>2233</v>
      </c>
      <c r="AM758">
        <v>0</v>
      </c>
      <c r="AN758" t="s">
        <v>2175</v>
      </c>
      <c r="AO758" t="s">
        <v>2175</v>
      </c>
      <c r="AP758" t="s">
        <v>2175</v>
      </c>
      <c r="AQ758">
        <v>256.64999999999998</v>
      </c>
      <c r="AR758">
        <v>3</v>
      </c>
      <c r="AS758">
        <v>3</v>
      </c>
      <c r="AT758">
        <v>3</v>
      </c>
      <c r="AU758">
        <v>3</v>
      </c>
      <c r="AV758">
        <v>3</v>
      </c>
      <c r="AW758">
        <v>4.5999999999999996</v>
      </c>
      <c r="AX758">
        <v>4.3</v>
      </c>
      <c r="AY758">
        <v>4.2</v>
      </c>
      <c r="AZ758">
        <v>1</v>
      </c>
      <c r="BA758">
        <v>3</v>
      </c>
      <c r="BB758">
        <v>43</v>
      </c>
      <c r="BC758">
        <v>27</v>
      </c>
      <c r="BD758">
        <v>38.299999999999997</v>
      </c>
      <c r="BE758">
        <v>197</v>
      </c>
      <c r="BF758">
        <v>89.1</v>
      </c>
      <c r="BG758">
        <v>26</v>
      </c>
      <c r="BH758">
        <v>27</v>
      </c>
      <c r="BI758">
        <v>23.19</v>
      </c>
      <c r="BJ758">
        <v>113</v>
      </c>
      <c r="BK758">
        <v>89.2</v>
      </c>
      <c r="BL758">
        <v>343</v>
      </c>
      <c r="BM758">
        <v>11.1004</v>
      </c>
    </row>
    <row r="759" spans="1:65" x14ac:dyDescent="0.25">
      <c r="A759" t="s">
        <v>822</v>
      </c>
      <c r="B759" t="s">
        <v>1801</v>
      </c>
      <c r="C759" t="s">
        <v>2157</v>
      </c>
      <c r="D759" s="1">
        <v>45482</v>
      </c>
      <c r="E759" s="1">
        <v>45539</v>
      </c>
      <c r="F759" s="1">
        <v>45715</v>
      </c>
      <c r="G759" t="s">
        <v>2164</v>
      </c>
      <c r="I759" t="s">
        <v>2175</v>
      </c>
      <c r="J759">
        <v>52057</v>
      </c>
      <c r="K759">
        <v>1561</v>
      </c>
      <c r="L759">
        <v>14.2</v>
      </c>
      <c r="M759">
        <v>15.8</v>
      </c>
      <c r="N759">
        <v>7</v>
      </c>
      <c r="O759">
        <v>19873</v>
      </c>
      <c r="P759" t="s">
        <v>2178</v>
      </c>
      <c r="Q759">
        <v>37</v>
      </c>
      <c r="R759">
        <v>70</v>
      </c>
      <c r="S759">
        <v>80</v>
      </c>
      <c r="T759">
        <v>278</v>
      </c>
      <c r="U759" t="s">
        <v>2182</v>
      </c>
      <c r="W759" t="s">
        <v>2209</v>
      </c>
      <c r="X759" t="s">
        <v>2211</v>
      </c>
      <c r="Y759" t="s">
        <v>2213</v>
      </c>
      <c r="Z759" s="1">
        <v>45726</v>
      </c>
      <c r="AA759" s="1">
        <v>45743</v>
      </c>
      <c r="AB759" t="s">
        <v>2215</v>
      </c>
      <c r="AC759" t="s">
        <v>2208</v>
      </c>
      <c r="AD759" t="s">
        <v>2219</v>
      </c>
      <c r="AE759" t="s">
        <v>2166</v>
      </c>
      <c r="AF759" t="s">
        <v>2162</v>
      </c>
      <c r="AG759" t="s">
        <v>2222</v>
      </c>
      <c r="AH759">
        <v>187</v>
      </c>
      <c r="AI759">
        <v>204</v>
      </c>
      <c r="AJ759">
        <v>17</v>
      </c>
      <c r="AK759">
        <v>9</v>
      </c>
      <c r="AL759" t="s">
        <v>2234</v>
      </c>
      <c r="AM759">
        <v>0</v>
      </c>
      <c r="AN759" t="s">
        <v>2175</v>
      </c>
      <c r="AO759" t="s">
        <v>2175</v>
      </c>
      <c r="AP759" t="s">
        <v>2175</v>
      </c>
      <c r="AQ759">
        <v>224.36</v>
      </c>
      <c r="AR759">
        <v>3</v>
      </c>
      <c r="AS759">
        <v>3</v>
      </c>
      <c r="AT759">
        <v>3</v>
      </c>
      <c r="AU759">
        <v>3</v>
      </c>
      <c r="AV759">
        <v>3</v>
      </c>
      <c r="AW759">
        <v>4.8</v>
      </c>
      <c r="AX759">
        <v>4.2</v>
      </c>
      <c r="AY759">
        <v>4.5</v>
      </c>
      <c r="AZ759">
        <v>3</v>
      </c>
      <c r="BA759">
        <v>3</v>
      </c>
      <c r="BB759">
        <v>48</v>
      </c>
      <c r="BC759">
        <v>26</v>
      </c>
      <c r="BD759">
        <v>42</v>
      </c>
      <c r="BE759">
        <v>204</v>
      </c>
      <c r="BF759">
        <v>87.5</v>
      </c>
      <c r="BG759">
        <v>34</v>
      </c>
      <c r="BH759">
        <v>26</v>
      </c>
      <c r="BI759">
        <v>29.81</v>
      </c>
      <c r="BJ759">
        <v>147</v>
      </c>
      <c r="BK759">
        <v>87.7</v>
      </c>
      <c r="BL759">
        <v>333</v>
      </c>
      <c r="BM759">
        <v>9.8127999999999993</v>
      </c>
    </row>
    <row r="760" spans="1:65" x14ac:dyDescent="0.25">
      <c r="A760" t="s">
        <v>823</v>
      </c>
      <c r="B760" t="s">
        <v>1802</v>
      </c>
      <c r="C760" t="s">
        <v>2159</v>
      </c>
      <c r="D760" s="1">
        <v>45305</v>
      </c>
      <c r="E760" s="1">
        <v>45333</v>
      </c>
      <c r="F760" s="1">
        <v>45479</v>
      </c>
      <c r="G760" t="s">
        <v>2161</v>
      </c>
      <c r="I760" t="s">
        <v>2175</v>
      </c>
      <c r="J760">
        <v>49522</v>
      </c>
      <c r="K760">
        <v>1485</v>
      </c>
      <c r="L760">
        <v>15</v>
      </c>
      <c r="M760">
        <v>12.4</v>
      </c>
      <c r="N760">
        <v>8</v>
      </c>
      <c r="O760">
        <v>18087</v>
      </c>
      <c r="P760" t="s">
        <v>2178</v>
      </c>
      <c r="Q760">
        <v>34</v>
      </c>
      <c r="R760">
        <v>64</v>
      </c>
      <c r="S760">
        <v>67</v>
      </c>
      <c r="T760">
        <v>300</v>
      </c>
      <c r="U760" t="s">
        <v>2181</v>
      </c>
      <c r="W760" t="s">
        <v>2209</v>
      </c>
      <c r="X760" t="s">
        <v>2211</v>
      </c>
      <c r="Y760" t="s">
        <v>2213</v>
      </c>
      <c r="Z760" s="1">
        <v>45498</v>
      </c>
      <c r="AA760" s="1">
        <v>45515</v>
      </c>
      <c r="AB760" t="s">
        <v>2215</v>
      </c>
      <c r="AC760" t="s">
        <v>2208</v>
      </c>
      <c r="AD760" t="s">
        <v>2219</v>
      </c>
      <c r="AE760" t="s">
        <v>2166</v>
      </c>
      <c r="AF760" t="s">
        <v>2163</v>
      </c>
      <c r="AG760" t="s">
        <v>2222</v>
      </c>
      <c r="AH760">
        <v>165</v>
      </c>
      <c r="AI760">
        <v>182</v>
      </c>
      <c r="AJ760">
        <v>17</v>
      </c>
      <c r="AK760">
        <v>2</v>
      </c>
      <c r="AL760" t="s">
        <v>2228</v>
      </c>
      <c r="AM760">
        <v>0</v>
      </c>
      <c r="AN760" t="s">
        <v>2175</v>
      </c>
      <c r="AO760" t="s">
        <v>2175</v>
      </c>
      <c r="AP760" t="s">
        <v>2175</v>
      </c>
      <c r="AQ760">
        <v>186</v>
      </c>
      <c r="AR760">
        <v>3</v>
      </c>
      <c r="AS760">
        <v>3</v>
      </c>
      <c r="AT760">
        <v>3</v>
      </c>
      <c r="AU760">
        <v>3</v>
      </c>
      <c r="AV760">
        <v>3</v>
      </c>
      <c r="AW760">
        <v>4.8</v>
      </c>
      <c r="AX760">
        <v>4.4000000000000004</v>
      </c>
      <c r="AY760">
        <v>4.3</v>
      </c>
      <c r="AZ760">
        <v>0</v>
      </c>
      <c r="BA760">
        <v>3</v>
      </c>
      <c r="BB760">
        <v>40</v>
      </c>
      <c r="BC760">
        <v>24</v>
      </c>
      <c r="BD760">
        <v>35.54</v>
      </c>
      <c r="BE760">
        <v>160</v>
      </c>
      <c r="BF760">
        <v>88.8</v>
      </c>
      <c r="BG760">
        <v>34</v>
      </c>
      <c r="BH760">
        <v>24</v>
      </c>
      <c r="BI760">
        <v>29.92</v>
      </c>
      <c r="BJ760">
        <v>134</v>
      </c>
      <c r="BK760">
        <v>88</v>
      </c>
      <c r="BL760">
        <v>276</v>
      </c>
      <c r="BM760">
        <v>12.893000000000001</v>
      </c>
    </row>
    <row r="761" spans="1:65" x14ac:dyDescent="0.25">
      <c r="A761" t="s">
        <v>824</v>
      </c>
      <c r="B761" t="s">
        <v>1803</v>
      </c>
      <c r="C761" t="s">
        <v>2157</v>
      </c>
      <c r="D761" s="1">
        <v>45289</v>
      </c>
      <c r="E761" s="1">
        <v>45333</v>
      </c>
      <c r="F761" s="1">
        <v>45541</v>
      </c>
      <c r="G761" t="s">
        <v>2163</v>
      </c>
      <c r="I761" t="s">
        <v>2175</v>
      </c>
      <c r="J761">
        <v>47400</v>
      </c>
      <c r="K761">
        <v>1422</v>
      </c>
      <c r="L761">
        <v>17.399999999999999</v>
      </c>
      <c r="M761">
        <v>15.1</v>
      </c>
      <c r="N761">
        <v>7</v>
      </c>
      <c r="O761">
        <v>17313</v>
      </c>
      <c r="P761" t="s">
        <v>2178</v>
      </c>
      <c r="Q761">
        <v>51</v>
      </c>
      <c r="R761">
        <v>95</v>
      </c>
      <c r="S761">
        <v>75</v>
      </c>
      <c r="T761">
        <v>214</v>
      </c>
      <c r="U761" t="s">
        <v>2179</v>
      </c>
      <c r="W761" t="s">
        <v>2209</v>
      </c>
      <c r="X761" t="s">
        <v>2211</v>
      </c>
      <c r="Y761" t="s">
        <v>2213</v>
      </c>
      <c r="Z761" s="1">
        <v>45554</v>
      </c>
      <c r="AA761" s="1">
        <v>45576</v>
      </c>
      <c r="AB761" t="s">
        <v>2215</v>
      </c>
      <c r="AC761" t="s">
        <v>2208</v>
      </c>
      <c r="AD761" t="s">
        <v>2219</v>
      </c>
      <c r="AE761" t="s">
        <v>2165</v>
      </c>
      <c r="AF761" t="s">
        <v>2162</v>
      </c>
      <c r="AG761" t="s">
        <v>2222</v>
      </c>
      <c r="AH761">
        <v>221</v>
      </c>
      <c r="AI761">
        <v>243</v>
      </c>
      <c r="AJ761">
        <v>22</v>
      </c>
      <c r="AK761">
        <v>2</v>
      </c>
      <c r="AL761" t="s">
        <v>2228</v>
      </c>
      <c r="AM761">
        <v>0</v>
      </c>
      <c r="AN761" t="s">
        <v>2175</v>
      </c>
      <c r="AO761" t="s">
        <v>2175</v>
      </c>
      <c r="AP761" t="s">
        <v>2175</v>
      </c>
      <c r="AQ761">
        <v>262.74</v>
      </c>
      <c r="AR761">
        <v>3</v>
      </c>
      <c r="AS761">
        <v>3</v>
      </c>
      <c r="AT761">
        <v>3</v>
      </c>
      <c r="AU761">
        <v>3</v>
      </c>
      <c r="AV761">
        <v>3</v>
      </c>
      <c r="AW761">
        <v>4.5999999999999996</v>
      </c>
      <c r="AX761">
        <v>4.2</v>
      </c>
      <c r="AY761">
        <v>4.4000000000000004</v>
      </c>
      <c r="AZ761">
        <v>3</v>
      </c>
      <c r="BA761">
        <v>3</v>
      </c>
      <c r="BB761">
        <v>36</v>
      </c>
      <c r="BC761">
        <v>24</v>
      </c>
      <c r="BD761">
        <v>31.79</v>
      </c>
      <c r="BE761">
        <v>142</v>
      </c>
      <c r="BF761">
        <v>88.3</v>
      </c>
      <c r="BG761">
        <v>30</v>
      </c>
      <c r="BH761">
        <v>24</v>
      </c>
      <c r="BI761">
        <v>26.21</v>
      </c>
      <c r="BJ761">
        <v>116</v>
      </c>
      <c r="BK761">
        <v>87.4</v>
      </c>
      <c r="BL761">
        <v>278</v>
      </c>
      <c r="BM761">
        <v>13.904400000000001</v>
      </c>
    </row>
    <row r="762" spans="1:65" x14ac:dyDescent="0.25">
      <c r="A762" t="s">
        <v>825</v>
      </c>
      <c r="B762" t="s">
        <v>1804</v>
      </c>
      <c r="C762" t="s">
        <v>2160</v>
      </c>
      <c r="D762" s="1">
        <v>45534</v>
      </c>
      <c r="E762" s="1">
        <v>45581</v>
      </c>
      <c r="F762" s="1">
        <v>45755</v>
      </c>
      <c r="G762" t="s">
        <v>2164</v>
      </c>
      <c r="I762" t="s">
        <v>2175</v>
      </c>
      <c r="J762">
        <v>58112</v>
      </c>
      <c r="K762">
        <v>1743</v>
      </c>
      <c r="L762">
        <v>17.899999999999999</v>
      </c>
      <c r="M762">
        <v>16.100000000000001</v>
      </c>
      <c r="N762">
        <v>7</v>
      </c>
      <c r="O762">
        <v>18261</v>
      </c>
      <c r="P762" t="s">
        <v>2178</v>
      </c>
      <c r="Q762">
        <v>41</v>
      </c>
      <c r="R762">
        <v>70</v>
      </c>
      <c r="S762">
        <v>74</v>
      </c>
      <c r="T762">
        <v>314</v>
      </c>
      <c r="U762" t="s">
        <v>2189</v>
      </c>
      <c r="W762" t="s">
        <v>2209</v>
      </c>
      <c r="X762" t="s">
        <v>2211</v>
      </c>
      <c r="Y762" t="s">
        <v>2213</v>
      </c>
      <c r="Z762" s="1">
        <v>45766</v>
      </c>
      <c r="AA762" s="1">
        <v>45782</v>
      </c>
      <c r="AB762" t="s">
        <v>2215</v>
      </c>
      <c r="AC762" t="s">
        <v>2208</v>
      </c>
      <c r="AD762" t="s">
        <v>2219</v>
      </c>
      <c r="AE762" t="s">
        <v>2165</v>
      </c>
      <c r="AF762" t="s">
        <v>2166</v>
      </c>
      <c r="AG762" t="s">
        <v>2222</v>
      </c>
      <c r="AH762">
        <v>185</v>
      </c>
      <c r="AI762">
        <v>201</v>
      </c>
      <c r="AJ762">
        <v>16</v>
      </c>
      <c r="AK762">
        <v>10</v>
      </c>
      <c r="AL762" t="s">
        <v>2230</v>
      </c>
      <c r="AM762">
        <v>1</v>
      </c>
      <c r="AN762" t="s">
        <v>2175</v>
      </c>
      <c r="AO762" t="s">
        <v>2175</v>
      </c>
      <c r="AP762" t="s">
        <v>2175</v>
      </c>
      <c r="AQ762">
        <v>288.19</v>
      </c>
      <c r="AR762">
        <v>3</v>
      </c>
      <c r="AS762">
        <v>3</v>
      </c>
      <c r="AT762">
        <v>3</v>
      </c>
      <c r="AU762">
        <v>3</v>
      </c>
      <c r="AV762">
        <v>3</v>
      </c>
      <c r="AW762">
        <v>4.5999999999999996</v>
      </c>
      <c r="AX762">
        <v>4.8</v>
      </c>
      <c r="AY762">
        <v>4.5</v>
      </c>
      <c r="AZ762">
        <v>1</v>
      </c>
      <c r="BA762">
        <v>3</v>
      </c>
      <c r="BB762">
        <v>43</v>
      </c>
      <c r="BC762">
        <v>27</v>
      </c>
      <c r="BD762">
        <v>37.33</v>
      </c>
      <c r="BE762">
        <v>194</v>
      </c>
      <c r="BF762">
        <v>86.8</v>
      </c>
      <c r="BG762">
        <v>27</v>
      </c>
      <c r="BH762">
        <v>27</v>
      </c>
      <c r="BI762">
        <v>23.56</v>
      </c>
      <c r="BJ762">
        <v>116</v>
      </c>
      <c r="BK762">
        <v>87.3</v>
      </c>
      <c r="BL762">
        <v>414</v>
      </c>
      <c r="BM762">
        <v>11.0922</v>
      </c>
    </row>
    <row r="763" spans="1:65" x14ac:dyDescent="0.25">
      <c r="A763" t="s">
        <v>826</v>
      </c>
      <c r="B763" t="s">
        <v>1805</v>
      </c>
      <c r="C763" t="s">
        <v>2158</v>
      </c>
      <c r="D763" s="1">
        <v>45464</v>
      </c>
      <c r="E763" s="1">
        <v>45522</v>
      </c>
      <c r="F763" s="1">
        <v>45699</v>
      </c>
      <c r="G763" t="s">
        <v>2164</v>
      </c>
      <c r="I763" t="s">
        <v>2175</v>
      </c>
      <c r="J763">
        <v>43983</v>
      </c>
      <c r="K763">
        <v>1319</v>
      </c>
      <c r="L763">
        <v>12.1</v>
      </c>
      <c r="M763">
        <v>17.899999999999999</v>
      </c>
      <c r="N763">
        <v>8</v>
      </c>
      <c r="O763">
        <v>15903</v>
      </c>
      <c r="P763" t="s">
        <v>2178</v>
      </c>
      <c r="Q763">
        <v>42</v>
      </c>
      <c r="R763">
        <v>69</v>
      </c>
      <c r="S763">
        <v>71</v>
      </c>
      <c r="T763">
        <v>241</v>
      </c>
      <c r="U763" t="s">
        <v>2196</v>
      </c>
      <c r="W763" t="s">
        <v>2209</v>
      </c>
      <c r="X763" t="s">
        <v>2211</v>
      </c>
      <c r="Y763" t="s">
        <v>2213</v>
      </c>
      <c r="Z763" s="1">
        <v>45704</v>
      </c>
      <c r="AA763" s="1">
        <v>45724</v>
      </c>
      <c r="AB763" t="s">
        <v>2215</v>
      </c>
      <c r="AC763" t="s">
        <v>2208</v>
      </c>
      <c r="AD763" t="s">
        <v>2219</v>
      </c>
      <c r="AE763" t="s">
        <v>2165</v>
      </c>
      <c r="AF763" t="s">
        <v>2163</v>
      </c>
      <c r="AG763" t="s">
        <v>2222</v>
      </c>
      <c r="AH763">
        <v>182</v>
      </c>
      <c r="AI763">
        <v>202</v>
      </c>
      <c r="AJ763">
        <v>20</v>
      </c>
      <c r="AK763">
        <v>8</v>
      </c>
      <c r="AL763" t="s">
        <v>2232</v>
      </c>
      <c r="AM763">
        <v>0</v>
      </c>
      <c r="AN763" t="s">
        <v>2175</v>
      </c>
      <c r="AO763" t="s">
        <v>2175</v>
      </c>
      <c r="AP763" t="s">
        <v>2175</v>
      </c>
      <c r="AQ763">
        <v>216.59</v>
      </c>
      <c r="AR763">
        <v>3</v>
      </c>
      <c r="AS763">
        <v>3</v>
      </c>
      <c r="AT763">
        <v>3</v>
      </c>
      <c r="AU763">
        <v>3</v>
      </c>
      <c r="AV763">
        <v>3</v>
      </c>
      <c r="AW763">
        <v>4.5999999999999996</v>
      </c>
      <c r="AX763">
        <v>4.4000000000000004</v>
      </c>
      <c r="AY763">
        <v>4.5</v>
      </c>
      <c r="AZ763">
        <v>2</v>
      </c>
      <c r="BA763">
        <v>3</v>
      </c>
      <c r="BB763">
        <v>36</v>
      </c>
      <c r="BC763">
        <v>26</v>
      </c>
      <c r="BD763">
        <v>31.73</v>
      </c>
      <c r="BE763">
        <v>152</v>
      </c>
      <c r="BF763">
        <v>88.1</v>
      </c>
      <c r="BG763">
        <v>27</v>
      </c>
      <c r="BH763">
        <v>26</v>
      </c>
      <c r="BI763">
        <v>23.77</v>
      </c>
      <c r="BJ763">
        <v>112</v>
      </c>
      <c r="BK763">
        <v>88</v>
      </c>
      <c r="BL763">
        <v>313</v>
      </c>
      <c r="BM763">
        <v>11.1265</v>
      </c>
    </row>
    <row r="764" spans="1:65" x14ac:dyDescent="0.25">
      <c r="A764" t="s">
        <v>827</v>
      </c>
      <c r="B764" t="s">
        <v>1806</v>
      </c>
      <c r="C764" t="s">
        <v>2160</v>
      </c>
      <c r="D764" s="1">
        <v>45394</v>
      </c>
      <c r="E764" s="1">
        <v>45424</v>
      </c>
      <c r="F764" s="1">
        <v>45557</v>
      </c>
      <c r="G764" t="s">
        <v>2165</v>
      </c>
      <c r="I764" t="s">
        <v>2175</v>
      </c>
      <c r="J764">
        <v>37876</v>
      </c>
      <c r="K764">
        <v>1136</v>
      </c>
      <c r="L764">
        <v>16.100000000000001</v>
      </c>
      <c r="M764">
        <v>15.3</v>
      </c>
      <c r="N764">
        <v>7</v>
      </c>
      <c r="O764">
        <v>16854</v>
      </c>
      <c r="P764" t="s">
        <v>2178</v>
      </c>
      <c r="Q764">
        <v>36</v>
      </c>
      <c r="R764">
        <v>54</v>
      </c>
      <c r="S764">
        <v>49</v>
      </c>
      <c r="T764">
        <v>272</v>
      </c>
      <c r="U764" t="s">
        <v>2182</v>
      </c>
      <c r="W764" t="s">
        <v>2209</v>
      </c>
      <c r="X764" t="s">
        <v>2211</v>
      </c>
      <c r="Y764" t="s">
        <v>2213</v>
      </c>
      <c r="Z764" s="1">
        <v>45563</v>
      </c>
      <c r="AA764" s="1">
        <v>45579</v>
      </c>
      <c r="AB764" t="s">
        <v>2215</v>
      </c>
      <c r="AC764" t="s">
        <v>2208</v>
      </c>
      <c r="AD764" t="s">
        <v>2219</v>
      </c>
      <c r="AE764" t="s">
        <v>2166</v>
      </c>
      <c r="AF764" t="s">
        <v>2162</v>
      </c>
      <c r="AG764" t="s">
        <v>2222</v>
      </c>
      <c r="AH764">
        <v>139</v>
      </c>
      <c r="AI764">
        <v>155</v>
      </c>
      <c r="AJ764">
        <v>16</v>
      </c>
      <c r="AK764">
        <v>5</v>
      </c>
      <c r="AL764" t="s">
        <v>2224</v>
      </c>
      <c r="AM764">
        <v>0</v>
      </c>
      <c r="AN764" t="s">
        <v>2175</v>
      </c>
      <c r="AO764" t="s">
        <v>2175</v>
      </c>
      <c r="AP764" t="s">
        <v>2175</v>
      </c>
      <c r="AQ764">
        <v>246.33</v>
      </c>
      <c r="AR764">
        <v>3</v>
      </c>
      <c r="AS764">
        <v>3</v>
      </c>
      <c r="AT764">
        <v>3</v>
      </c>
      <c r="AU764">
        <v>3</v>
      </c>
      <c r="AV764">
        <v>3</v>
      </c>
      <c r="AW764">
        <v>4.8</v>
      </c>
      <c r="AX764">
        <v>4.2</v>
      </c>
      <c r="AY764">
        <v>4.5999999999999996</v>
      </c>
      <c r="AZ764">
        <v>1</v>
      </c>
      <c r="BA764">
        <v>3</v>
      </c>
      <c r="BB764">
        <v>43</v>
      </c>
      <c r="BC764">
        <v>27</v>
      </c>
      <c r="BD764">
        <v>37.299999999999997</v>
      </c>
      <c r="BE764">
        <v>193</v>
      </c>
      <c r="BF764">
        <v>86.7</v>
      </c>
      <c r="BG764">
        <v>36</v>
      </c>
      <c r="BH764">
        <v>27</v>
      </c>
      <c r="BI764">
        <v>31.37</v>
      </c>
      <c r="BJ764">
        <v>158</v>
      </c>
      <c r="BK764">
        <v>87.1</v>
      </c>
      <c r="BL764">
        <v>301</v>
      </c>
      <c r="BM764">
        <v>7.2671000000000001</v>
      </c>
    </row>
    <row r="765" spans="1:65" x14ac:dyDescent="0.25">
      <c r="A765" t="s">
        <v>828</v>
      </c>
      <c r="B765" t="s">
        <v>1807</v>
      </c>
      <c r="C765" t="s">
        <v>2158</v>
      </c>
      <c r="D765" s="1">
        <v>45461</v>
      </c>
      <c r="E765" s="1">
        <v>45508</v>
      </c>
      <c r="F765" s="1">
        <v>45669</v>
      </c>
      <c r="G765" t="s">
        <v>2162</v>
      </c>
      <c r="I765" t="s">
        <v>2175</v>
      </c>
      <c r="J765">
        <v>36681</v>
      </c>
      <c r="K765">
        <v>1100</v>
      </c>
      <c r="L765">
        <v>15.8</v>
      </c>
      <c r="M765">
        <v>16.399999999999999</v>
      </c>
      <c r="N765">
        <v>7</v>
      </c>
      <c r="O765">
        <v>18346</v>
      </c>
      <c r="P765" t="s">
        <v>2178</v>
      </c>
      <c r="Q765">
        <v>40</v>
      </c>
      <c r="R765">
        <v>75</v>
      </c>
      <c r="S765">
        <v>59</v>
      </c>
      <c r="T765">
        <v>210</v>
      </c>
      <c r="U765" t="s">
        <v>2182</v>
      </c>
      <c r="W765" t="s">
        <v>2209</v>
      </c>
      <c r="X765" t="s">
        <v>2211</v>
      </c>
      <c r="Y765" t="s">
        <v>2213</v>
      </c>
      <c r="Z765" s="1">
        <v>45682</v>
      </c>
      <c r="AA765" s="1">
        <v>45698</v>
      </c>
      <c r="AB765" t="s">
        <v>2215</v>
      </c>
      <c r="AC765" t="s">
        <v>2208</v>
      </c>
      <c r="AD765" t="s">
        <v>2219</v>
      </c>
      <c r="AE765" t="s">
        <v>2166</v>
      </c>
      <c r="AF765" t="s">
        <v>2162</v>
      </c>
      <c r="AG765" t="s">
        <v>2222</v>
      </c>
      <c r="AH765">
        <v>174</v>
      </c>
      <c r="AI765">
        <v>190</v>
      </c>
      <c r="AJ765">
        <v>16</v>
      </c>
      <c r="AK765">
        <v>8</v>
      </c>
      <c r="AL765" t="s">
        <v>2232</v>
      </c>
      <c r="AM765">
        <v>0</v>
      </c>
      <c r="AN765" t="s">
        <v>2175</v>
      </c>
      <c r="AO765" t="s">
        <v>2175</v>
      </c>
      <c r="AP765" t="s">
        <v>2175</v>
      </c>
      <c r="AQ765">
        <v>259.12</v>
      </c>
      <c r="AR765">
        <v>3</v>
      </c>
      <c r="AS765">
        <v>3</v>
      </c>
      <c r="AT765">
        <v>3</v>
      </c>
      <c r="AU765">
        <v>3</v>
      </c>
      <c r="AV765">
        <v>3</v>
      </c>
      <c r="AW765">
        <v>4.8</v>
      </c>
      <c r="AX765">
        <v>4.2</v>
      </c>
      <c r="AY765">
        <v>4.2</v>
      </c>
      <c r="AZ765">
        <v>2</v>
      </c>
      <c r="BA765">
        <v>3</v>
      </c>
      <c r="BB765">
        <v>41</v>
      </c>
      <c r="BC765">
        <v>26</v>
      </c>
      <c r="BD765">
        <v>36.15</v>
      </c>
      <c r="BE765">
        <v>176</v>
      </c>
      <c r="BF765">
        <v>88.2</v>
      </c>
      <c r="BG765">
        <v>29</v>
      </c>
      <c r="BH765">
        <v>26</v>
      </c>
      <c r="BI765">
        <v>25.54</v>
      </c>
      <c r="BJ765">
        <v>124</v>
      </c>
      <c r="BK765">
        <v>88.1</v>
      </c>
      <c r="BL765">
        <v>300</v>
      </c>
      <c r="BM765">
        <v>8.0142000000000007</v>
      </c>
    </row>
    <row r="766" spans="1:65" x14ac:dyDescent="0.25">
      <c r="A766" t="s">
        <v>829</v>
      </c>
      <c r="B766" t="s">
        <v>1808</v>
      </c>
      <c r="C766" t="s">
        <v>2157</v>
      </c>
      <c r="D766" s="1">
        <v>45358</v>
      </c>
      <c r="E766" s="1">
        <v>45399</v>
      </c>
      <c r="F766" s="1">
        <v>45549</v>
      </c>
      <c r="G766" t="s">
        <v>2165</v>
      </c>
      <c r="I766" t="s">
        <v>2175</v>
      </c>
      <c r="J766">
        <v>47696</v>
      </c>
      <c r="K766">
        <v>1430</v>
      </c>
      <c r="L766">
        <v>12.4</v>
      </c>
      <c r="M766">
        <v>16.2</v>
      </c>
      <c r="N766">
        <v>7</v>
      </c>
      <c r="O766">
        <v>16191</v>
      </c>
      <c r="P766" t="s">
        <v>2178</v>
      </c>
      <c r="Q766">
        <v>33</v>
      </c>
      <c r="R766">
        <v>62</v>
      </c>
      <c r="S766">
        <v>73</v>
      </c>
      <c r="T766">
        <v>283</v>
      </c>
      <c r="U766" t="s">
        <v>2196</v>
      </c>
      <c r="W766" t="s">
        <v>2209</v>
      </c>
      <c r="X766" t="s">
        <v>2211</v>
      </c>
      <c r="Y766" t="s">
        <v>2213</v>
      </c>
      <c r="Z766" s="1">
        <v>45567</v>
      </c>
      <c r="AA766" s="1">
        <v>45587</v>
      </c>
      <c r="AB766" t="s">
        <v>2215</v>
      </c>
      <c r="AC766" t="s">
        <v>2208</v>
      </c>
      <c r="AD766" t="s">
        <v>2219</v>
      </c>
      <c r="AE766" t="s">
        <v>2165</v>
      </c>
      <c r="AF766" t="s">
        <v>2163</v>
      </c>
      <c r="AG766" t="s">
        <v>2222</v>
      </c>
      <c r="AH766">
        <v>168</v>
      </c>
      <c r="AI766">
        <v>188</v>
      </c>
      <c r="AJ766">
        <v>20</v>
      </c>
      <c r="AK766">
        <v>4</v>
      </c>
      <c r="AL766" t="s">
        <v>2225</v>
      </c>
      <c r="AM766">
        <v>0</v>
      </c>
      <c r="AN766" t="s">
        <v>2175</v>
      </c>
      <c r="AO766" t="s">
        <v>2175</v>
      </c>
      <c r="AP766" t="s">
        <v>2175</v>
      </c>
      <c r="AQ766">
        <v>200.88</v>
      </c>
      <c r="AR766">
        <v>3</v>
      </c>
      <c r="AS766">
        <v>3</v>
      </c>
      <c r="AT766">
        <v>3</v>
      </c>
      <c r="AU766">
        <v>3</v>
      </c>
      <c r="AV766">
        <v>3</v>
      </c>
      <c r="AW766">
        <v>4.5999999999999996</v>
      </c>
      <c r="AX766">
        <v>4.4000000000000004</v>
      </c>
      <c r="AY766">
        <v>4.5999999999999996</v>
      </c>
      <c r="AZ766">
        <v>3</v>
      </c>
      <c r="BA766">
        <v>3</v>
      </c>
      <c r="BB766">
        <v>46</v>
      </c>
      <c r="BC766">
        <v>26</v>
      </c>
      <c r="BD766">
        <v>40.729999999999997</v>
      </c>
      <c r="BE766">
        <v>203</v>
      </c>
      <c r="BF766">
        <v>88.5</v>
      </c>
      <c r="BG766">
        <v>46</v>
      </c>
      <c r="BH766">
        <v>26</v>
      </c>
      <c r="BI766">
        <v>40.729999999999997</v>
      </c>
      <c r="BJ766">
        <v>203</v>
      </c>
      <c r="BK766">
        <v>88.5</v>
      </c>
      <c r="BL766">
        <v>335</v>
      </c>
      <c r="BM766">
        <v>9.0350000000000001</v>
      </c>
    </row>
    <row r="767" spans="1:65" x14ac:dyDescent="0.25">
      <c r="A767" t="s">
        <v>830</v>
      </c>
      <c r="B767" t="s">
        <v>1809</v>
      </c>
      <c r="C767" t="s">
        <v>2157</v>
      </c>
      <c r="D767" s="1">
        <v>45470</v>
      </c>
      <c r="E767" s="1">
        <v>45521</v>
      </c>
      <c r="F767" s="1">
        <v>45676</v>
      </c>
      <c r="G767" t="s">
        <v>2166</v>
      </c>
      <c r="I767" t="s">
        <v>2175</v>
      </c>
      <c r="J767">
        <v>50923</v>
      </c>
      <c r="K767">
        <v>1527</v>
      </c>
      <c r="L767">
        <v>14.6</v>
      </c>
      <c r="M767">
        <v>12.8</v>
      </c>
      <c r="N767">
        <v>7</v>
      </c>
      <c r="O767">
        <v>19758</v>
      </c>
      <c r="P767" t="s">
        <v>2178</v>
      </c>
      <c r="Q767">
        <v>34</v>
      </c>
      <c r="R767">
        <v>47</v>
      </c>
      <c r="S767">
        <v>83</v>
      </c>
      <c r="T767">
        <v>310</v>
      </c>
      <c r="U767" t="s">
        <v>2196</v>
      </c>
      <c r="W767" t="s">
        <v>2209</v>
      </c>
      <c r="X767" t="s">
        <v>2211</v>
      </c>
      <c r="Y767" t="s">
        <v>2213</v>
      </c>
      <c r="Z767" s="1">
        <v>45685</v>
      </c>
      <c r="AA767" s="1">
        <v>45702</v>
      </c>
      <c r="AB767" t="s">
        <v>2215</v>
      </c>
      <c r="AC767" t="s">
        <v>2208</v>
      </c>
      <c r="AD767" t="s">
        <v>2219</v>
      </c>
      <c r="AE767" t="s">
        <v>2165</v>
      </c>
      <c r="AF767" t="s">
        <v>2163</v>
      </c>
      <c r="AG767" t="s">
        <v>2222</v>
      </c>
      <c r="AH767">
        <v>164</v>
      </c>
      <c r="AI767">
        <v>181</v>
      </c>
      <c r="AJ767">
        <v>17</v>
      </c>
      <c r="AK767">
        <v>8</v>
      </c>
      <c r="AL767" t="s">
        <v>2232</v>
      </c>
      <c r="AM767">
        <v>0</v>
      </c>
      <c r="AN767" t="s">
        <v>2175</v>
      </c>
      <c r="AO767" t="s">
        <v>2175</v>
      </c>
      <c r="AP767" t="s">
        <v>2175</v>
      </c>
      <c r="AQ767">
        <v>186.88</v>
      </c>
      <c r="AR767">
        <v>3</v>
      </c>
      <c r="AS767">
        <v>3</v>
      </c>
      <c r="AT767">
        <v>3</v>
      </c>
      <c r="AU767">
        <v>3</v>
      </c>
      <c r="AV767">
        <v>3</v>
      </c>
      <c r="AW767">
        <v>4.5999999999999996</v>
      </c>
      <c r="AX767">
        <v>4.4000000000000004</v>
      </c>
      <c r="AY767">
        <v>4.8</v>
      </c>
      <c r="AZ767">
        <v>3</v>
      </c>
      <c r="BA767">
        <v>3</v>
      </c>
      <c r="BB767">
        <v>36</v>
      </c>
      <c r="BC767">
        <v>26</v>
      </c>
      <c r="BD767">
        <v>31.73</v>
      </c>
      <c r="BE767">
        <v>152</v>
      </c>
      <c r="BF767">
        <v>88.1</v>
      </c>
      <c r="BG767">
        <v>41</v>
      </c>
      <c r="BH767">
        <v>26</v>
      </c>
      <c r="BI767">
        <v>36.15</v>
      </c>
      <c r="BJ767">
        <v>176</v>
      </c>
      <c r="BK767">
        <v>88.2</v>
      </c>
      <c r="BL767">
        <v>313</v>
      </c>
      <c r="BM767">
        <v>12.882099999999999</v>
      </c>
    </row>
    <row r="768" spans="1:65" x14ac:dyDescent="0.25">
      <c r="A768" t="s">
        <v>831</v>
      </c>
      <c r="B768" t="s">
        <v>1810</v>
      </c>
      <c r="C768" t="s">
        <v>2160</v>
      </c>
      <c r="D768" s="1">
        <v>45371</v>
      </c>
      <c r="E768" s="1">
        <v>45397</v>
      </c>
      <c r="F768" s="1">
        <v>45492</v>
      </c>
      <c r="G768" t="s">
        <v>2165</v>
      </c>
      <c r="I768" t="s">
        <v>2175</v>
      </c>
      <c r="J768">
        <v>33729</v>
      </c>
      <c r="K768">
        <v>1011</v>
      </c>
      <c r="L768">
        <v>15.3</v>
      </c>
      <c r="M768">
        <v>15.4</v>
      </c>
      <c r="N768">
        <v>8</v>
      </c>
      <c r="O768">
        <v>19775</v>
      </c>
      <c r="P768" t="s">
        <v>2178</v>
      </c>
      <c r="Q768">
        <v>24</v>
      </c>
      <c r="R768">
        <v>35</v>
      </c>
      <c r="S768">
        <v>47</v>
      </c>
      <c r="T768">
        <v>318</v>
      </c>
      <c r="U768" t="s">
        <v>2181</v>
      </c>
      <c r="W768" t="s">
        <v>2209</v>
      </c>
      <c r="X768" t="s">
        <v>2211</v>
      </c>
      <c r="Y768" t="s">
        <v>2213</v>
      </c>
      <c r="Z768" s="1">
        <v>45503</v>
      </c>
      <c r="AA768" s="1">
        <v>45520</v>
      </c>
      <c r="AB768" t="s">
        <v>2215</v>
      </c>
      <c r="AC768" t="s">
        <v>2208</v>
      </c>
      <c r="AD768" t="s">
        <v>2219</v>
      </c>
      <c r="AE768" t="s">
        <v>2166</v>
      </c>
      <c r="AF768" t="s">
        <v>2163</v>
      </c>
      <c r="AG768" t="s">
        <v>2222</v>
      </c>
      <c r="AH768">
        <v>106</v>
      </c>
      <c r="AI768">
        <v>123</v>
      </c>
      <c r="AJ768">
        <v>17</v>
      </c>
      <c r="AK768">
        <v>4</v>
      </c>
      <c r="AL768" t="s">
        <v>2225</v>
      </c>
      <c r="AM768">
        <v>0</v>
      </c>
      <c r="AN768" t="s">
        <v>2175</v>
      </c>
      <c r="AO768" t="s">
        <v>2175</v>
      </c>
      <c r="AP768" t="s">
        <v>2175</v>
      </c>
      <c r="AQ768">
        <v>235.62</v>
      </c>
      <c r="AR768">
        <v>3</v>
      </c>
      <c r="AS768">
        <v>3</v>
      </c>
      <c r="AT768">
        <v>3</v>
      </c>
      <c r="AU768">
        <v>3</v>
      </c>
      <c r="AV768">
        <v>3</v>
      </c>
      <c r="AW768">
        <v>4.8</v>
      </c>
      <c r="AX768">
        <v>4.4000000000000004</v>
      </c>
      <c r="AY768">
        <v>4.5999999999999996</v>
      </c>
      <c r="AZ768">
        <v>1</v>
      </c>
      <c r="BA768">
        <v>3</v>
      </c>
      <c r="BB768">
        <v>45</v>
      </c>
      <c r="BC768">
        <v>26</v>
      </c>
      <c r="BD768">
        <v>40.270000000000003</v>
      </c>
      <c r="BE768">
        <v>199</v>
      </c>
      <c r="BF768">
        <v>89.5</v>
      </c>
      <c r="BG768">
        <v>46</v>
      </c>
      <c r="BH768">
        <v>26</v>
      </c>
      <c r="BI768">
        <v>40.729999999999997</v>
      </c>
      <c r="BJ768">
        <v>203</v>
      </c>
      <c r="BK768">
        <v>88.5</v>
      </c>
      <c r="BL768">
        <v>331</v>
      </c>
      <c r="BM768">
        <v>6.5176999999999996</v>
      </c>
    </row>
    <row r="769" spans="1:65" x14ac:dyDescent="0.25">
      <c r="A769" t="s">
        <v>832</v>
      </c>
      <c r="B769" t="s">
        <v>1811</v>
      </c>
      <c r="C769" t="s">
        <v>2160</v>
      </c>
      <c r="D769" s="1">
        <v>45263</v>
      </c>
      <c r="E769" s="1">
        <v>45310</v>
      </c>
      <c r="F769" s="1">
        <v>45535</v>
      </c>
      <c r="G769" t="s">
        <v>2161</v>
      </c>
      <c r="I769" t="s">
        <v>2175</v>
      </c>
      <c r="J769">
        <v>56970</v>
      </c>
      <c r="K769">
        <v>1709</v>
      </c>
      <c r="L769">
        <v>16.8</v>
      </c>
      <c r="M769">
        <v>16.399999999999999</v>
      </c>
      <c r="N769">
        <v>7</v>
      </c>
      <c r="O769">
        <v>18248</v>
      </c>
      <c r="P769" t="s">
        <v>2178</v>
      </c>
      <c r="Q769">
        <v>45</v>
      </c>
      <c r="R769">
        <v>81</v>
      </c>
      <c r="S769">
        <v>112</v>
      </c>
      <c r="T769">
        <v>239</v>
      </c>
      <c r="U769" t="s">
        <v>2201</v>
      </c>
      <c r="W769" t="s">
        <v>2209</v>
      </c>
      <c r="X769" t="s">
        <v>2211</v>
      </c>
      <c r="Y769" t="s">
        <v>2213</v>
      </c>
      <c r="Z769" s="1">
        <v>45548</v>
      </c>
      <c r="AA769" s="1">
        <v>45569</v>
      </c>
      <c r="AB769" t="s">
        <v>2215</v>
      </c>
      <c r="AC769" t="s">
        <v>2208</v>
      </c>
      <c r="AD769" t="s">
        <v>2219</v>
      </c>
      <c r="AE769" t="s">
        <v>2165</v>
      </c>
      <c r="AF769" t="s">
        <v>2161</v>
      </c>
      <c r="AG769" t="s">
        <v>2222</v>
      </c>
      <c r="AH769">
        <v>238</v>
      </c>
      <c r="AI769">
        <v>259</v>
      </c>
      <c r="AJ769">
        <v>21</v>
      </c>
      <c r="AK769">
        <v>1</v>
      </c>
      <c r="AL769" t="s">
        <v>2233</v>
      </c>
      <c r="AM769">
        <v>0</v>
      </c>
      <c r="AN769" t="s">
        <v>2175</v>
      </c>
      <c r="AO769" t="s">
        <v>2175</v>
      </c>
      <c r="AP769" t="s">
        <v>2175</v>
      </c>
      <c r="AQ769">
        <v>275.52</v>
      </c>
      <c r="AR769">
        <v>3</v>
      </c>
      <c r="AS769">
        <v>3</v>
      </c>
      <c r="AT769">
        <v>3</v>
      </c>
      <c r="AU769">
        <v>3</v>
      </c>
      <c r="AV769">
        <v>3</v>
      </c>
      <c r="AW769">
        <v>4.5999999999999996</v>
      </c>
      <c r="AX769">
        <v>4.3</v>
      </c>
      <c r="AY769">
        <v>4.3</v>
      </c>
      <c r="AZ769">
        <v>1</v>
      </c>
      <c r="BA769">
        <v>3</v>
      </c>
      <c r="BB769">
        <v>43</v>
      </c>
      <c r="BC769">
        <v>27</v>
      </c>
      <c r="BD769">
        <v>38.299999999999997</v>
      </c>
      <c r="BE769">
        <v>197</v>
      </c>
      <c r="BF769">
        <v>89.1</v>
      </c>
      <c r="BG769">
        <v>33</v>
      </c>
      <c r="BH769">
        <v>27</v>
      </c>
      <c r="BI769">
        <v>28.81</v>
      </c>
      <c r="BJ769">
        <v>146</v>
      </c>
      <c r="BK769">
        <v>87.3</v>
      </c>
      <c r="BL769">
        <v>343</v>
      </c>
      <c r="BM769">
        <v>10.708600000000001</v>
      </c>
    </row>
    <row r="770" spans="1:65" x14ac:dyDescent="0.25">
      <c r="A770" t="s">
        <v>833</v>
      </c>
      <c r="B770" t="s">
        <v>1812</v>
      </c>
      <c r="C770" t="s">
        <v>2159</v>
      </c>
      <c r="D770" s="1">
        <v>45370</v>
      </c>
      <c r="E770" s="1">
        <v>45424</v>
      </c>
      <c r="F770" s="1">
        <v>45619</v>
      </c>
      <c r="G770" t="s">
        <v>2161</v>
      </c>
      <c r="I770" t="s">
        <v>2175</v>
      </c>
      <c r="J770">
        <v>48369</v>
      </c>
      <c r="K770">
        <v>1451</v>
      </c>
      <c r="L770">
        <v>13.7</v>
      </c>
      <c r="M770">
        <v>16.399999999999999</v>
      </c>
      <c r="N770">
        <v>7</v>
      </c>
      <c r="O770">
        <v>16677</v>
      </c>
      <c r="P770" t="s">
        <v>2178</v>
      </c>
      <c r="Q770">
        <v>50</v>
      </c>
      <c r="R770">
        <v>70</v>
      </c>
      <c r="S770">
        <v>90</v>
      </c>
      <c r="T770">
        <v>230</v>
      </c>
      <c r="U770" t="s">
        <v>2189</v>
      </c>
      <c r="W770" t="s">
        <v>2209</v>
      </c>
      <c r="X770" t="s">
        <v>2211</v>
      </c>
      <c r="Y770" t="s">
        <v>2213</v>
      </c>
      <c r="Z770" s="1">
        <v>45634</v>
      </c>
      <c r="AA770" s="1">
        <v>45650</v>
      </c>
      <c r="AB770" t="s">
        <v>2215</v>
      </c>
      <c r="AC770" t="s">
        <v>2208</v>
      </c>
      <c r="AD770" t="s">
        <v>2219</v>
      </c>
      <c r="AE770" t="s">
        <v>2165</v>
      </c>
      <c r="AF770" t="s">
        <v>2166</v>
      </c>
      <c r="AG770" t="s">
        <v>2222</v>
      </c>
      <c r="AH770">
        <v>210</v>
      </c>
      <c r="AI770">
        <v>226</v>
      </c>
      <c r="AJ770">
        <v>16</v>
      </c>
      <c r="AK770">
        <v>5</v>
      </c>
      <c r="AL770" t="s">
        <v>2224</v>
      </c>
      <c r="AM770">
        <v>0</v>
      </c>
      <c r="AN770" t="s">
        <v>2175</v>
      </c>
      <c r="AO770" t="s">
        <v>2175</v>
      </c>
      <c r="AP770" t="s">
        <v>2175</v>
      </c>
      <c r="AQ770">
        <v>224.68</v>
      </c>
      <c r="AR770">
        <v>3</v>
      </c>
      <c r="AS770">
        <v>3</v>
      </c>
      <c r="AT770">
        <v>3</v>
      </c>
      <c r="AU770">
        <v>3</v>
      </c>
      <c r="AV770">
        <v>3</v>
      </c>
      <c r="AW770">
        <v>4.5999999999999996</v>
      </c>
      <c r="AX770">
        <v>4.8</v>
      </c>
      <c r="AY770">
        <v>4.3</v>
      </c>
      <c r="AZ770">
        <v>0</v>
      </c>
      <c r="BA770">
        <v>3</v>
      </c>
      <c r="BB770">
        <v>36</v>
      </c>
      <c r="BC770">
        <v>27</v>
      </c>
      <c r="BD770">
        <v>31.37</v>
      </c>
      <c r="BE770">
        <v>158</v>
      </c>
      <c r="BF770">
        <v>87.1</v>
      </c>
      <c r="BG770">
        <v>33</v>
      </c>
      <c r="BH770">
        <v>27</v>
      </c>
      <c r="BI770">
        <v>28.96</v>
      </c>
      <c r="BJ770">
        <v>147</v>
      </c>
      <c r="BK770">
        <v>87.8</v>
      </c>
      <c r="BL770">
        <v>351</v>
      </c>
      <c r="BM770">
        <v>11.335599999999999</v>
      </c>
    </row>
    <row r="771" spans="1:65" x14ac:dyDescent="0.25">
      <c r="A771" t="s">
        <v>834</v>
      </c>
      <c r="B771" t="s">
        <v>1813</v>
      </c>
      <c r="C771" t="s">
        <v>2159</v>
      </c>
      <c r="D771" s="1">
        <v>45501</v>
      </c>
      <c r="E771" s="1">
        <v>45539</v>
      </c>
      <c r="F771" s="1">
        <v>45698</v>
      </c>
      <c r="G771" t="s">
        <v>2163</v>
      </c>
      <c r="I771" t="s">
        <v>2175</v>
      </c>
      <c r="J771">
        <v>42433</v>
      </c>
      <c r="K771">
        <v>1272</v>
      </c>
      <c r="L771">
        <v>13.2</v>
      </c>
      <c r="M771">
        <v>12.1</v>
      </c>
      <c r="N771">
        <v>8</v>
      </c>
      <c r="O771">
        <v>19586</v>
      </c>
      <c r="P771" t="s">
        <v>2178</v>
      </c>
      <c r="Q771">
        <v>34</v>
      </c>
      <c r="R771">
        <v>58</v>
      </c>
      <c r="S771">
        <v>72</v>
      </c>
      <c r="T771">
        <v>258</v>
      </c>
      <c r="U771" t="s">
        <v>2196</v>
      </c>
      <c r="W771" t="s">
        <v>2209</v>
      </c>
      <c r="X771" t="s">
        <v>2211</v>
      </c>
      <c r="Y771" t="s">
        <v>2213</v>
      </c>
      <c r="Z771" s="1">
        <v>45703</v>
      </c>
      <c r="AA771" s="1">
        <v>45719</v>
      </c>
      <c r="AB771" t="s">
        <v>2215</v>
      </c>
      <c r="AC771" t="s">
        <v>2208</v>
      </c>
      <c r="AD771" t="s">
        <v>2219</v>
      </c>
      <c r="AE771" t="s">
        <v>2165</v>
      </c>
      <c r="AF771" t="s">
        <v>2163</v>
      </c>
      <c r="AG771" t="s">
        <v>2222</v>
      </c>
      <c r="AH771">
        <v>164</v>
      </c>
      <c r="AI771">
        <v>180</v>
      </c>
      <c r="AJ771">
        <v>16</v>
      </c>
      <c r="AK771">
        <v>9</v>
      </c>
      <c r="AL771" t="s">
        <v>2234</v>
      </c>
      <c r="AM771">
        <v>0</v>
      </c>
      <c r="AN771" t="s">
        <v>2175</v>
      </c>
      <c r="AO771" t="s">
        <v>2175</v>
      </c>
      <c r="AP771" t="s">
        <v>2175</v>
      </c>
      <c r="AQ771">
        <v>159.72</v>
      </c>
      <c r="AR771">
        <v>3</v>
      </c>
      <c r="AS771">
        <v>3</v>
      </c>
      <c r="AT771">
        <v>3</v>
      </c>
      <c r="AU771">
        <v>3</v>
      </c>
      <c r="AV771">
        <v>3</v>
      </c>
      <c r="AW771">
        <v>4.5999999999999996</v>
      </c>
      <c r="AX771">
        <v>4.4000000000000004</v>
      </c>
      <c r="AY771">
        <v>4.4000000000000004</v>
      </c>
      <c r="AZ771">
        <v>0</v>
      </c>
      <c r="BA771">
        <v>3</v>
      </c>
      <c r="BB771">
        <v>45</v>
      </c>
      <c r="BC771">
        <v>26</v>
      </c>
      <c r="BD771">
        <v>39.85</v>
      </c>
      <c r="BE771">
        <v>196</v>
      </c>
      <c r="BF771">
        <v>88.6</v>
      </c>
      <c r="BG771">
        <v>30</v>
      </c>
      <c r="BH771">
        <v>26</v>
      </c>
      <c r="BI771">
        <v>26.15</v>
      </c>
      <c r="BJ771">
        <v>126</v>
      </c>
      <c r="BK771">
        <v>87.2</v>
      </c>
      <c r="BL771">
        <v>322</v>
      </c>
      <c r="BM771">
        <v>8.3251000000000008</v>
      </c>
    </row>
    <row r="772" spans="1:65" x14ac:dyDescent="0.25">
      <c r="A772" t="s">
        <v>835</v>
      </c>
      <c r="B772" t="s">
        <v>1814</v>
      </c>
      <c r="C772" t="s">
        <v>2158</v>
      </c>
      <c r="D772" s="1">
        <v>45528</v>
      </c>
      <c r="E772" s="1">
        <v>45553</v>
      </c>
      <c r="F772" s="1">
        <v>45752</v>
      </c>
      <c r="G772" t="s">
        <v>2165</v>
      </c>
      <c r="I772" t="s">
        <v>2175</v>
      </c>
      <c r="J772">
        <v>51007</v>
      </c>
      <c r="K772">
        <v>1530</v>
      </c>
      <c r="L772">
        <v>13</v>
      </c>
      <c r="M772">
        <v>13.1</v>
      </c>
      <c r="N772">
        <v>8</v>
      </c>
      <c r="O772">
        <v>15344</v>
      </c>
      <c r="P772" t="s">
        <v>2178</v>
      </c>
      <c r="Q772">
        <v>36</v>
      </c>
      <c r="R772">
        <v>55</v>
      </c>
      <c r="S772">
        <v>115</v>
      </c>
      <c r="T772">
        <v>247</v>
      </c>
      <c r="U772" t="s">
        <v>2194</v>
      </c>
      <c r="W772" t="s">
        <v>2209</v>
      </c>
      <c r="X772" t="s">
        <v>2211</v>
      </c>
      <c r="Y772" t="s">
        <v>2213</v>
      </c>
      <c r="Z772" s="1">
        <v>45759</v>
      </c>
      <c r="AA772" s="1">
        <v>45779</v>
      </c>
      <c r="AB772" t="s">
        <v>2215</v>
      </c>
      <c r="AC772" t="s">
        <v>2208</v>
      </c>
      <c r="AD772" t="s">
        <v>2219</v>
      </c>
      <c r="AE772" t="s">
        <v>2166</v>
      </c>
      <c r="AF772" t="s">
        <v>2165</v>
      </c>
      <c r="AG772" t="s">
        <v>2222</v>
      </c>
      <c r="AH772">
        <v>206</v>
      </c>
      <c r="AI772">
        <v>226</v>
      </c>
      <c r="AJ772">
        <v>20</v>
      </c>
      <c r="AK772">
        <v>9</v>
      </c>
      <c r="AL772" t="s">
        <v>2234</v>
      </c>
      <c r="AM772">
        <v>0</v>
      </c>
      <c r="AN772" t="s">
        <v>2175</v>
      </c>
      <c r="AO772" t="s">
        <v>2175</v>
      </c>
      <c r="AP772" t="s">
        <v>2175</v>
      </c>
      <c r="AQ772">
        <v>170.3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4.8</v>
      </c>
      <c r="AX772">
        <v>4.5999999999999996</v>
      </c>
      <c r="AY772">
        <v>4.5999999999999996</v>
      </c>
      <c r="AZ772">
        <v>2</v>
      </c>
      <c r="BA772">
        <v>3</v>
      </c>
      <c r="BB772">
        <v>48</v>
      </c>
      <c r="BC772">
        <v>26</v>
      </c>
      <c r="BD772">
        <v>42</v>
      </c>
      <c r="BE772">
        <v>204</v>
      </c>
      <c r="BF772">
        <v>87.5</v>
      </c>
      <c r="BG772">
        <v>45</v>
      </c>
      <c r="BH772">
        <v>26</v>
      </c>
      <c r="BI772">
        <v>39.85</v>
      </c>
      <c r="BJ772">
        <v>196</v>
      </c>
      <c r="BK772">
        <v>88.6</v>
      </c>
      <c r="BL772">
        <v>400</v>
      </c>
      <c r="BM772">
        <v>9.6149000000000004</v>
      </c>
    </row>
    <row r="773" spans="1:65" x14ac:dyDescent="0.25">
      <c r="A773" t="s">
        <v>836</v>
      </c>
      <c r="B773" t="s">
        <v>1815</v>
      </c>
      <c r="C773" t="s">
        <v>2157</v>
      </c>
      <c r="D773" s="1">
        <v>45427</v>
      </c>
      <c r="E773" s="1">
        <v>45450</v>
      </c>
      <c r="F773" s="1">
        <v>45663</v>
      </c>
      <c r="G773" t="s">
        <v>2166</v>
      </c>
      <c r="I773" t="s">
        <v>2175</v>
      </c>
      <c r="J773">
        <v>48982</v>
      </c>
      <c r="K773">
        <v>1469</v>
      </c>
      <c r="L773">
        <v>13.7</v>
      </c>
      <c r="M773">
        <v>14.4</v>
      </c>
      <c r="N773">
        <v>7</v>
      </c>
      <c r="O773">
        <v>15515</v>
      </c>
      <c r="P773" t="s">
        <v>2178</v>
      </c>
      <c r="Q773">
        <v>53</v>
      </c>
      <c r="R773">
        <v>90</v>
      </c>
      <c r="S773">
        <v>76</v>
      </c>
      <c r="T773">
        <v>223</v>
      </c>
      <c r="U773" t="s">
        <v>2181</v>
      </c>
      <c r="W773" t="s">
        <v>2209</v>
      </c>
      <c r="X773" t="s">
        <v>2211</v>
      </c>
      <c r="Y773" t="s">
        <v>2213</v>
      </c>
      <c r="Z773" s="1">
        <v>45669</v>
      </c>
      <c r="AA773" s="1">
        <v>45691</v>
      </c>
      <c r="AB773" t="s">
        <v>2215</v>
      </c>
      <c r="AC773" t="s">
        <v>2208</v>
      </c>
      <c r="AD773" t="s">
        <v>2219</v>
      </c>
      <c r="AE773" t="s">
        <v>2166</v>
      </c>
      <c r="AF773" t="s">
        <v>2163</v>
      </c>
      <c r="AG773" t="s">
        <v>2222</v>
      </c>
      <c r="AH773">
        <v>219</v>
      </c>
      <c r="AI773">
        <v>241</v>
      </c>
      <c r="AJ773">
        <v>22</v>
      </c>
      <c r="AK773">
        <v>6</v>
      </c>
      <c r="AL773" t="s">
        <v>2223</v>
      </c>
      <c r="AM773">
        <v>0</v>
      </c>
      <c r="AN773" t="s">
        <v>2175</v>
      </c>
      <c r="AO773" t="s">
        <v>2175</v>
      </c>
      <c r="AP773" t="s">
        <v>2175</v>
      </c>
      <c r="AQ773">
        <v>197.28</v>
      </c>
      <c r="AR773">
        <v>3</v>
      </c>
      <c r="AS773">
        <v>3</v>
      </c>
      <c r="AT773">
        <v>3</v>
      </c>
      <c r="AU773">
        <v>3</v>
      </c>
      <c r="AV773">
        <v>3</v>
      </c>
      <c r="AW773">
        <v>4.8</v>
      </c>
      <c r="AX773">
        <v>4.4000000000000004</v>
      </c>
      <c r="AY773">
        <v>4.8</v>
      </c>
      <c r="AZ773">
        <v>3</v>
      </c>
      <c r="BA773">
        <v>3</v>
      </c>
      <c r="BB773">
        <v>45</v>
      </c>
      <c r="BC773">
        <v>25</v>
      </c>
      <c r="BD773">
        <v>39.200000000000003</v>
      </c>
      <c r="BE773">
        <v>186</v>
      </c>
      <c r="BF773">
        <v>87.1</v>
      </c>
      <c r="BG773">
        <v>45</v>
      </c>
      <c r="BH773">
        <v>25</v>
      </c>
      <c r="BI773">
        <v>39.200000000000003</v>
      </c>
      <c r="BJ773">
        <v>186</v>
      </c>
      <c r="BK773">
        <v>87.1</v>
      </c>
      <c r="BL773">
        <v>307</v>
      </c>
      <c r="BM773">
        <v>10.531499999999999</v>
      </c>
    </row>
    <row r="774" spans="1:65" x14ac:dyDescent="0.25">
      <c r="A774" t="s">
        <v>837</v>
      </c>
      <c r="B774" t="s">
        <v>1816</v>
      </c>
      <c r="C774" t="s">
        <v>2159</v>
      </c>
      <c r="D774" s="1">
        <v>45517</v>
      </c>
      <c r="E774" s="1">
        <v>45545</v>
      </c>
      <c r="F774" s="1">
        <v>45677</v>
      </c>
      <c r="G774" t="s">
        <v>2161</v>
      </c>
      <c r="I774" t="s">
        <v>2175</v>
      </c>
      <c r="J774">
        <v>36008</v>
      </c>
      <c r="K774">
        <v>1080</v>
      </c>
      <c r="L774">
        <v>16</v>
      </c>
      <c r="M774">
        <v>16.100000000000001</v>
      </c>
      <c r="N774">
        <v>8</v>
      </c>
      <c r="O774">
        <v>18260</v>
      </c>
      <c r="P774" t="s">
        <v>2178</v>
      </c>
      <c r="Q774">
        <v>37</v>
      </c>
      <c r="R774">
        <v>61</v>
      </c>
      <c r="S774">
        <v>53</v>
      </c>
      <c r="T774">
        <v>238</v>
      </c>
      <c r="U774" t="s">
        <v>2196</v>
      </c>
      <c r="W774" t="s">
        <v>2209</v>
      </c>
      <c r="X774" t="s">
        <v>2211</v>
      </c>
      <c r="Y774" t="s">
        <v>2213</v>
      </c>
      <c r="Z774" s="1">
        <v>45696</v>
      </c>
      <c r="AA774" s="1">
        <v>45719</v>
      </c>
      <c r="AB774" t="s">
        <v>2215</v>
      </c>
      <c r="AC774" t="s">
        <v>2208</v>
      </c>
      <c r="AD774" t="s">
        <v>2219</v>
      </c>
      <c r="AE774" t="s">
        <v>2165</v>
      </c>
      <c r="AF774" t="s">
        <v>2163</v>
      </c>
      <c r="AG774" t="s">
        <v>2222</v>
      </c>
      <c r="AH774">
        <v>151</v>
      </c>
      <c r="AI774">
        <v>174</v>
      </c>
      <c r="AJ774">
        <v>23</v>
      </c>
      <c r="AK774">
        <v>9</v>
      </c>
      <c r="AL774" t="s">
        <v>2234</v>
      </c>
      <c r="AM774">
        <v>0</v>
      </c>
      <c r="AN774" t="s">
        <v>2175</v>
      </c>
      <c r="AO774" t="s">
        <v>2175</v>
      </c>
      <c r="AP774" t="s">
        <v>2175</v>
      </c>
      <c r="AQ774">
        <v>257.60000000000002</v>
      </c>
      <c r="AR774">
        <v>3</v>
      </c>
      <c r="AS774">
        <v>3</v>
      </c>
      <c r="AT774">
        <v>3</v>
      </c>
      <c r="AU774">
        <v>3</v>
      </c>
      <c r="AV774">
        <v>3</v>
      </c>
      <c r="AW774">
        <v>4.5999999999999996</v>
      </c>
      <c r="AX774">
        <v>4.4000000000000004</v>
      </c>
      <c r="AY774">
        <v>4.3</v>
      </c>
      <c r="AZ774">
        <v>0</v>
      </c>
      <c r="BA774">
        <v>3</v>
      </c>
      <c r="BB774">
        <v>45</v>
      </c>
      <c r="BC774">
        <v>26</v>
      </c>
      <c r="BD774">
        <v>39.85</v>
      </c>
      <c r="BE774">
        <v>196</v>
      </c>
      <c r="BF774">
        <v>88.6</v>
      </c>
      <c r="BG774">
        <v>28</v>
      </c>
      <c r="BH774">
        <v>26</v>
      </c>
      <c r="BI774">
        <v>24.77</v>
      </c>
      <c r="BJ774">
        <v>119</v>
      </c>
      <c r="BK774">
        <v>88.5</v>
      </c>
      <c r="BL774">
        <v>322</v>
      </c>
      <c r="BM774">
        <v>7.0644999999999998</v>
      </c>
    </row>
    <row r="775" spans="1:65" x14ac:dyDescent="0.25">
      <c r="A775" t="s">
        <v>838</v>
      </c>
      <c r="B775" t="s">
        <v>1817</v>
      </c>
      <c r="C775" t="s">
        <v>2160</v>
      </c>
      <c r="D775" s="1">
        <v>45454</v>
      </c>
      <c r="E775" s="1">
        <v>45475</v>
      </c>
      <c r="F775" s="1">
        <v>45586</v>
      </c>
      <c r="G775" t="s">
        <v>2163</v>
      </c>
      <c r="I775" t="s">
        <v>2175</v>
      </c>
      <c r="J775">
        <v>35730</v>
      </c>
      <c r="K775">
        <v>1071</v>
      </c>
      <c r="L775">
        <v>14.5</v>
      </c>
      <c r="M775">
        <v>14.1</v>
      </c>
      <c r="N775">
        <v>8</v>
      </c>
      <c r="O775">
        <v>15072</v>
      </c>
      <c r="P775" t="s">
        <v>2178</v>
      </c>
      <c r="Q775">
        <v>25</v>
      </c>
      <c r="R775">
        <v>35</v>
      </c>
      <c r="S775">
        <v>63</v>
      </c>
      <c r="T775">
        <v>290</v>
      </c>
      <c r="U775" t="s">
        <v>2181</v>
      </c>
      <c r="W775" t="s">
        <v>2209</v>
      </c>
      <c r="X775" t="s">
        <v>2211</v>
      </c>
      <c r="Y775" t="s">
        <v>2213</v>
      </c>
      <c r="Z775" s="1">
        <v>45598</v>
      </c>
      <c r="AA775" s="1">
        <v>45616</v>
      </c>
      <c r="AB775" t="s">
        <v>2215</v>
      </c>
      <c r="AC775" t="s">
        <v>2208</v>
      </c>
      <c r="AD775" t="s">
        <v>2219</v>
      </c>
      <c r="AE775" t="s">
        <v>2166</v>
      </c>
      <c r="AF775" t="s">
        <v>2163</v>
      </c>
      <c r="AG775" t="s">
        <v>2222</v>
      </c>
      <c r="AH775">
        <v>123</v>
      </c>
      <c r="AI775">
        <v>141</v>
      </c>
      <c r="AJ775">
        <v>18</v>
      </c>
      <c r="AK775">
        <v>7</v>
      </c>
      <c r="AL775" t="s">
        <v>2226</v>
      </c>
      <c r="AM775">
        <v>0</v>
      </c>
      <c r="AN775" t="s">
        <v>2175</v>
      </c>
      <c r="AO775" t="s">
        <v>2175</v>
      </c>
      <c r="AP775" t="s">
        <v>2175</v>
      </c>
      <c r="AQ775">
        <v>204.45</v>
      </c>
      <c r="AR775">
        <v>3</v>
      </c>
      <c r="AS775">
        <v>3</v>
      </c>
      <c r="AT775">
        <v>3</v>
      </c>
      <c r="AU775">
        <v>3</v>
      </c>
      <c r="AV775">
        <v>3</v>
      </c>
      <c r="AW775">
        <v>4.8</v>
      </c>
      <c r="AX775">
        <v>4.4000000000000004</v>
      </c>
      <c r="AY775">
        <v>4.4000000000000004</v>
      </c>
      <c r="AZ775">
        <v>1</v>
      </c>
      <c r="BA775">
        <v>3</v>
      </c>
      <c r="BB775">
        <v>48</v>
      </c>
      <c r="BC775">
        <v>27</v>
      </c>
      <c r="BD775">
        <v>42.33</v>
      </c>
      <c r="BE775">
        <v>216</v>
      </c>
      <c r="BF775">
        <v>88.2</v>
      </c>
      <c r="BG775">
        <v>33</v>
      </c>
      <c r="BH775">
        <v>27</v>
      </c>
      <c r="BI775">
        <v>28.89</v>
      </c>
      <c r="BJ775">
        <v>145</v>
      </c>
      <c r="BK775">
        <v>87.5</v>
      </c>
      <c r="BL775">
        <v>361</v>
      </c>
      <c r="BM775">
        <v>6.1254999999999997</v>
      </c>
    </row>
    <row r="776" spans="1:65" x14ac:dyDescent="0.25">
      <c r="A776" t="s">
        <v>839</v>
      </c>
      <c r="B776" t="s">
        <v>1818</v>
      </c>
      <c r="C776" t="s">
        <v>2160</v>
      </c>
      <c r="D776" s="1">
        <v>45459</v>
      </c>
      <c r="E776" s="1">
        <v>45480</v>
      </c>
      <c r="F776" s="1">
        <v>45629</v>
      </c>
      <c r="G776" t="s">
        <v>2166</v>
      </c>
      <c r="I776" t="s">
        <v>2175</v>
      </c>
      <c r="J776">
        <v>47174</v>
      </c>
      <c r="K776">
        <v>1415</v>
      </c>
      <c r="L776">
        <v>14.2</v>
      </c>
      <c r="M776">
        <v>17.3</v>
      </c>
      <c r="N776">
        <v>7</v>
      </c>
      <c r="O776">
        <v>15787</v>
      </c>
      <c r="P776" t="s">
        <v>2178</v>
      </c>
      <c r="Q776">
        <v>34</v>
      </c>
      <c r="R776">
        <v>49</v>
      </c>
      <c r="S776">
        <v>84</v>
      </c>
      <c r="T776">
        <v>282</v>
      </c>
      <c r="U776" t="s">
        <v>2201</v>
      </c>
      <c r="W776" t="s">
        <v>2209</v>
      </c>
      <c r="X776" t="s">
        <v>2211</v>
      </c>
      <c r="Y776" t="s">
        <v>2213</v>
      </c>
      <c r="Z776" s="1">
        <v>45647</v>
      </c>
      <c r="AA776" s="1">
        <v>45668</v>
      </c>
      <c r="AB776" t="s">
        <v>2215</v>
      </c>
      <c r="AC776" t="s">
        <v>2208</v>
      </c>
      <c r="AD776" t="s">
        <v>2219</v>
      </c>
      <c r="AE776" t="s">
        <v>2165</v>
      </c>
      <c r="AF776" t="s">
        <v>2161</v>
      </c>
      <c r="AG776" t="s">
        <v>2222</v>
      </c>
      <c r="AH776">
        <v>167</v>
      </c>
      <c r="AI776">
        <v>188</v>
      </c>
      <c r="AJ776">
        <v>21</v>
      </c>
      <c r="AK776">
        <v>7</v>
      </c>
      <c r="AL776" t="s">
        <v>2226</v>
      </c>
      <c r="AM776">
        <v>0</v>
      </c>
      <c r="AN776" t="s">
        <v>2175</v>
      </c>
      <c r="AO776" t="s">
        <v>2175</v>
      </c>
      <c r="AP776" t="s">
        <v>2175</v>
      </c>
      <c r="AQ776">
        <v>245.66</v>
      </c>
      <c r="AR776">
        <v>3</v>
      </c>
      <c r="AS776">
        <v>3</v>
      </c>
      <c r="AT776">
        <v>3</v>
      </c>
      <c r="AU776">
        <v>3</v>
      </c>
      <c r="AV776">
        <v>3</v>
      </c>
      <c r="AW776">
        <v>4.5999999999999996</v>
      </c>
      <c r="AX776">
        <v>4.3</v>
      </c>
      <c r="AY776">
        <v>4.8</v>
      </c>
      <c r="AZ776">
        <v>1</v>
      </c>
      <c r="BA776">
        <v>3</v>
      </c>
      <c r="BB776">
        <v>38</v>
      </c>
      <c r="BC776">
        <v>27</v>
      </c>
      <c r="BD776">
        <v>34</v>
      </c>
      <c r="BE776">
        <v>174</v>
      </c>
      <c r="BF776">
        <v>89.5</v>
      </c>
      <c r="BG776">
        <v>48</v>
      </c>
      <c r="BH776">
        <v>27</v>
      </c>
      <c r="BI776">
        <v>42.33</v>
      </c>
      <c r="BJ776">
        <v>216</v>
      </c>
      <c r="BK776">
        <v>88.2</v>
      </c>
      <c r="BL776">
        <v>303</v>
      </c>
      <c r="BM776">
        <v>10.039199999999999</v>
      </c>
    </row>
    <row r="777" spans="1:65" x14ac:dyDescent="0.25">
      <c r="A777" t="s">
        <v>840</v>
      </c>
      <c r="B777" t="s">
        <v>1819</v>
      </c>
      <c r="C777" t="s">
        <v>2159</v>
      </c>
      <c r="D777" s="1">
        <v>45393</v>
      </c>
      <c r="E777" s="1">
        <v>45431</v>
      </c>
      <c r="F777" s="1">
        <v>45599</v>
      </c>
      <c r="G777" t="s">
        <v>2163</v>
      </c>
      <c r="I777" t="s">
        <v>2175</v>
      </c>
      <c r="J777">
        <v>41110</v>
      </c>
      <c r="K777">
        <v>1233</v>
      </c>
      <c r="L777">
        <v>12.9</v>
      </c>
      <c r="M777">
        <v>13.2</v>
      </c>
      <c r="N777">
        <v>8</v>
      </c>
      <c r="O777">
        <v>15324</v>
      </c>
      <c r="P777" t="s">
        <v>2178</v>
      </c>
      <c r="Q777">
        <v>40</v>
      </c>
      <c r="R777">
        <v>73</v>
      </c>
      <c r="S777">
        <v>69</v>
      </c>
      <c r="T777">
        <v>225</v>
      </c>
      <c r="U777" t="s">
        <v>2204</v>
      </c>
      <c r="W777" t="s">
        <v>2209</v>
      </c>
      <c r="X777" t="s">
        <v>2211</v>
      </c>
      <c r="Y777" t="s">
        <v>2213</v>
      </c>
      <c r="Z777" s="1">
        <v>45613</v>
      </c>
      <c r="AA777" s="1">
        <v>45630</v>
      </c>
      <c r="AB777" t="s">
        <v>2215</v>
      </c>
      <c r="AC777" t="s">
        <v>2208</v>
      </c>
      <c r="AD777" t="s">
        <v>2219</v>
      </c>
      <c r="AE777" t="s">
        <v>2166</v>
      </c>
      <c r="AF777" t="s">
        <v>2164</v>
      </c>
      <c r="AG777" t="s">
        <v>2222</v>
      </c>
      <c r="AH777">
        <v>182</v>
      </c>
      <c r="AI777">
        <v>199</v>
      </c>
      <c r="AJ777">
        <v>17</v>
      </c>
      <c r="AK777">
        <v>5</v>
      </c>
      <c r="AL777" t="s">
        <v>2224</v>
      </c>
      <c r="AM777">
        <v>0</v>
      </c>
      <c r="AN777" t="s">
        <v>2175</v>
      </c>
      <c r="AO777" t="s">
        <v>2175</v>
      </c>
      <c r="AP777" t="s">
        <v>2175</v>
      </c>
      <c r="AQ777">
        <v>170.28</v>
      </c>
      <c r="AR777">
        <v>3</v>
      </c>
      <c r="AS777">
        <v>3</v>
      </c>
      <c r="AT777">
        <v>3</v>
      </c>
      <c r="AU777">
        <v>3</v>
      </c>
      <c r="AV777">
        <v>3</v>
      </c>
      <c r="AW777">
        <v>4.8</v>
      </c>
      <c r="AX777">
        <v>4.5</v>
      </c>
      <c r="AY777">
        <v>4.4000000000000004</v>
      </c>
      <c r="AZ777">
        <v>0</v>
      </c>
      <c r="BA777">
        <v>3</v>
      </c>
      <c r="BB777">
        <v>43</v>
      </c>
      <c r="BC777">
        <v>27</v>
      </c>
      <c r="BD777">
        <v>37.299999999999997</v>
      </c>
      <c r="BE777">
        <v>193</v>
      </c>
      <c r="BF777">
        <v>86.7</v>
      </c>
      <c r="BG777">
        <v>38</v>
      </c>
      <c r="BH777">
        <v>27</v>
      </c>
      <c r="BI777">
        <v>33.33</v>
      </c>
      <c r="BJ777">
        <v>171</v>
      </c>
      <c r="BK777">
        <v>87.7</v>
      </c>
      <c r="BL777">
        <v>351</v>
      </c>
      <c r="BM777">
        <v>7.8875999999999999</v>
      </c>
    </row>
    <row r="778" spans="1:65" x14ac:dyDescent="0.25">
      <c r="A778" t="s">
        <v>841</v>
      </c>
      <c r="B778" t="s">
        <v>1820</v>
      </c>
      <c r="C778" t="s">
        <v>2160</v>
      </c>
      <c r="D778" s="1">
        <v>45294</v>
      </c>
      <c r="E778" s="1">
        <v>45353</v>
      </c>
      <c r="F778" s="1">
        <v>45491</v>
      </c>
      <c r="G778" t="s">
        <v>2163</v>
      </c>
      <c r="I778" t="s">
        <v>2175</v>
      </c>
      <c r="J778">
        <v>32371</v>
      </c>
      <c r="K778">
        <v>971</v>
      </c>
      <c r="L778">
        <v>12.9</v>
      </c>
      <c r="M778">
        <v>15.9</v>
      </c>
      <c r="N778">
        <v>7</v>
      </c>
      <c r="O778">
        <v>17352</v>
      </c>
      <c r="P778" t="s">
        <v>2178</v>
      </c>
      <c r="Q778">
        <v>29</v>
      </c>
      <c r="R778">
        <v>46</v>
      </c>
      <c r="S778">
        <v>74</v>
      </c>
      <c r="T778">
        <v>217</v>
      </c>
      <c r="U778" t="s">
        <v>2194</v>
      </c>
      <c r="W778" t="s">
        <v>2209</v>
      </c>
      <c r="X778" t="s">
        <v>2211</v>
      </c>
      <c r="Y778" t="s">
        <v>2213</v>
      </c>
      <c r="Z778" s="1">
        <v>45502</v>
      </c>
      <c r="AA778" s="1">
        <v>45525</v>
      </c>
      <c r="AB778" t="s">
        <v>2215</v>
      </c>
      <c r="AC778" t="s">
        <v>2208</v>
      </c>
      <c r="AD778" t="s">
        <v>2219</v>
      </c>
      <c r="AE778" t="s">
        <v>2166</v>
      </c>
      <c r="AF778" t="s">
        <v>2165</v>
      </c>
      <c r="AG778" t="s">
        <v>2222</v>
      </c>
      <c r="AH778">
        <v>149</v>
      </c>
      <c r="AI778">
        <v>172</v>
      </c>
      <c r="AJ778">
        <v>23</v>
      </c>
      <c r="AK778">
        <v>3</v>
      </c>
      <c r="AL778" t="s">
        <v>2227</v>
      </c>
      <c r="AM778">
        <v>0</v>
      </c>
      <c r="AN778" t="s">
        <v>2175</v>
      </c>
      <c r="AO778" t="s">
        <v>2175</v>
      </c>
      <c r="AP778" t="s">
        <v>2175</v>
      </c>
      <c r="AQ778">
        <v>205.11</v>
      </c>
      <c r="AR778">
        <v>3</v>
      </c>
      <c r="AS778">
        <v>3</v>
      </c>
      <c r="AT778">
        <v>3</v>
      </c>
      <c r="AU778">
        <v>3</v>
      </c>
      <c r="AV778">
        <v>3</v>
      </c>
      <c r="AW778">
        <v>4.8</v>
      </c>
      <c r="AX778">
        <v>4.5999999999999996</v>
      </c>
      <c r="AY778">
        <v>4.4000000000000004</v>
      </c>
      <c r="AZ778">
        <v>1</v>
      </c>
      <c r="BA778">
        <v>3</v>
      </c>
      <c r="BB778">
        <v>49</v>
      </c>
      <c r="BC778">
        <v>26</v>
      </c>
      <c r="BD778">
        <v>43.12</v>
      </c>
      <c r="BE778">
        <v>216</v>
      </c>
      <c r="BF778">
        <v>88</v>
      </c>
      <c r="BG778">
        <v>35</v>
      </c>
      <c r="BH778">
        <v>26</v>
      </c>
      <c r="BI778">
        <v>31.08</v>
      </c>
      <c r="BJ778">
        <v>149</v>
      </c>
      <c r="BK778">
        <v>88.8</v>
      </c>
      <c r="BL778">
        <v>428</v>
      </c>
      <c r="BM778">
        <v>5.7629999999999999</v>
      </c>
    </row>
    <row r="779" spans="1:65" x14ac:dyDescent="0.25">
      <c r="A779" t="s">
        <v>842</v>
      </c>
      <c r="B779" t="s">
        <v>1821</v>
      </c>
      <c r="C779" t="s">
        <v>2158</v>
      </c>
      <c r="D779" s="1">
        <v>45310</v>
      </c>
      <c r="E779" s="1">
        <v>45352</v>
      </c>
      <c r="F779" s="1">
        <v>45467</v>
      </c>
      <c r="G779" t="s">
        <v>2165</v>
      </c>
      <c r="I779" t="s">
        <v>2175</v>
      </c>
      <c r="J779">
        <v>39947</v>
      </c>
      <c r="K779">
        <v>1198</v>
      </c>
      <c r="L779">
        <v>17.600000000000001</v>
      </c>
      <c r="M779">
        <v>17.2</v>
      </c>
      <c r="N779">
        <v>8</v>
      </c>
      <c r="O779">
        <v>18992</v>
      </c>
      <c r="P779" t="s">
        <v>2178</v>
      </c>
      <c r="Q779">
        <v>28</v>
      </c>
      <c r="R779">
        <v>47</v>
      </c>
      <c r="S779">
        <v>59</v>
      </c>
      <c r="T779">
        <v>298</v>
      </c>
      <c r="U779" t="s">
        <v>2205</v>
      </c>
      <c r="W779" t="s">
        <v>2209</v>
      </c>
      <c r="X779" t="s">
        <v>2211</v>
      </c>
      <c r="Y779" t="s">
        <v>2213</v>
      </c>
      <c r="Z779" s="1">
        <v>45486</v>
      </c>
      <c r="AA779" s="1">
        <v>45506</v>
      </c>
      <c r="AB779" t="s">
        <v>2215</v>
      </c>
      <c r="AC779" t="s">
        <v>2208</v>
      </c>
      <c r="AD779" t="s">
        <v>2219</v>
      </c>
      <c r="AE779" t="s">
        <v>2165</v>
      </c>
      <c r="AF779" t="s">
        <v>2164</v>
      </c>
      <c r="AG779" t="s">
        <v>2222</v>
      </c>
      <c r="AH779">
        <v>134</v>
      </c>
      <c r="AI779">
        <v>154</v>
      </c>
      <c r="AJ779">
        <v>20</v>
      </c>
      <c r="AK779">
        <v>3</v>
      </c>
      <c r="AL779" t="s">
        <v>2227</v>
      </c>
      <c r="AM779">
        <v>0</v>
      </c>
      <c r="AN779" t="s">
        <v>2175</v>
      </c>
      <c r="AO779" t="s">
        <v>2175</v>
      </c>
      <c r="AP779" t="s">
        <v>2175</v>
      </c>
      <c r="AQ779">
        <v>302.72000000000003</v>
      </c>
      <c r="AR779">
        <v>3</v>
      </c>
      <c r="AS779">
        <v>3</v>
      </c>
      <c r="AT779">
        <v>3</v>
      </c>
      <c r="AU779">
        <v>3</v>
      </c>
      <c r="AV779">
        <v>3</v>
      </c>
      <c r="AW779">
        <v>4.5999999999999996</v>
      </c>
      <c r="AX779">
        <v>4.5</v>
      </c>
      <c r="AY779">
        <v>4.5999999999999996</v>
      </c>
      <c r="AZ779">
        <v>2</v>
      </c>
      <c r="BA779">
        <v>3</v>
      </c>
      <c r="BB779">
        <v>48</v>
      </c>
      <c r="BC779">
        <v>26</v>
      </c>
      <c r="BD779">
        <v>42.38</v>
      </c>
      <c r="BE779">
        <v>212</v>
      </c>
      <c r="BF779">
        <v>88.3</v>
      </c>
      <c r="BG779">
        <v>48</v>
      </c>
      <c r="BH779">
        <v>26</v>
      </c>
      <c r="BI779">
        <v>42.38</v>
      </c>
      <c r="BJ779">
        <v>212</v>
      </c>
      <c r="BK779">
        <v>88.3</v>
      </c>
      <c r="BL779">
        <v>340</v>
      </c>
      <c r="BM779">
        <v>7.2460000000000004</v>
      </c>
    </row>
    <row r="780" spans="1:65" x14ac:dyDescent="0.25">
      <c r="A780" t="s">
        <v>843</v>
      </c>
      <c r="B780" t="s">
        <v>1822</v>
      </c>
      <c r="C780" t="s">
        <v>2160</v>
      </c>
      <c r="D780" s="1">
        <v>45305</v>
      </c>
      <c r="E780" s="1">
        <v>45363</v>
      </c>
      <c r="F780" s="1">
        <v>45469</v>
      </c>
      <c r="G780" t="s">
        <v>2164</v>
      </c>
      <c r="I780" t="s">
        <v>2175</v>
      </c>
      <c r="J780">
        <v>31462</v>
      </c>
      <c r="K780">
        <v>943</v>
      </c>
      <c r="L780">
        <v>13.8</v>
      </c>
      <c r="M780">
        <v>12.4</v>
      </c>
      <c r="N780">
        <v>8</v>
      </c>
      <c r="O780">
        <v>15687</v>
      </c>
      <c r="P780" t="s">
        <v>2178</v>
      </c>
      <c r="Q780">
        <v>29</v>
      </c>
      <c r="R780">
        <v>44</v>
      </c>
      <c r="S780">
        <v>40</v>
      </c>
      <c r="T780">
        <v>278</v>
      </c>
      <c r="U780" t="s">
        <v>2194</v>
      </c>
      <c r="W780" t="s">
        <v>2209</v>
      </c>
      <c r="X780" t="s">
        <v>2211</v>
      </c>
      <c r="Y780" t="s">
        <v>2213</v>
      </c>
      <c r="Z780" s="1">
        <v>45476</v>
      </c>
      <c r="AA780" s="1">
        <v>45495</v>
      </c>
      <c r="AB780" t="s">
        <v>2215</v>
      </c>
      <c r="AC780" t="s">
        <v>2208</v>
      </c>
      <c r="AD780" t="s">
        <v>2219</v>
      </c>
      <c r="AE780" t="s">
        <v>2166</v>
      </c>
      <c r="AF780" t="s">
        <v>2165</v>
      </c>
      <c r="AG780" t="s">
        <v>2222</v>
      </c>
      <c r="AH780">
        <v>113</v>
      </c>
      <c r="AI780">
        <v>132</v>
      </c>
      <c r="AJ780">
        <v>19</v>
      </c>
      <c r="AK780">
        <v>3</v>
      </c>
      <c r="AL780" t="s">
        <v>2227</v>
      </c>
      <c r="AM780">
        <v>0</v>
      </c>
      <c r="AN780" t="s">
        <v>2175</v>
      </c>
      <c r="AO780" t="s">
        <v>2175</v>
      </c>
      <c r="AP780" t="s">
        <v>2175</v>
      </c>
      <c r="AQ780">
        <v>171.12</v>
      </c>
      <c r="AR780">
        <v>3</v>
      </c>
      <c r="AS780">
        <v>3</v>
      </c>
      <c r="AT780">
        <v>3</v>
      </c>
      <c r="AU780">
        <v>3</v>
      </c>
      <c r="AV780">
        <v>3</v>
      </c>
      <c r="AW780">
        <v>4.8</v>
      </c>
      <c r="AX780">
        <v>4.5999999999999996</v>
      </c>
      <c r="AY780">
        <v>4.5</v>
      </c>
      <c r="AZ780">
        <v>1</v>
      </c>
      <c r="BA780">
        <v>3</v>
      </c>
      <c r="BB780">
        <v>49</v>
      </c>
      <c r="BC780">
        <v>26</v>
      </c>
      <c r="BD780">
        <v>43.12</v>
      </c>
      <c r="BE780">
        <v>216</v>
      </c>
      <c r="BF780">
        <v>88</v>
      </c>
      <c r="BG780">
        <v>30</v>
      </c>
      <c r="BH780">
        <v>26</v>
      </c>
      <c r="BI780">
        <v>26.31</v>
      </c>
      <c r="BJ780">
        <v>128</v>
      </c>
      <c r="BK780">
        <v>87.7</v>
      </c>
      <c r="BL780">
        <v>428</v>
      </c>
      <c r="BM780">
        <v>5.6012000000000004</v>
      </c>
    </row>
    <row r="781" spans="1:65" x14ac:dyDescent="0.25">
      <c r="A781" t="s">
        <v>844</v>
      </c>
      <c r="B781" t="s">
        <v>1823</v>
      </c>
      <c r="C781" t="s">
        <v>2160</v>
      </c>
      <c r="D781" s="1">
        <v>45453</v>
      </c>
      <c r="E781" s="1">
        <v>45512</v>
      </c>
      <c r="F781" s="1">
        <v>45703</v>
      </c>
      <c r="G781" t="s">
        <v>2162</v>
      </c>
      <c r="I781" t="s">
        <v>2175</v>
      </c>
      <c r="J781">
        <v>40003</v>
      </c>
      <c r="K781">
        <v>1200</v>
      </c>
      <c r="L781">
        <v>15.6</v>
      </c>
      <c r="M781">
        <v>12.5</v>
      </c>
      <c r="N781">
        <v>8</v>
      </c>
      <c r="O781">
        <v>18106</v>
      </c>
      <c r="P781" t="s">
        <v>2178</v>
      </c>
      <c r="Q781">
        <v>41</v>
      </c>
      <c r="R781">
        <v>77</v>
      </c>
      <c r="S781">
        <v>78</v>
      </c>
      <c r="T781">
        <v>204</v>
      </c>
      <c r="U781" t="s">
        <v>2181</v>
      </c>
      <c r="W781" t="s">
        <v>2209</v>
      </c>
      <c r="X781" t="s">
        <v>2211</v>
      </c>
      <c r="Y781" t="s">
        <v>2213</v>
      </c>
      <c r="Z781" s="1">
        <v>45708</v>
      </c>
      <c r="AA781" s="1">
        <v>45725</v>
      </c>
      <c r="AB781" t="s">
        <v>2215</v>
      </c>
      <c r="AC781" t="s">
        <v>2208</v>
      </c>
      <c r="AD781" t="s">
        <v>2219</v>
      </c>
      <c r="AE781" t="s">
        <v>2166</v>
      </c>
      <c r="AF781" t="s">
        <v>2163</v>
      </c>
      <c r="AG781" t="s">
        <v>2222</v>
      </c>
      <c r="AH781">
        <v>196</v>
      </c>
      <c r="AI781">
        <v>213</v>
      </c>
      <c r="AJ781">
        <v>17</v>
      </c>
      <c r="AK781">
        <v>8</v>
      </c>
      <c r="AL781" t="s">
        <v>2232</v>
      </c>
      <c r="AM781">
        <v>0</v>
      </c>
      <c r="AN781" t="s">
        <v>2175</v>
      </c>
      <c r="AO781" t="s">
        <v>2175</v>
      </c>
      <c r="AP781" t="s">
        <v>2175</v>
      </c>
      <c r="AQ781">
        <v>195</v>
      </c>
      <c r="AR781">
        <v>3</v>
      </c>
      <c r="AS781">
        <v>3</v>
      </c>
      <c r="AT781">
        <v>3</v>
      </c>
      <c r="AU781">
        <v>3</v>
      </c>
      <c r="AV781">
        <v>3</v>
      </c>
      <c r="AW781">
        <v>4.8</v>
      </c>
      <c r="AX781">
        <v>4.4000000000000004</v>
      </c>
      <c r="AY781">
        <v>4.2</v>
      </c>
      <c r="AZ781">
        <v>1</v>
      </c>
      <c r="BA781">
        <v>3</v>
      </c>
      <c r="BB781">
        <v>41</v>
      </c>
      <c r="BC781">
        <v>26</v>
      </c>
      <c r="BD781">
        <v>36.15</v>
      </c>
      <c r="BE781">
        <v>176</v>
      </c>
      <c r="BF781">
        <v>88.2</v>
      </c>
      <c r="BG781">
        <v>29</v>
      </c>
      <c r="BH781">
        <v>26</v>
      </c>
      <c r="BI781">
        <v>25.54</v>
      </c>
      <c r="BJ781">
        <v>124</v>
      </c>
      <c r="BK781">
        <v>88.1</v>
      </c>
      <c r="BL781">
        <v>337</v>
      </c>
      <c r="BM781">
        <v>8.74</v>
      </c>
    </row>
    <row r="782" spans="1:65" x14ac:dyDescent="0.25">
      <c r="A782" t="s">
        <v>845</v>
      </c>
      <c r="B782" t="s">
        <v>1824</v>
      </c>
      <c r="C782" t="s">
        <v>2158</v>
      </c>
      <c r="D782" s="1">
        <v>45316</v>
      </c>
      <c r="E782" s="1">
        <v>45352</v>
      </c>
      <c r="F782" s="1">
        <v>45444</v>
      </c>
      <c r="G782" t="s">
        <v>2164</v>
      </c>
      <c r="I782" t="s">
        <v>2176</v>
      </c>
      <c r="J782">
        <v>23138</v>
      </c>
      <c r="K782">
        <v>694</v>
      </c>
      <c r="L782">
        <v>6.7</v>
      </c>
      <c r="M782">
        <v>5.7</v>
      </c>
      <c r="N782">
        <v>2</v>
      </c>
      <c r="O782">
        <v>3622</v>
      </c>
      <c r="P782" t="s">
        <v>2176</v>
      </c>
      <c r="Q782">
        <v>16</v>
      </c>
      <c r="R782">
        <v>19</v>
      </c>
      <c r="S782">
        <v>29</v>
      </c>
      <c r="T782">
        <v>361</v>
      </c>
      <c r="U782" t="s">
        <v>2164</v>
      </c>
      <c r="W782" t="s">
        <v>2208</v>
      </c>
      <c r="X782" t="s">
        <v>2210</v>
      </c>
      <c r="Y782" t="s">
        <v>2212</v>
      </c>
      <c r="Z782" s="1">
        <v>45416</v>
      </c>
      <c r="AA782" s="1">
        <v>45432</v>
      </c>
      <c r="AB782" t="s">
        <v>2214</v>
      </c>
      <c r="AC782" t="s">
        <v>2209</v>
      </c>
      <c r="AD782" t="s">
        <v>2216</v>
      </c>
      <c r="AE782" t="s">
        <v>2164</v>
      </c>
      <c r="AG782" t="s">
        <v>2220</v>
      </c>
      <c r="AH782">
        <v>64</v>
      </c>
      <c r="AI782">
        <v>80</v>
      </c>
      <c r="AJ782">
        <v>16</v>
      </c>
      <c r="AK782">
        <v>3</v>
      </c>
      <c r="AL782" t="s">
        <v>2227</v>
      </c>
      <c r="AM782">
        <v>0</v>
      </c>
      <c r="AN782" t="s">
        <v>2177</v>
      </c>
      <c r="AO782" t="s">
        <v>2176</v>
      </c>
      <c r="AP782" t="s">
        <v>2176</v>
      </c>
      <c r="AQ782">
        <v>38.19</v>
      </c>
      <c r="AR782">
        <v>1</v>
      </c>
      <c r="AS782">
        <v>2</v>
      </c>
      <c r="AT782">
        <v>1</v>
      </c>
      <c r="AU782">
        <v>1</v>
      </c>
      <c r="AV782">
        <v>1.333333333333333</v>
      </c>
      <c r="AW782">
        <v>4.5</v>
      </c>
      <c r="AY782">
        <v>4.5</v>
      </c>
      <c r="AZ782">
        <v>2</v>
      </c>
      <c r="BA782">
        <v>1</v>
      </c>
      <c r="BB782">
        <v>30</v>
      </c>
      <c r="BC782">
        <v>26</v>
      </c>
      <c r="BD782">
        <v>26.31</v>
      </c>
      <c r="BE782">
        <v>128</v>
      </c>
      <c r="BF782">
        <v>87.7</v>
      </c>
      <c r="BG782">
        <v>30</v>
      </c>
      <c r="BH782">
        <v>26</v>
      </c>
      <c r="BI782">
        <v>26.31</v>
      </c>
      <c r="BJ782">
        <v>128</v>
      </c>
      <c r="BK782">
        <v>87.7</v>
      </c>
      <c r="BL782">
        <v>128</v>
      </c>
      <c r="BM782">
        <v>6.9504000000000001</v>
      </c>
    </row>
    <row r="783" spans="1:65" x14ac:dyDescent="0.25">
      <c r="A783" t="s">
        <v>846</v>
      </c>
      <c r="B783" t="s">
        <v>1825</v>
      </c>
      <c r="C783" t="s">
        <v>2158</v>
      </c>
      <c r="D783" s="1">
        <v>45418</v>
      </c>
      <c r="E783" s="1">
        <v>45461</v>
      </c>
      <c r="F783" s="1">
        <v>45523</v>
      </c>
      <c r="G783" t="s">
        <v>2161</v>
      </c>
      <c r="I783" t="s">
        <v>2176</v>
      </c>
      <c r="J783">
        <v>14775</v>
      </c>
      <c r="K783">
        <v>443</v>
      </c>
      <c r="L783">
        <v>6.9</v>
      </c>
      <c r="M783">
        <v>5.7</v>
      </c>
      <c r="N783">
        <v>1</v>
      </c>
      <c r="O783">
        <v>5510</v>
      </c>
      <c r="P783" t="s">
        <v>2176</v>
      </c>
      <c r="Q783">
        <v>12</v>
      </c>
      <c r="R783">
        <v>16</v>
      </c>
      <c r="S783">
        <v>12</v>
      </c>
      <c r="T783">
        <v>369</v>
      </c>
      <c r="U783" t="s">
        <v>2161</v>
      </c>
      <c r="W783" t="s">
        <v>2208</v>
      </c>
      <c r="X783" t="s">
        <v>2210</v>
      </c>
      <c r="Y783" t="s">
        <v>2212</v>
      </c>
      <c r="Z783" s="1">
        <v>45501</v>
      </c>
      <c r="AA783" s="1">
        <v>45514</v>
      </c>
      <c r="AB783" t="s">
        <v>2214</v>
      </c>
      <c r="AC783" t="s">
        <v>2209</v>
      </c>
      <c r="AD783" t="s">
        <v>2216</v>
      </c>
      <c r="AE783" t="s">
        <v>2161</v>
      </c>
      <c r="AG783" t="s">
        <v>2220</v>
      </c>
      <c r="AH783">
        <v>40</v>
      </c>
      <c r="AI783">
        <v>53</v>
      </c>
      <c r="AJ783">
        <v>13</v>
      </c>
      <c r="AK783">
        <v>6</v>
      </c>
      <c r="AL783" t="s">
        <v>2223</v>
      </c>
      <c r="AM783">
        <v>0</v>
      </c>
      <c r="AN783" t="s">
        <v>2177</v>
      </c>
      <c r="AO783" t="s">
        <v>2176</v>
      </c>
      <c r="AP783" t="s">
        <v>2176</v>
      </c>
      <c r="AQ783">
        <v>39.330000000000013</v>
      </c>
      <c r="AR783">
        <v>1</v>
      </c>
      <c r="AS783">
        <v>2</v>
      </c>
      <c r="AT783">
        <v>1</v>
      </c>
      <c r="AU783">
        <v>1</v>
      </c>
      <c r="AV783">
        <v>1.333333333333333</v>
      </c>
      <c r="AW783">
        <v>4.3</v>
      </c>
      <c r="AY783">
        <v>4.3</v>
      </c>
      <c r="AZ783">
        <v>2</v>
      </c>
      <c r="BA783">
        <v>1</v>
      </c>
      <c r="BB783">
        <v>36</v>
      </c>
      <c r="BC783">
        <v>25</v>
      </c>
      <c r="BD783">
        <v>31.92</v>
      </c>
      <c r="BE783">
        <v>149</v>
      </c>
      <c r="BF783">
        <v>88.7</v>
      </c>
      <c r="BG783">
        <v>36</v>
      </c>
      <c r="BH783">
        <v>25</v>
      </c>
      <c r="BI783">
        <v>31.92</v>
      </c>
      <c r="BJ783">
        <v>149</v>
      </c>
      <c r="BK783">
        <v>88.7</v>
      </c>
      <c r="BL783">
        <v>149</v>
      </c>
      <c r="BM783">
        <v>3.9653999999999998</v>
      </c>
    </row>
    <row r="784" spans="1:65" x14ac:dyDescent="0.25">
      <c r="A784" t="s">
        <v>847</v>
      </c>
      <c r="B784" t="s">
        <v>1826</v>
      </c>
      <c r="C784" t="s">
        <v>2157</v>
      </c>
      <c r="D784" s="1">
        <v>45521</v>
      </c>
      <c r="E784" s="1">
        <v>45553</v>
      </c>
      <c r="F784" s="1">
        <v>45612</v>
      </c>
      <c r="G784" t="s">
        <v>2165</v>
      </c>
      <c r="I784" t="s">
        <v>2176</v>
      </c>
      <c r="J784">
        <v>14265</v>
      </c>
      <c r="K784">
        <v>427</v>
      </c>
      <c r="L784">
        <v>3.4</v>
      </c>
      <c r="M784">
        <v>7</v>
      </c>
      <c r="N784">
        <v>2</v>
      </c>
      <c r="O784">
        <v>4662</v>
      </c>
      <c r="P784" t="s">
        <v>2176</v>
      </c>
      <c r="Q784">
        <v>7</v>
      </c>
      <c r="R784">
        <v>9</v>
      </c>
      <c r="S784">
        <v>18</v>
      </c>
      <c r="T784">
        <v>419</v>
      </c>
      <c r="U784" t="s">
        <v>2165</v>
      </c>
      <c r="W784" t="s">
        <v>2208</v>
      </c>
      <c r="X784" t="s">
        <v>2210</v>
      </c>
      <c r="Y784" t="s">
        <v>2212</v>
      </c>
      <c r="Z784" s="1">
        <v>45587</v>
      </c>
      <c r="AA784" s="1">
        <v>45602</v>
      </c>
      <c r="AB784" t="s">
        <v>2214</v>
      </c>
      <c r="AC784" t="s">
        <v>2209</v>
      </c>
      <c r="AD784" t="s">
        <v>2216</v>
      </c>
      <c r="AE784" t="s">
        <v>2165</v>
      </c>
      <c r="AG784" t="s">
        <v>2220</v>
      </c>
      <c r="AH784">
        <v>34</v>
      </c>
      <c r="AI784">
        <v>49</v>
      </c>
      <c r="AJ784">
        <v>15</v>
      </c>
      <c r="AK784">
        <v>9</v>
      </c>
      <c r="AL784" t="s">
        <v>2234</v>
      </c>
      <c r="AM784">
        <v>0</v>
      </c>
      <c r="AN784" t="s">
        <v>2176</v>
      </c>
      <c r="AO784" t="s">
        <v>2176</v>
      </c>
      <c r="AP784" t="s">
        <v>2176</v>
      </c>
      <c r="AQ784">
        <v>23.8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4.5999999999999996</v>
      </c>
      <c r="AY784">
        <v>4.5999999999999996</v>
      </c>
      <c r="AZ784">
        <v>3</v>
      </c>
      <c r="BA784">
        <v>1</v>
      </c>
      <c r="BB784">
        <v>45</v>
      </c>
      <c r="BC784">
        <v>26</v>
      </c>
      <c r="BD784">
        <v>39.85</v>
      </c>
      <c r="BE784">
        <v>196</v>
      </c>
      <c r="BF784">
        <v>88.6</v>
      </c>
      <c r="BG784">
        <v>45</v>
      </c>
      <c r="BH784">
        <v>26</v>
      </c>
      <c r="BI784">
        <v>39.85</v>
      </c>
      <c r="BJ784">
        <v>196</v>
      </c>
      <c r="BK784">
        <v>88.6</v>
      </c>
      <c r="BL784">
        <v>196</v>
      </c>
      <c r="BM784">
        <v>2.7987000000000002</v>
      </c>
    </row>
    <row r="785" spans="1:65" x14ac:dyDescent="0.25">
      <c r="A785" t="s">
        <v>848</v>
      </c>
      <c r="B785" t="s">
        <v>1827</v>
      </c>
      <c r="C785" t="s">
        <v>2159</v>
      </c>
      <c r="D785" s="1">
        <v>45448</v>
      </c>
      <c r="E785" s="1">
        <v>45485</v>
      </c>
      <c r="F785" s="1">
        <v>45547</v>
      </c>
      <c r="G785" t="s">
        <v>2165</v>
      </c>
      <c r="I785" t="s">
        <v>2174</v>
      </c>
      <c r="J785">
        <v>5983</v>
      </c>
      <c r="K785">
        <v>179</v>
      </c>
      <c r="L785">
        <v>7.4</v>
      </c>
      <c r="M785">
        <v>2.6</v>
      </c>
      <c r="N785">
        <v>2</v>
      </c>
      <c r="O785">
        <v>5174</v>
      </c>
      <c r="P785" t="s">
        <v>2176</v>
      </c>
      <c r="Q785">
        <v>3</v>
      </c>
      <c r="R785">
        <v>4</v>
      </c>
      <c r="S785">
        <v>6</v>
      </c>
      <c r="T785">
        <v>460</v>
      </c>
      <c r="U785" t="s">
        <v>2165</v>
      </c>
      <c r="W785" t="s">
        <v>2208</v>
      </c>
      <c r="X785" t="s">
        <v>2210</v>
      </c>
      <c r="Y785" t="s">
        <v>2212</v>
      </c>
      <c r="Z785" s="1">
        <v>45498</v>
      </c>
      <c r="AA785" s="1">
        <v>45519</v>
      </c>
      <c r="AB785" t="s">
        <v>2214</v>
      </c>
      <c r="AC785" t="s">
        <v>2209</v>
      </c>
      <c r="AD785" t="s">
        <v>2216</v>
      </c>
      <c r="AE785" t="s">
        <v>2165</v>
      </c>
      <c r="AG785" t="s">
        <v>2220</v>
      </c>
      <c r="AH785">
        <v>13</v>
      </c>
      <c r="AI785">
        <v>34</v>
      </c>
      <c r="AJ785">
        <v>21</v>
      </c>
      <c r="AK785">
        <v>7</v>
      </c>
      <c r="AL785" t="s">
        <v>2226</v>
      </c>
      <c r="AM785">
        <v>0</v>
      </c>
      <c r="AN785" t="s">
        <v>2176</v>
      </c>
      <c r="AO785" t="s">
        <v>2176</v>
      </c>
      <c r="AP785" t="s">
        <v>2176</v>
      </c>
      <c r="AQ785">
        <v>19.239999999999998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4.5999999999999996</v>
      </c>
      <c r="AY785">
        <v>4.5999999999999996</v>
      </c>
      <c r="AZ785">
        <v>0</v>
      </c>
      <c r="BA785">
        <v>0</v>
      </c>
      <c r="BB785">
        <v>38</v>
      </c>
      <c r="BC785">
        <v>27</v>
      </c>
      <c r="BD785">
        <v>34</v>
      </c>
      <c r="BE785">
        <v>174</v>
      </c>
      <c r="BF785">
        <v>89.5</v>
      </c>
      <c r="BG785">
        <v>38</v>
      </c>
      <c r="BH785">
        <v>27</v>
      </c>
      <c r="BI785">
        <v>34</v>
      </c>
      <c r="BJ785">
        <v>174</v>
      </c>
      <c r="BK785">
        <v>89.5</v>
      </c>
      <c r="BL785">
        <v>174</v>
      </c>
      <c r="BM785">
        <v>1.2732000000000001</v>
      </c>
    </row>
    <row r="786" spans="1:65" x14ac:dyDescent="0.25">
      <c r="A786" t="s">
        <v>849</v>
      </c>
      <c r="B786" t="s">
        <v>1828</v>
      </c>
      <c r="C786" t="s">
        <v>2160</v>
      </c>
      <c r="D786" s="1">
        <v>45410</v>
      </c>
      <c r="E786" s="1">
        <v>45450</v>
      </c>
      <c r="F786" s="1">
        <v>45525</v>
      </c>
      <c r="G786" t="s">
        <v>2161</v>
      </c>
      <c r="I786" t="s">
        <v>2176</v>
      </c>
      <c r="J786">
        <v>21374</v>
      </c>
      <c r="K786">
        <v>641</v>
      </c>
      <c r="L786">
        <v>7.9</v>
      </c>
      <c r="M786">
        <v>2.7</v>
      </c>
      <c r="N786">
        <v>1</v>
      </c>
      <c r="O786">
        <v>6069</v>
      </c>
      <c r="P786" t="s">
        <v>2176</v>
      </c>
      <c r="Q786">
        <v>11</v>
      </c>
      <c r="R786">
        <v>14</v>
      </c>
      <c r="S786">
        <v>17</v>
      </c>
      <c r="T786">
        <v>508</v>
      </c>
      <c r="U786" t="s">
        <v>2161</v>
      </c>
      <c r="W786" t="s">
        <v>2208</v>
      </c>
      <c r="X786" t="s">
        <v>2210</v>
      </c>
      <c r="Y786" t="s">
        <v>2212</v>
      </c>
      <c r="Z786" s="1">
        <v>45492</v>
      </c>
      <c r="AA786" s="1">
        <v>45513</v>
      </c>
      <c r="AB786" t="s">
        <v>2214</v>
      </c>
      <c r="AC786" t="s">
        <v>2209</v>
      </c>
      <c r="AD786" t="s">
        <v>2216</v>
      </c>
      <c r="AE786" t="s">
        <v>2161</v>
      </c>
      <c r="AG786" t="s">
        <v>2220</v>
      </c>
      <c r="AH786">
        <v>42</v>
      </c>
      <c r="AI786">
        <v>63</v>
      </c>
      <c r="AJ786">
        <v>21</v>
      </c>
      <c r="AK786">
        <v>6</v>
      </c>
      <c r="AL786" t="s">
        <v>2223</v>
      </c>
      <c r="AM786">
        <v>0</v>
      </c>
      <c r="AN786" t="s">
        <v>2176</v>
      </c>
      <c r="AO786" t="s">
        <v>2176</v>
      </c>
      <c r="AP786" t="s">
        <v>2176</v>
      </c>
      <c r="AQ786">
        <v>21.33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4.3</v>
      </c>
      <c r="AY786">
        <v>4.3</v>
      </c>
      <c r="AZ786">
        <v>1</v>
      </c>
      <c r="BA786">
        <v>1</v>
      </c>
      <c r="BB786">
        <v>36</v>
      </c>
      <c r="BC786">
        <v>25</v>
      </c>
      <c r="BD786">
        <v>31.92</v>
      </c>
      <c r="BE786">
        <v>149</v>
      </c>
      <c r="BF786">
        <v>88.7</v>
      </c>
      <c r="BG786">
        <v>36</v>
      </c>
      <c r="BH786">
        <v>25</v>
      </c>
      <c r="BI786">
        <v>31.92</v>
      </c>
      <c r="BJ786">
        <v>149</v>
      </c>
      <c r="BK786">
        <v>88.7</v>
      </c>
      <c r="BL786">
        <v>149</v>
      </c>
      <c r="BM786">
        <v>5.7363999999999997</v>
      </c>
    </row>
    <row r="787" spans="1:65" x14ac:dyDescent="0.25">
      <c r="A787" t="s">
        <v>850</v>
      </c>
      <c r="B787" t="s">
        <v>1829</v>
      </c>
      <c r="C787" t="s">
        <v>2159</v>
      </c>
      <c r="D787" s="1">
        <v>45412</v>
      </c>
      <c r="E787" s="1">
        <v>45461</v>
      </c>
      <c r="F787" s="1">
        <v>45544</v>
      </c>
      <c r="G787" t="s">
        <v>2161</v>
      </c>
      <c r="I787" t="s">
        <v>2176</v>
      </c>
      <c r="J787">
        <v>22429</v>
      </c>
      <c r="K787">
        <v>672</v>
      </c>
      <c r="L787">
        <v>2</v>
      </c>
      <c r="M787">
        <v>2.9</v>
      </c>
      <c r="N787">
        <v>2</v>
      </c>
      <c r="O787">
        <v>1596</v>
      </c>
      <c r="P787" t="s">
        <v>2176</v>
      </c>
      <c r="Q787">
        <v>13</v>
      </c>
      <c r="R787">
        <v>18</v>
      </c>
      <c r="S787">
        <v>16</v>
      </c>
      <c r="T787">
        <v>477</v>
      </c>
      <c r="U787" t="s">
        <v>2161</v>
      </c>
      <c r="W787" t="s">
        <v>2208</v>
      </c>
      <c r="X787" t="s">
        <v>2210</v>
      </c>
      <c r="Y787" t="s">
        <v>2212</v>
      </c>
      <c r="Z787" s="1">
        <v>45508</v>
      </c>
      <c r="AA787" s="1">
        <v>45527</v>
      </c>
      <c r="AB787" t="s">
        <v>2214</v>
      </c>
      <c r="AC787" t="s">
        <v>2209</v>
      </c>
      <c r="AD787" t="s">
        <v>2216</v>
      </c>
      <c r="AE787" t="s">
        <v>2161</v>
      </c>
      <c r="AG787" t="s">
        <v>2220</v>
      </c>
      <c r="AH787">
        <v>47</v>
      </c>
      <c r="AI787">
        <v>66</v>
      </c>
      <c r="AJ787">
        <v>19</v>
      </c>
      <c r="AK787">
        <v>6</v>
      </c>
      <c r="AL787" t="s">
        <v>2223</v>
      </c>
      <c r="AM787">
        <v>0</v>
      </c>
      <c r="AN787" t="s">
        <v>2176</v>
      </c>
      <c r="AO787" t="s">
        <v>2176</v>
      </c>
      <c r="AP787" t="s">
        <v>2176</v>
      </c>
      <c r="AQ787">
        <v>5.8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4.3</v>
      </c>
      <c r="AY787">
        <v>4.3</v>
      </c>
      <c r="AZ787">
        <v>0</v>
      </c>
      <c r="BA787">
        <v>1</v>
      </c>
      <c r="BB787">
        <v>36</v>
      </c>
      <c r="BC787">
        <v>25</v>
      </c>
      <c r="BD787">
        <v>31.92</v>
      </c>
      <c r="BE787">
        <v>149</v>
      </c>
      <c r="BF787">
        <v>88.7</v>
      </c>
      <c r="BG787">
        <v>36</v>
      </c>
      <c r="BH787">
        <v>25</v>
      </c>
      <c r="BI787">
        <v>31.92</v>
      </c>
      <c r="BJ787">
        <v>149</v>
      </c>
      <c r="BK787">
        <v>88.7</v>
      </c>
      <c r="BL787">
        <v>149</v>
      </c>
      <c r="BM787">
        <v>6.0195999999999996</v>
      </c>
    </row>
    <row r="788" spans="1:65" x14ac:dyDescent="0.25">
      <c r="A788" t="s">
        <v>851</v>
      </c>
      <c r="B788" t="s">
        <v>1830</v>
      </c>
      <c r="C788" t="s">
        <v>2160</v>
      </c>
      <c r="D788" s="1">
        <v>45257</v>
      </c>
      <c r="E788" s="1">
        <v>45298</v>
      </c>
      <c r="F788" s="1">
        <v>45392</v>
      </c>
      <c r="G788" t="s">
        <v>2166</v>
      </c>
      <c r="I788" t="s">
        <v>2176</v>
      </c>
      <c r="J788">
        <v>21344</v>
      </c>
      <c r="K788">
        <v>640</v>
      </c>
      <c r="L788">
        <v>1.4</v>
      </c>
      <c r="M788">
        <v>2.4</v>
      </c>
      <c r="N788">
        <v>2</v>
      </c>
      <c r="O788">
        <v>1264</v>
      </c>
      <c r="P788" t="s">
        <v>2176</v>
      </c>
      <c r="Q788">
        <v>16</v>
      </c>
      <c r="R788">
        <v>23</v>
      </c>
      <c r="S788">
        <v>17</v>
      </c>
      <c r="T788">
        <v>381</v>
      </c>
      <c r="U788" t="s">
        <v>2166</v>
      </c>
      <c r="W788" t="s">
        <v>2208</v>
      </c>
      <c r="X788" t="s">
        <v>2210</v>
      </c>
      <c r="Y788" t="s">
        <v>2212</v>
      </c>
      <c r="Z788" s="1">
        <v>45354</v>
      </c>
      <c r="AA788" s="1">
        <v>45370</v>
      </c>
      <c r="AB788" t="s">
        <v>2214</v>
      </c>
      <c r="AC788" t="s">
        <v>2209</v>
      </c>
      <c r="AD788" t="s">
        <v>2216</v>
      </c>
      <c r="AE788" t="s">
        <v>2166</v>
      </c>
      <c r="AG788" t="s">
        <v>2220</v>
      </c>
      <c r="AH788">
        <v>56</v>
      </c>
      <c r="AI788">
        <v>72</v>
      </c>
      <c r="AJ788">
        <v>16</v>
      </c>
      <c r="AK788">
        <v>1</v>
      </c>
      <c r="AL788" t="s">
        <v>2233</v>
      </c>
      <c r="AM788">
        <v>0</v>
      </c>
      <c r="AN788" t="s">
        <v>2176</v>
      </c>
      <c r="AO788" t="s">
        <v>2176</v>
      </c>
      <c r="AP788" t="s">
        <v>2176</v>
      </c>
      <c r="AQ788">
        <v>3.36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4.8</v>
      </c>
      <c r="AY788">
        <v>4.8</v>
      </c>
      <c r="AZ788">
        <v>1</v>
      </c>
      <c r="BA788">
        <v>1</v>
      </c>
      <c r="BB788">
        <v>40</v>
      </c>
      <c r="BC788">
        <v>27</v>
      </c>
      <c r="BD788">
        <v>35.07</v>
      </c>
      <c r="BE788">
        <v>181</v>
      </c>
      <c r="BF788">
        <v>87.7</v>
      </c>
      <c r="BG788">
        <v>40</v>
      </c>
      <c r="BH788">
        <v>27</v>
      </c>
      <c r="BI788">
        <v>35.07</v>
      </c>
      <c r="BJ788">
        <v>181</v>
      </c>
      <c r="BK788">
        <v>87.7</v>
      </c>
      <c r="BL788">
        <v>181</v>
      </c>
      <c r="BM788">
        <v>4.3666</v>
      </c>
    </row>
    <row r="789" spans="1:65" x14ac:dyDescent="0.25">
      <c r="A789" t="s">
        <v>852</v>
      </c>
      <c r="B789" t="s">
        <v>1831</v>
      </c>
      <c r="C789" t="s">
        <v>2160</v>
      </c>
      <c r="D789" s="1">
        <v>45437</v>
      </c>
      <c r="E789" s="1">
        <v>45488</v>
      </c>
      <c r="F789" s="1">
        <v>45554</v>
      </c>
      <c r="G789" t="s">
        <v>2165</v>
      </c>
      <c r="I789" t="s">
        <v>2174</v>
      </c>
      <c r="J789">
        <v>17444</v>
      </c>
      <c r="K789">
        <v>523</v>
      </c>
      <c r="L789">
        <v>7.5</v>
      </c>
      <c r="M789">
        <v>4</v>
      </c>
      <c r="N789">
        <v>2</v>
      </c>
      <c r="O789">
        <v>4331</v>
      </c>
      <c r="P789" t="s">
        <v>2176</v>
      </c>
      <c r="Q789">
        <v>12</v>
      </c>
      <c r="R789">
        <v>14</v>
      </c>
      <c r="S789">
        <v>14</v>
      </c>
      <c r="T789">
        <v>436</v>
      </c>
      <c r="U789" t="s">
        <v>2165</v>
      </c>
      <c r="W789" t="s">
        <v>2208</v>
      </c>
      <c r="X789" t="s">
        <v>2210</v>
      </c>
      <c r="Y789" t="s">
        <v>2212</v>
      </c>
      <c r="Z789" s="1">
        <v>45528</v>
      </c>
      <c r="AA789" s="1">
        <v>45542</v>
      </c>
      <c r="AB789" t="s">
        <v>2214</v>
      </c>
      <c r="AC789" t="s">
        <v>2209</v>
      </c>
      <c r="AD789" t="s">
        <v>2216</v>
      </c>
      <c r="AE789" t="s">
        <v>2165</v>
      </c>
      <c r="AG789" t="s">
        <v>2220</v>
      </c>
      <c r="AH789">
        <v>40</v>
      </c>
      <c r="AI789">
        <v>54</v>
      </c>
      <c r="AJ789">
        <v>14</v>
      </c>
      <c r="AK789">
        <v>7</v>
      </c>
      <c r="AL789" t="s">
        <v>2226</v>
      </c>
      <c r="AM789">
        <v>0</v>
      </c>
      <c r="AN789" t="s">
        <v>2176</v>
      </c>
      <c r="AO789" t="s">
        <v>2176</v>
      </c>
      <c r="AP789" t="s">
        <v>2176</v>
      </c>
      <c r="AQ789">
        <v>30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4.5999999999999996</v>
      </c>
      <c r="AY789">
        <v>4.5999999999999996</v>
      </c>
      <c r="AZ789">
        <v>1</v>
      </c>
      <c r="BA789">
        <v>0</v>
      </c>
      <c r="BB789">
        <v>38</v>
      </c>
      <c r="BC789">
        <v>27</v>
      </c>
      <c r="BD789">
        <v>34</v>
      </c>
      <c r="BE789">
        <v>174</v>
      </c>
      <c r="BF789">
        <v>89.5</v>
      </c>
      <c r="BG789">
        <v>38</v>
      </c>
      <c r="BH789">
        <v>27</v>
      </c>
      <c r="BI789">
        <v>34</v>
      </c>
      <c r="BJ789">
        <v>174</v>
      </c>
      <c r="BK789">
        <v>89.5</v>
      </c>
      <c r="BL789">
        <v>174</v>
      </c>
      <c r="BM789">
        <v>3.7122999999999999</v>
      </c>
    </row>
    <row r="790" spans="1:65" x14ac:dyDescent="0.25">
      <c r="A790" t="s">
        <v>853</v>
      </c>
      <c r="B790" t="s">
        <v>1832</v>
      </c>
      <c r="C790" t="s">
        <v>2159</v>
      </c>
      <c r="D790" s="1">
        <v>45449</v>
      </c>
      <c r="E790" s="1">
        <v>45481</v>
      </c>
      <c r="F790" s="1">
        <v>45560</v>
      </c>
      <c r="G790" t="s">
        <v>2163</v>
      </c>
      <c r="I790" t="s">
        <v>2174</v>
      </c>
      <c r="J790">
        <v>15345</v>
      </c>
      <c r="K790">
        <v>460</v>
      </c>
      <c r="L790">
        <v>2.6</v>
      </c>
      <c r="M790">
        <v>1.4</v>
      </c>
      <c r="N790">
        <v>2</v>
      </c>
      <c r="O790">
        <v>2079</v>
      </c>
      <c r="P790" t="s">
        <v>2176</v>
      </c>
      <c r="Q790">
        <v>9</v>
      </c>
      <c r="R790">
        <v>10</v>
      </c>
      <c r="S790">
        <v>11</v>
      </c>
      <c r="T790">
        <v>511</v>
      </c>
      <c r="U790" t="s">
        <v>2163</v>
      </c>
      <c r="W790" t="s">
        <v>2208</v>
      </c>
      <c r="X790" t="s">
        <v>2210</v>
      </c>
      <c r="Y790" t="s">
        <v>2212</v>
      </c>
      <c r="Z790" s="1">
        <v>45511</v>
      </c>
      <c r="AA790" s="1">
        <v>45524</v>
      </c>
      <c r="AB790" t="s">
        <v>2214</v>
      </c>
      <c r="AC790" t="s">
        <v>2209</v>
      </c>
      <c r="AD790" t="s">
        <v>2216</v>
      </c>
      <c r="AE790" t="s">
        <v>2163</v>
      </c>
      <c r="AG790" t="s">
        <v>2220</v>
      </c>
      <c r="AH790">
        <v>30</v>
      </c>
      <c r="AI790">
        <v>43</v>
      </c>
      <c r="AJ790">
        <v>13</v>
      </c>
      <c r="AK790">
        <v>7</v>
      </c>
      <c r="AL790" t="s">
        <v>2226</v>
      </c>
      <c r="AM790">
        <v>0</v>
      </c>
      <c r="AN790" t="s">
        <v>2176</v>
      </c>
      <c r="AO790" t="s">
        <v>2176</v>
      </c>
      <c r="AP790" t="s">
        <v>2176</v>
      </c>
      <c r="AQ790">
        <v>3.64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4.4000000000000004</v>
      </c>
      <c r="AY790">
        <v>4.4000000000000004</v>
      </c>
      <c r="AZ790">
        <v>0</v>
      </c>
      <c r="BA790">
        <v>0</v>
      </c>
      <c r="BB790">
        <v>33</v>
      </c>
      <c r="BC790">
        <v>27</v>
      </c>
      <c r="BD790">
        <v>28.89</v>
      </c>
      <c r="BE790">
        <v>145</v>
      </c>
      <c r="BF790">
        <v>87.5</v>
      </c>
      <c r="BG790">
        <v>33</v>
      </c>
      <c r="BH790">
        <v>27</v>
      </c>
      <c r="BI790">
        <v>28.89</v>
      </c>
      <c r="BJ790">
        <v>145</v>
      </c>
      <c r="BK790">
        <v>87.5</v>
      </c>
      <c r="BL790">
        <v>145</v>
      </c>
      <c r="BM790">
        <v>3.9184999999999999</v>
      </c>
    </row>
    <row r="791" spans="1:65" x14ac:dyDescent="0.25">
      <c r="A791" t="s">
        <v>854</v>
      </c>
      <c r="B791" t="s">
        <v>1833</v>
      </c>
      <c r="C791" t="s">
        <v>2159</v>
      </c>
      <c r="D791" s="1">
        <v>45462</v>
      </c>
      <c r="E791" s="1">
        <v>45488</v>
      </c>
      <c r="F791" s="1">
        <v>45588</v>
      </c>
      <c r="G791" t="s">
        <v>2161</v>
      </c>
      <c r="I791" t="s">
        <v>2174</v>
      </c>
      <c r="J791">
        <v>21678</v>
      </c>
      <c r="K791">
        <v>650</v>
      </c>
      <c r="L791">
        <v>1.2</v>
      </c>
      <c r="M791">
        <v>4.7</v>
      </c>
      <c r="N791">
        <v>1</v>
      </c>
      <c r="O791">
        <v>3118</v>
      </c>
      <c r="P791" t="s">
        <v>2176</v>
      </c>
      <c r="Q791">
        <v>16</v>
      </c>
      <c r="R791">
        <v>22</v>
      </c>
      <c r="S791">
        <v>24</v>
      </c>
      <c r="T791">
        <v>349</v>
      </c>
      <c r="U791" t="s">
        <v>2161</v>
      </c>
      <c r="W791" t="s">
        <v>2208</v>
      </c>
      <c r="X791" t="s">
        <v>2210</v>
      </c>
      <c r="Y791" t="s">
        <v>2212</v>
      </c>
      <c r="Z791" s="1">
        <v>45550</v>
      </c>
      <c r="AA791" s="1">
        <v>45570</v>
      </c>
      <c r="AB791" t="s">
        <v>2214</v>
      </c>
      <c r="AC791" t="s">
        <v>2209</v>
      </c>
      <c r="AD791" t="s">
        <v>2216</v>
      </c>
      <c r="AE791" t="s">
        <v>2161</v>
      </c>
      <c r="AG791" t="s">
        <v>2220</v>
      </c>
      <c r="AH791">
        <v>62</v>
      </c>
      <c r="AI791">
        <v>82</v>
      </c>
      <c r="AJ791">
        <v>20</v>
      </c>
      <c r="AK791">
        <v>7</v>
      </c>
      <c r="AL791" t="s">
        <v>2226</v>
      </c>
      <c r="AM791">
        <v>0</v>
      </c>
      <c r="AN791" t="s">
        <v>2176</v>
      </c>
      <c r="AO791" t="s">
        <v>2176</v>
      </c>
      <c r="AP791" t="s">
        <v>2176</v>
      </c>
      <c r="AQ791">
        <v>5.64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4.3</v>
      </c>
      <c r="AY791">
        <v>4.3</v>
      </c>
      <c r="AZ791">
        <v>0</v>
      </c>
      <c r="BA791">
        <v>0</v>
      </c>
      <c r="BB791">
        <v>28</v>
      </c>
      <c r="BC791">
        <v>27</v>
      </c>
      <c r="BD791">
        <v>25.26</v>
      </c>
      <c r="BE791">
        <v>129</v>
      </c>
      <c r="BF791">
        <v>90.2</v>
      </c>
      <c r="BG791">
        <v>28</v>
      </c>
      <c r="BH791">
        <v>27</v>
      </c>
      <c r="BI791">
        <v>25.26</v>
      </c>
      <c r="BJ791">
        <v>129</v>
      </c>
      <c r="BK791">
        <v>90.2</v>
      </c>
      <c r="BL791">
        <v>129</v>
      </c>
      <c r="BM791">
        <v>6.2222</v>
      </c>
    </row>
    <row r="792" spans="1:65" x14ac:dyDescent="0.25">
      <c r="A792" t="s">
        <v>855</v>
      </c>
      <c r="B792" t="s">
        <v>1834</v>
      </c>
      <c r="C792" t="s">
        <v>2157</v>
      </c>
      <c r="D792" s="1">
        <v>45530</v>
      </c>
      <c r="E792" s="1">
        <v>45569</v>
      </c>
      <c r="F792" s="1">
        <v>45632</v>
      </c>
      <c r="G792" t="s">
        <v>2162</v>
      </c>
      <c r="I792" t="s">
        <v>2174</v>
      </c>
      <c r="J792">
        <v>9565</v>
      </c>
      <c r="K792">
        <v>286</v>
      </c>
      <c r="L792">
        <v>1.7</v>
      </c>
      <c r="M792">
        <v>5.9</v>
      </c>
      <c r="N792">
        <v>1</v>
      </c>
      <c r="O792">
        <v>2867</v>
      </c>
      <c r="P792" t="s">
        <v>2176</v>
      </c>
      <c r="Q792">
        <v>6</v>
      </c>
      <c r="R792">
        <v>8</v>
      </c>
      <c r="S792">
        <v>12</v>
      </c>
      <c r="T792">
        <v>367</v>
      </c>
      <c r="U792" t="s">
        <v>2162</v>
      </c>
      <c r="W792" t="s">
        <v>2208</v>
      </c>
      <c r="X792" t="s">
        <v>2210</v>
      </c>
      <c r="Y792" t="s">
        <v>2212</v>
      </c>
      <c r="Z792" s="1">
        <v>45595</v>
      </c>
      <c r="AA792" s="1">
        <v>45610</v>
      </c>
      <c r="AB792" t="s">
        <v>2214</v>
      </c>
      <c r="AC792" t="s">
        <v>2209</v>
      </c>
      <c r="AD792" t="s">
        <v>2216</v>
      </c>
      <c r="AE792" t="s">
        <v>2162</v>
      </c>
      <c r="AG792" t="s">
        <v>2220</v>
      </c>
      <c r="AH792">
        <v>26</v>
      </c>
      <c r="AI792">
        <v>41</v>
      </c>
      <c r="AJ792">
        <v>15</v>
      </c>
      <c r="AK792">
        <v>10</v>
      </c>
      <c r="AL792" t="s">
        <v>2230</v>
      </c>
      <c r="AM792">
        <v>1</v>
      </c>
      <c r="AN792" t="s">
        <v>2176</v>
      </c>
      <c r="AO792" t="s">
        <v>2176</v>
      </c>
      <c r="AP792" t="s">
        <v>2176</v>
      </c>
      <c r="AQ792">
        <v>10.029999999999999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4.2</v>
      </c>
      <c r="AY792">
        <v>4.2</v>
      </c>
      <c r="AZ792">
        <v>3</v>
      </c>
      <c r="BA792">
        <v>0</v>
      </c>
      <c r="BB792">
        <v>25</v>
      </c>
      <c r="BC792">
        <v>27</v>
      </c>
      <c r="BD792">
        <v>21.89</v>
      </c>
      <c r="BE792">
        <v>108</v>
      </c>
      <c r="BF792">
        <v>87.6</v>
      </c>
      <c r="BG792">
        <v>25</v>
      </c>
      <c r="BH792">
        <v>27</v>
      </c>
      <c r="BI792">
        <v>21.89</v>
      </c>
      <c r="BJ792">
        <v>108</v>
      </c>
      <c r="BK792">
        <v>87.6</v>
      </c>
      <c r="BL792">
        <v>108</v>
      </c>
      <c r="BM792">
        <v>3.2791000000000001</v>
      </c>
    </row>
    <row r="793" spans="1:65" x14ac:dyDescent="0.25">
      <c r="A793" t="s">
        <v>856</v>
      </c>
      <c r="B793" t="s">
        <v>1835</v>
      </c>
      <c r="C793" t="s">
        <v>2157</v>
      </c>
      <c r="D793" s="1">
        <v>45279</v>
      </c>
      <c r="E793" s="1">
        <v>45333</v>
      </c>
      <c r="F793" s="1">
        <v>45424</v>
      </c>
      <c r="G793" t="s">
        <v>2164</v>
      </c>
      <c r="I793" t="s">
        <v>2174</v>
      </c>
      <c r="J793">
        <v>17197</v>
      </c>
      <c r="K793">
        <v>515</v>
      </c>
      <c r="L793">
        <v>4.8</v>
      </c>
      <c r="M793">
        <v>2.2999999999999998</v>
      </c>
      <c r="N793">
        <v>1</v>
      </c>
      <c r="O793">
        <v>4768</v>
      </c>
      <c r="P793" t="s">
        <v>2176</v>
      </c>
      <c r="Q793">
        <v>13</v>
      </c>
      <c r="R793">
        <v>19</v>
      </c>
      <c r="S793">
        <v>16</v>
      </c>
      <c r="T793">
        <v>358</v>
      </c>
      <c r="U793" t="s">
        <v>2164</v>
      </c>
      <c r="W793" t="s">
        <v>2208</v>
      </c>
      <c r="X793" t="s">
        <v>2210</v>
      </c>
      <c r="Y793" t="s">
        <v>2212</v>
      </c>
      <c r="Z793" s="1">
        <v>45381</v>
      </c>
      <c r="AA793" s="1">
        <v>45400</v>
      </c>
      <c r="AB793" t="s">
        <v>2214</v>
      </c>
      <c r="AC793" t="s">
        <v>2209</v>
      </c>
      <c r="AD793" t="s">
        <v>2216</v>
      </c>
      <c r="AE793" t="s">
        <v>2164</v>
      </c>
      <c r="AG793" t="s">
        <v>2220</v>
      </c>
      <c r="AH793">
        <v>48</v>
      </c>
      <c r="AI793">
        <v>67</v>
      </c>
      <c r="AJ793">
        <v>19</v>
      </c>
      <c r="AK793">
        <v>2</v>
      </c>
      <c r="AL793" t="s">
        <v>2228</v>
      </c>
      <c r="AM793">
        <v>0</v>
      </c>
      <c r="AN793" t="s">
        <v>2176</v>
      </c>
      <c r="AO793" t="s">
        <v>2176</v>
      </c>
      <c r="AP793" t="s">
        <v>2176</v>
      </c>
      <c r="AQ793">
        <v>11.04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4.5</v>
      </c>
      <c r="AY793">
        <v>4.5</v>
      </c>
      <c r="AZ793">
        <v>3</v>
      </c>
      <c r="BA793">
        <v>0</v>
      </c>
      <c r="BB793">
        <v>27</v>
      </c>
      <c r="BC793">
        <v>24</v>
      </c>
      <c r="BD793">
        <v>24.04</v>
      </c>
      <c r="BE793">
        <v>106</v>
      </c>
      <c r="BF793">
        <v>89</v>
      </c>
      <c r="BG793">
        <v>27</v>
      </c>
      <c r="BH793">
        <v>24</v>
      </c>
      <c r="BI793">
        <v>24.04</v>
      </c>
      <c r="BJ793">
        <v>106</v>
      </c>
      <c r="BK793">
        <v>89</v>
      </c>
      <c r="BL793">
        <v>106</v>
      </c>
      <c r="BM793">
        <v>6.7572000000000001</v>
      </c>
    </row>
    <row r="794" spans="1:65" x14ac:dyDescent="0.25">
      <c r="A794" t="s">
        <v>857</v>
      </c>
      <c r="B794" t="s">
        <v>1836</v>
      </c>
      <c r="C794" t="s">
        <v>2160</v>
      </c>
      <c r="D794" s="1">
        <v>45361</v>
      </c>
      <c r="E794" s="1">
        <v>45397</v>
      </c>
      <c r="F794" s="1">
        <v>45478</v>
      </c>
      <c r="G794" t="s">
        <v>2162</v>
      </c>
      <c r="I794" t="s">
        <v>2176</v>
      </c>
      <c r="J794">
        <v>18276</v>
      </c>
      <c r="K794">
        <v>548</v>
      </c>
      <c r="L794">
        <v>3.3</v>
      </c>
      <c r="M794">
        <v>1.7</v>
      </c>
      <c r="N794">
        <v>2</v>
      </c>
      <c r="O794">
        <v>3159</v>
      </c>
      <c r="P794" t="s">
        <v>2176</v>
      </c>
      <c r="Q794">
        <v>11</v>
      </c>
      <c r="R794">
        <v>16</v>
      </c>
      <c r="S794">
        <v>16</v>
      </c>
      <c r="T794">
        <v>425</v>
      </c>
      <c r="U794" t="s">
        <v>2162</v>
      </c>
      <c r="W794" t="s">
        <v>2208</v>
      </c>
      <c r="X794" t="s">
        <v>2210</v>
      </c>
      <c r="Y794" t="s">
        <v>2212</v>
      </c>
      <c r="Z794" s="1">
        <v>45440</v>
      </c>
      <c r="AA794" s="1">
        <v>45454</v>
      </c>
      <c r="AB794" t="s">
        <v>2214</v>
      </c>
      <c r="AC794" t="s">
        <v>2209</v>
      </c>
      <c r="AD794" t="s">
        <v>2216</v>
      </c>
      <c r="AE794" t="s">
        <v>2162</v>
      </c>
      <c r="AG794" t="s">
        <v>2220</v>
      </c>
      <c r="AH794">
        <v>43</v>
      </c>
      <c r="AI794">
        <v>57</v>
      </c>
      <c r="AJ794">
        <v>14</v>
      </c>
      <c r="AK794">
        <v>4</v>
      </c>
      <c r="AL794" t="s">
        <v>2225</v>
      </c>
      <c r="AM794">
        <v>0</v>
      </c>
      <c r="AN794" t="s">
        <v>2176</v>
      </c>
      <c r="AO794" t="s">
        <v>2176</v>
      </c>
      <c r="AP794" t="s">
        <v>2176</v>
      </c>
      <c r="AQ794">
        <v>5.6099999999999994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4.2</v>
      </c>
      <c r="AY794">
        <v>4.2</v>
      </c>
      <c r="AZ794">
        <v>1</v>
      </c>
      <c r="BA794">
        <v>1</v>
      </c>
      <c r="BB794">
        <v>25</v>
      </c>
      <c r="BC794">
        <v>26</v>
      </c>
      <c r="BD794">
        <v>21.81</v>
      </c>
      <c r="BE794">
        <v>104</v>
      </c>
      <c r="BF794">
        <v>87.2</v>
      </c>
      <c r="BG794">
        <v>25</v>
      </c>
      <c r="BH794">
        <v>26</v>
      </c>
      <c r="BI794">
        <v>21.81</v>
      </c>
      <c r="BJ794">
        <v>104</v>
      </c>
      <c r="BK794">
        <v>87.2</v>
      </c>
      <c r="BL794">
        <v>104</v>
      </c>
      <c r="BM794">
        <v>6.7564000000000002</v>
      </c>
    </row>
    <row r="795" spans="1:65" x14ac:dyDescent="0.25">
      <c r="A795" t="s">
        <v>858</v>
      </c>
      <c r="B795" t="s">
        <v>1837</v>
      </c>
      <c r="C795" t="s">
        <v>2160</v>
      </c>
      <c r="D795" s="1">
        <v>45305</v>
      </c>
      <c r="E795" s="1">
        <v>45353</v>
      </c>
      <c r="F795" s="1">
        <v>45441</v>
      </c>
      <c r="G795" t="s">
        <v>2162</v>
      </c>
      <c r="I795" t="s">
        <v>2176</v>
      </c>
      <c r="J795">
        <v>18272</v>
      </c>
      <c r="K795">
        <v>548</v>
      </c>
      <c r="L795">
        <v>1.9</v>
      </c>
      <c r="M795">
        <v>1.5</v>
      </c>
      <c r="N795">
        <v>2</v>
      </c>
      <c r="O795">
        <v>2916</v>
      </c>
      <c r="P795" t="s">
        <v>2176</v>
      </c>
      <c r="Q795">
        <v>13</v>
      </c>
      <c r="R795">
        <v>19</v>
      </c>
      <c r="S795">
        <v>14</v>
      </c>
      <c r="T795">
        <v>397</v>
      </c>
      <c r="U795" t="s">
        <v>2162</v>
      </c>
      <c r="W795" t="s">
        <v>2208</v>
      </c>
      <c r="X795" t="s">
        <v>2210</v>
      </c>
      <c r="Y795" t="s">
        <v>2212</v>
      </c>
      <c r="Z795" s="1">
        <v>45399</v>
      </c>
      <c r="AA795" s="1">
        <v>45412</v>
      </c>
      <c r="AB795" t="s">
        <v>2214</v>
      </c>
      <c r="AC795" t="s">
        <v>2209</v>
      </c>
      <c r="AD795" t="s">
        <v>2216</v>
      </c>
      <c r="AE795" t="s">
        <v>2162</v>
      </c>
      <c r="AG795" t="s">
        <v>2220</v>
      </c>
      <c r="AH795">
        <v>46</v>
      </c>
      <c r="AI795">
        <v>59</v>
      </c>
      <c r="AJ795">
        <v>13</v>
      </c>
      <c r="AK795">
        <v>3</v>
      </c>
      <c r="AL795" t="s">
        <v>2227</v>
      </c>
      <c r="AM795">
        <v>0</v>
      </c>
      <c r="AN795" t="s">
        <v>2176</v>
      </c>
      <c r="AO795" t="s">
        <v>2176</v>
      </c>
      <c r="AP795" t="s">
        <v>2176</v>
      </c>
      <c r="AQ795">
        <v>2.85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4.2</v>
      </c>
      <c r="AY795">
        <v>4.2</v>
      </c>
      <c r="AZ795">
        <v>1</v>
      </c>
      <c r="BA795">
        <v>1</v>
      </c>
      <c r="BB795">
        <v>31</v>
      </c>
      <c r="BC795">
        <v>26</v>
      </c>
      <c r="BD795">
        <v>27.27</v>
      </c>
      <c r="BE795">
        <v>130</v>
      </c>
      <c r="BF795">
        <v>88</v>
      </c>
      <c r="BG795">
        <v>31</v>
      </c>
      <c r="BH795">
        <v>26</v>
      </c>
      <c r="BI795">
        <v>27.27</v>
      </c>
      <c r="BJ795">
        <v>130</v>
      </c>
      <c r="BK795">
        <v>88</v>
      </c>
      <c r="BL795">
        <v>130</v>
      </c>
      <c r="BM795">
        <v>5.4043000000000001</v>
      </c>
    </row>
    <row r="796" spans="1:65" x14ac:dyDescent="0.25">
      <c r="A796" t="s">
        <v>859</v>
      </c>
      <c r="B796" t="s">
        <v>1838</v>
      </c>
      <c r="C796" t="s">
        <v>2160</v>
      </c>
      <c r="D796" s="1">
        <v>45505</v>
      </c>
      <c r="E796" s="1">
        <v>45541</v>
      </c>
      <c r="F796" s="1">
        <v>45600</v>
      </c>
      <c r="G796" t="s">
        <v>2161</v>
      </c>
      <c r="I796" t="s">
        <v>2174</v>
      </c>
      <c r="J796">
        <v>11464</v>
      </c>
      <c r="K796">
        <v>343</v>
      </c>
      <c r="L796">
        <v>4.0999999999999996</v>
      </c>
      <c r="M796">
        <v>4.4000000000000004</v>
      </c>
      <c r="N796">
        <v>2</v>
      </c>
      <c r="O796">
        <v>5160</v>
      </c>
      <c r="P796" t="s">
        <v>2176</v>
      </c>
      <c r="Q796">
        <v>8</v>
      </c>
      <c r="R796">
        <v>11</v>
      </c>
      <c r="S796">
        <v>9</v>
      </c>
      <c r="T796">
        <v>409</v>
      </c>
      <c r="U796" t="s">
        <v>2161</v>
      </c>
      <c r="W796" t="s">
        <v>2208</v>
      </c>
      <c r="X796" t="s">
        <v>2210</v>
      </c>
      <c r="Y796" t="s">
        <v>2212</v>
      </c>
      <c r="Z796" s="1">
        <v>45569</v>
      </c>
      <c r="AA796" s="1">
        <v>45585</v>
      </c>
      <c r="AB796" t="s">
        <v>2214</v>
      </c>
      <c r="AC796" t="s">
        <v>2209</v>
      </c>
      <c r="AD796" t="s">
        <v>2216</v>
      </c>
      <c r="AE796" t="s">
        <v>2161</v>
      </c>
      <c r="AG796" t="s">
        <v>2220</v>
      </c>
      <c r="AH796">
        <v>28</v>
      </c>
      <c r="AI796">
        <v>44</v>
      </c>
      <c r="AJ796">
        <v>16</v>
      </c>
      <c r="AK796">
        <v>9</v>
      </c>
      <c r="AL796" t="s">
        <v>2234</v>
      </c>
      <c r="AM796">
        <v>0</v>
      </c>
      <c r="AN796" t="s">
        <v>2176</v>
      </c>
      <c r="AO796" t="s">
        <v>2176</v>
      </c>
      <c r="AP796" t="s">
        <v>2176</v>
      </c>
      <c r="AQ796">
        <v>18.04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4.3</v>
      </c>
      <c r="AY796">
        <v>4.3</v>
      </c>
      <c r="AZ796">
        <v>1</v>
      </c>
      <c r="BA796">
        <v>0</v>
      </c>
      <c r="BB796">
        <v>28</v>
      </c>
      <c r="BC796">
        <v>26</v>
      </c>
      <c r="BD796">
        <v>24.77</v>
      </c>
      <c r="BE796">
        <v>119</v>
      </c>
      <c r="BF796">
        <v>88.5</v>
      </c>
      <c r="BG796">
        <v>28</v>
      </c>
      <c r="BH796">
        <v>26</v>
      </c>
      <c r="BI796">
        <v>24.77</v>
      </c>
      <c r="BJ796">
        <v>119</v>
      </c>
      <c r="BK796">
        <v>88.5</v>
      </c>
      <c r="BL796">
        <v>119</v>
      </c>
      <c r="BM796">
        <v>3.7040000000000002</v>
      </c>
    </row>
    <row r="797" spans="1:65" x14ac:dyDescent="0.25">
      <c r="A797" t="s">
        <v>860</v>
      </c>
      <c r="B797" t="s">
        <v>1839</v>
      </c>
      <c r="C797" t="s">
        <v>2159</v>
      </c>
      <c r="D797" s="1">
        <v>45304</v>
      </c>
      <c r="E797" s="1">
        <v>45333</v>
      </c>
      <c r="F797" s="1">
        <v>45376</v>
      </c>
      <c r="G797" t="s">
        <v>2164</v>
      </c>
      <c r="I797" t="s">
        <v>2174</v>
      </c>
      <c r="J797">
        <v>5534</v>
      </c>
      <c r="K797">
        <v>166</v>
      </c>
      <c r="L797">
        <v>7.7</v>
      </c>
      <c r="M797">
        <v>6.3</v>
      </c>
      <c r="N797">
        <v>1</v>
      </c>
      <c r="O797">
        <v>5703</v>
      </c>
      <c r="P797" t="s">
        <v>2176</v>
      </c>
      <c r="Q797">
        <v>2</v>
      </c>
      <c r="R797">
        <v>2</v>
      </c>
      <c r="S797">
        <v>6</v>
      </c>
      <c r="T797">
        <v>553</v>
      </c>
      <c r="U797" t="s">
        <v>2164</v>
      </c>
      <c r="W797" t="s">
        <v>2208</v>
      </c>
      <c r="X797" t="s">
        <v>2210</v>
      </c>
      <c r="Y797" t="s">
        <v>2212</v>
      </c>
      <c r="Z797" s="1">
        <v>45343</v>
      </c>
      <c r="AA797" s="1">
        <v>45358</v>
      </c>
      <c r="AB797" t="s">
        <v>2214</v>
      </c>
      <c r="AC797" t="s">
        <v>2209</v>
      </c>
      <c r="AD797" t="s">
        <v>2216</v>
      </c>
      <c r="AE797" t="s">
        <v>2164</v>
      </c>
      <c r="AG797" t="s">
        <v>2220</v>
      </c>
      <c r="AH797">
        <v>10</v>
      </c>
      <c r="AI797">
        <v>25</v>
      </c>
      <c r="AJ797">
        <v>15</v>
      </c>
      <c r="AK797">
        <v>2</v>
      </c>
      <c r="AL797" t="s">
        <v>2228</v>
      </c>
      <c r="AM797">
        <v>0</v>
      </c>
      <c r="AN797" t="s">
        <v>2177</v>
      </c>
      <c r="AO797" t="s">
        <v>2176</v>
      </c>
      <c r="AP797" t="s">
        <v>2176</v>
      </c>
      <c r="AQ797">
        <v>48.51</v>
      </c>
      <c r="AR797">
        <v>1</v>
      </c>
      <c r="AS797">
        <v>2</v>
      </c>
      <c r="AT797">
        <v>1</v>
      </c>
      <c r="AU797">
        <v>1</v>
      </c>
      <c r="AV797">
        <v>1.333333333333333</v>
      </c>
      <c r="AW797">
        <v>4.5</v>
      </c>
      <c r="AY797">
        <v>4.5</v>
      </c>
      <c r="AZ797">
        <v>0</v>
      </c>
      <c r="BA797">
        <v>0</v>
      </c>
      <c r="BB797">
        <v>27</v>
      </c>
      <c r="BC797">
        <v>24</v>
      </c>
      <c r="BD797">
        <v>24.04</v>
      </c>
      <c r="BE797">
        <v>106</v>
      </c>
      <c r="BF797">
        <v>89</v>
      </c>
      <c r="BG797">
        <v>27</v>
      </c>
      <c r="BH797">
        <v>24</v>
      </c>
      <c r="BI797">
        <v>24.04</v>
      </c>
      <c r="BJ797">
        <v>106</v>
      </c>
      <c r="BK797">
        <v>89</v>
      </c>
      <c r="BL797">
        <v>106</v>
      </c>
      <c r="BM797">
        <v>2.1745000000000001</v>
      </c>
    </row>
    <row r="798" spans="1:65" x14ac:dyDescent="0.25">
      <c r="A798" t="s">
        <v>861</v>
      </c>
      <c r="B798" t="s">
        <v>1840</v>
      </c>
      <c r="C798" t="s">
        <v>2160</v>
      </c>
      <c r="D798" s="1">
        <v>45433</v>
      </c>
      <c r="E798" s="1">
        <v>45475</v>
      </c>
      <c r="F798" s="1">
        <v>45545</v>
      </c>
      <c r="G798" t="s">
        <v>2161</v>
      </c>
      <c r="I798" t="s">
        <v>2174</v>
      </c>
      <c r="J798">
        <v>22488</v>
      </c>
      <c r="K798">
        <v>674</v>
      </c>
      <c r="L798">
        <v>2.1</v>
      </c>
      <c r="M798">
        <v>4.8</v>
      </c>
      <c r="N798">
        <v>1</v>
      </c>
      <c r="O798">
        <v>1901</v>
      </c>
      <c r="P798" t="s">
        <v>2176</v>
      </c>
      <c r="Q798">
        <v>12</v>
      </c>
      <c r="R798">
        <v>17</v>
      </c>
      <c r="S798">
        <v>21</v>
      </c>
      <c r="T798">
        <v>449</v>
      </c>
      <c r="U798" t="s">
        <v>2161</v>
      </c>
      <c r="W798" t="s">
        <v>2208</v>
      </c>
      <c r="X798" t="s">
        <v>2210</v>
      </c>
      <c r="Y798" t="s">
        <v>2212</v>
      </c>
      <c r="Z798" s="1">
        <v>45525</v>
      </c>
      <c r="AA798" s="1">
        <v>45538</v>
      </c>
      <c r="AB798" t="s">
        <v>2214</v>
      </c>
      <c r="AC798" t="s">
        <v>2209</v>
      </c>
      <c r="AD798" t="s">
        <v>2216</v>
      </c>
      <c r="AE798" t="s">
        <v>2161</v>
      </c>
      <c r="AG798" t="s">
        <v>2220</v>
      </c>
      <c r="AH798">
        <v>50</v>
      </c>
      <c r="AI798">
        <v>63</v>
      </c>
      <c r="AJ798">
        <v>13</v>
      </c>
      <c r="AK798">
        <v>7</v>
      </c>
      <c r="AL798" t="s">
        <v>2226</v>
      </c>
      <c r="AM798">
        <v>0</v>
      </c>
      <c r="AN798" t="s">
        <v>2176</v>
      </c>
      <c r="AO798" t="s">
        <v>2176</v>
      </c>
      <c r="AP798" t="s">
        <v>2176</v>
      </c>
      <c r="AQ798">
        <v>10.08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4.3</v>
      </c>
      <c r="AY798">
        <v>4.3</v>
      </c>
      <c r="AZ798">
        <v>1</v>
      </c>
      <c r="BA798">
        <v>0</v>
      </c>
      <c r="BB798">
        <v>28</v>
      </c>
      <c r="BC798">
        <v>27</v>
      </c>
      <c r="BD798">
        <v>25.26</v>
      </c>
      <c r="BE798">
        <v>129</v>
      </c>
      <c r="BF798">
        <v>90.2</v>
      </c>
      <c r="BG798">
        <v>28</v>
      </c>
      <c r="BH798">
        <v>27</v>
      </c>
      <c r="BI798">
        <v>25.26</v>
      </c>
      <c r="BJ798">
        <v>129</v>
      </c>
      <c r="BK798">
        <v>90.2</v>
      </c>
      <c r="BL798">
        <v>129</v>
      </c>
      <c r="BM798">
        <v>6.4546000000000001</v>
      </c>
    </row>
    <row r="799" spans="1:65" x14ac:dyDescent="0.25">
      <c r="A799" t="s">
        <v>862</v>
      </c>
      <c r="B799" t="s">
        <v>1841</v>
      </c>
      <c r="C799" t="s">
        <v>2160</v>
      </c>
      <c r="D799" s="1">
        <v>45476</v>
      </c>
      <c r="E799" s="1">
        <v>45518</v>
      </c>
      <c r="F799" s="1">
        <v>45573</v>
      </c>
      <c r="G799" t="s">
        <v>2161</v>
      </c>
      <c r="I799" t="s">
        <v>2176</v>
      </c>
      <c r="J799">
        <v>8918</v>
      </c>
      <c r="K799">
        <v>267</v>
      </c>
      <c r="L799">
        <v>7</v>
      </c>
      <c r="M799">
        <v>1.8</v>
      </c>
      <c r="N799">
        <v>1</v>
      </c>
      <c r="O799">
        <v>2590</v>
      </c>
      <c r="P799" t="s">
        <v>2176</v>
      </c>
      <c r="Q799">
        <v>7</v>
      </c>
      <c r="R799">
        <v>9</v>
      </c>
      <c r="S799">
        <v>7</v>
      </c>
      <c r="T799">
        <v>387</v>
      </c>
      <c r="U799" t="s">
        <v>2161</v>
      </c>
      <c r="W799" t="s">
        <v>2208</v>
      </c>
      <c r="X799" t="s">
        <v>2210</v>
      </c>
      <c r="Y799" t="s">
        <v>2212</v>
      </c>
      <c r="Z799" s="1">
        <v>45541</v>
      </c>
      <c r="AA799" s="1">
        <v>45554</v>
      </c>
      <c r="AB799" t="s">
        <v>2214</v>
      </c>
      <c r="AC799" t="s">
        <v>2209</v>
      </c>
      <c r="AD799" t="s">
        <v>2216</v>
      </c>
      <c r="AE799" t="s">
        <v>2161</v>
      </c>
      <c r="AG799" t="s">
        <v>2220</v>
      </c>
      <c r="AH799">
        <v>23</v>
      </c>
      <c r="AI799">
        <v>36</v>
      </c>
      <c r="AJ799">
        <v>13</v>
      </c>
      <c r="AK799">
        <v>8</v>
      </c>
      <c r="AL799" t="s">
        <v>2232</v>
      </c>
      <c r="AM799">
        <v>0</v>
      </c>
      <c r="AN799" t="s">
        <v>2176</v>
      </c>
      <c r="AO799" t="s">
        <v>2176</v>
      </c>
      <c r="AP799" t="s">
        <v>2176</v>
      </c>
      <c r="AQ799">
        <v>12.6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4.3</v>
      </c>
      <c r="AY799">
        <v>4.3</v>
      </c>
      <c r="AZ799">
        <v>1</v>
      </c>
      <c r="BA799">
        <v>1</v>
      </c>
      <c r="BB799">
        <v>36</v>
      </c>
      <c r="BC799">
        <v>26</v>
      </c>
      <c r="BD799">
        <v>31.65</v>
      </c>
      <c r="BE799">
        <v>152</v>
      </c>
      <c r="BF799">
        <v>87.9</v>
      </c>
      <c r="BG799">
        <v>36</v>
      </c>
      <c r="BH799">
        <v>26</v>
      </c>
      <c r="BI799">
        <v>31.65</v>
      </c>
      <c r="BJ799">
        <v>152</v>
      </c>
      <c r="BK799">
        <v>87.9</v>
      </c>
      <c r="BL799">
        <v>152</v>
      </c>
      <c r="BM799">
        <v>2.2559999999999998</v>
      </c>
    </row>
    <row r="800" spans="1:65" x14ac:dyDescent="0.25">
      <c r="A800" t="s">
        <v>863</v>
      </c>
      <c r="B800" t="s">
        <v>1842</v>
      </c>
      <c r="C800" t="s">
        <v>2160</v>
      </c>
      <c r="D800" s="1">
        <v>45389</v>
      </c>
      <c r="E800" s="1">
        <v>45415</v>
      </c>
      <c r="F800" s="1">
        <v>45463</v>
      </c>
      <c r="G800" t="s">
        <v>2162</v>
      </c>
      <c r="I800" t="s">
        <v>2176</v>
      </c>
      <c r="J800">
        <v>13092</v>
      </c>
      <c r="K800">
        <v>392</v>
      </c>
      <c r="L800">
        <v>4.2</v>
      </c>
      <c r="M800">
        <v>4.7</v>
      </c>
      <c r="N800">
        <v>1</v>
      </c>
      <c r="O800">
        <v>3079</v>
      </c>
      <c r="P800" t="s">
        <v>2176</v>
      </c>
      <c r="Q800">
        <v>7</v>
      </c>
      <c r="R800">
        <v>9</v>
      </c>
      <c r="S800">
        <v>11</v>
      </c>
      <c r="T800">
        <v>484</v>
      </c>
      <c r="U800" t="s">
        <v>2162</v>
      </c>
      <c r="W800" t="s">
        <v>2208</v>
      </c>
      <c r="X800" t="s">
        <v>2210</v>
      </c>
      <c r="Y800" t="s">
        <v>2212</v>
      </c>
      <c r="Z800" s="1">
        <v>45442</v>
      </c>
      <c r="AA800" s="1">
        <v>45456</v>
      </c>
      <c r="AB800" t="s">
        <v>2214</v>
      </c>
      <c r="AC800" t="s">
        <v>2209</v>
      </c>
      <c r="AD800" t="s">
        <v>2216</v>
      </c>
      <c r="AE800" t="s">
        <v>2162</v>
      </c>
      <c r="AG800" t="s">
        <v>2220</v>
      </c>
      <c r="AH800">
        <v>27</v>
      </c>
      <c r="AI800">
        <v>41</v>
      </c>
      <c r="AJ800">
        <v>14</v>
      </c>
      <c r="AK800">
        <v>5</v>
      </c>
      <c r="AL800" t="s">
        <v>2224</v>
      </c>
      <c r="AM800">
        <v>0</v>
      </c>
      <c r="AN800" t="s">
        <v>2176</v>
      </c>
      <c r="AO800" t="s">
        <v>2176</v>
      </c>
      <c r="AP800" t="s">
        <v>2176</v>
      </c>
      <c r="AQ800">
        <v>19.739999999999998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4.2</v>
      </c>
      <c r="AY800">
        <v>4.2</v>
      </c>
      <c r="AZ800">
        <v>1</v>
      </c>
      <c r="BA800">
        <v>1</v>
      </c>
      <c r="BB800">
        <v>24</v>
      </c>
      <c r="BC800">
        <v>27</v>
      </c>
      <c r="BD800">
        <v>21.44</v>
      </c>
      <c r="BE800">
        <v>108</v>
      </c>
      <c r="BF800">
        <v>89.3</v>
      </c>
      <c r="BG800">
        <v>24</v>
      </c>
      <c r="BH800">
        <v>27</v>
      </c>
      <c r="BI800">
        <v>21.44</v>
      </c>
      <c r="BJ800">
        <v>108</v>
      </c>
      <c r="BK800">
        <v>89.3</v>
      </c>
      <c r="BL800">
        <v>108</v>
      </c>
      <c r="BM800">
        <v>4.4882</v>
      </c>
    </row>
    <row r="801" spans="1:65" x14ac:dyDescent="0.25">
      <c r="A801" t="s">
        <v>864</v>
      </c>
      <c r="B801" t="s">
        <v>1843</v>
      </c>
      <c r="C801" t="s">
        <v>2159</v>
      </c>
      <c r="D801" s="1">
        <v>45430</v>
      </c>
      <c r="E801" s="1">
        <v>45461</v>
      </c>
      <c r="F801" s="1">
        <v>45552</v>
      </c>
      <c r="G801" t="s">
        <v>2166</v>
      </c>
      <c r="I801" t="s">
        <v>2174</v>
      </c>
      <c r="J801">
        <v>22587</v>
      </c>
      <c r="K801">
        <v>677</v>
      </c>
      <c r="L801">
        <v>5.2</v>
      </c>
      <c r="M801">
        <v>6.7</v>
      </c>
      <c r="N801">
        <v>2</v>
      </c>
      <c r="O801">
        <v>4168</v>
      </c>
      <c r="P801" t="s">
        <v>2176</v>
      </c>
      <c r="Q801">
        <v>13</v>
      </c>
      <c r="R801">
        <v>16</v>
      </c>
      <c r="S801">
        <v>17</v>
      </c>
      <c r="T801">
        <v>491</v>
      </c>
      <c r="U801" t="s">
        <v>2166</v>
      </c>
      <c r="W801" t="s">
        <v>2208</v>
      </c>
      <c r="X801" t="s">
        <v>2210</v>
      </c>
      <c r="Y801" t="s">
        <v>2212</v>
      </c>
      <c r="Z801" s="1">
        <v>45507</v>
      </c>
      <c r="AA801" s="1">
        <v>45522</v>
      </c>
      <c r="AB801" t="s">
        <v>2214</v>
      </c>
      <c r="AC801" t="s">
        <v>2209</v>
      </c>
      <c r="AD801" t="s">
        <v>2216</v>
      </c>
      <c r="AE801" t="s">
        <v>2166</v>
      </c>
      <c r="AG801" t="s">
        <v>2220</v>
      </c>
      <c r="AH801">
        <v>46</v>
      </c>
      <c r="AI801">
        <v>61</v>
      </c>
      <c r="AJ801">
        <v>15</v>
      </c>
      <c r="AK801">
        <v>6</v>
      </c>
      <c r="AL801" t="s">
        <v>2223</v>
      </c>
      <c r="AM801">
        <v>0</v>
      </c>
      <c r="AN801" t="s">
        <v>2177</v>
      </c>
      <c r="AO801" t="s">
        <v>2176</v>
      </c>
      <c r="AP801" t="s">
        <v>2176</v>
      </c>
      <c r="AQ801">
        <v>34.840000000000003</v>
      </c>
      <c r="AR801">
        <v>1</v>
      </c>
      <c r="AS801">
        <v>2</v>
      </c>
      <c r="AT801">
        <v>1</v>
      </c>
      <c r="AU801">
        <v>1</v>
      </c>
      <c r="AV801">
        <v>1.333333333333333</v>
      </c>
      <c r="AW801">
        <v>4.8</v>
      </c>
      <c r="AY801">
        <v>4.8</v>
      </c>
      <c r="AZ801">
        <v>0</v>
      </c>
      <c r="BA801">
        <v>0</v>
      </c>
      <c r="BB801">
        <v>45</v>
      </c>
      <c r="BC801">
        <v>25</v>
      </c>
      <c r="BD801">
        <v>39.200000000000003</v>
      </c>
      <c r="BE801">
        <v>186</v>
      </c>
      <c r="BF801">
        <v>87.1</v>
      </c>
      <c r="BG801">
        <v>45</v>
      </c>
      <c r="BH801">
        <v>25</v>
      </c>
      <c r="BI801">
        <v>39.200000000000003</v>
      </c>
      <c r="BJ801">
        <v>186</v>
      </c>
      <c r="BK801">
        <v>87.1</v>
      </c>
      <c r="BL801">
        <v>186</v>
      </c>
      <c r="BM801">
        <v>4.8563999999999998</v>
      </c>
    </row>
    <row r="802" spans="1:65" x14ac:dyDescent="0.25">
      <c r="A802" t="s">
        <v>865</v>
      </c>
      <c r="B802" t="s">
        <v>1844</v>
      </c>
      <c r="C802" t="s">
        <v>2157</v>
      </c>
      <c r="D802" s="1">
        <v>45376</v>
      </c>
      <c r="E802" s="1">
        <v>45417</v>
      </c>
      <c r="F802" s="1">
        <v>45504</v>
      </c>
      <c r="G802" t="s">
        <v>2166</v>
      </c>
      <c r="I802" t="s">
        <v>2174</v>
      </c>
      <c r="J802">
        <v>17861</v>
      </c>
      <c r="K802">
        <v>535</v>
      </c>
      <c r="L802">
        <v>6.6</v>
      </c>
      <c r="M802">
        <v>2.2999999999999998</v>
      </c>
      <c r="N802">
        <v>2</v>
      </c>
      <c r="O802">
        <v>3060</v>
      </c>
      <c r="P802" t="s">
        <v>2176</v>
      </c>
      <c r="Q802">
        <v>12</v>
      </c>
      <c r="R802">
        <v>15</v>
      </c>
      <c r="S802">
        <v>14</v>
      </c>
      <c r="T802">
        <v>435</v>
      </c>
      <c r="U802" t="s">
        <v>2166</v>
      </c>
      <c r="W802" t="s">
        <v>2208</v>
      </c>
      <c r="X802" t="s">
        <v>2210</v>
      </c>
      <c r="Y802" t="s">
        <v>2212</v>
      </c>
      <c r="Z802" s="1">
        <v>45458</v>
      </c>
      <c r="AA802" s="1">
        <v>45479</v>
      </c>
      <c r="AB802" t="s">
        <v>2214</v>
      </c>
      <c r="AC802" t="s">
        <v>2209</v>
      </c>
      <c r="AD802" t="s">
        <v>2216</v>
      </c>
      <c r="AE802" t="s">
        <v>2166</v>
      </c>
      <c r="AG802" t="s">
        <v>2220</v>
      </c>
      <c r="AH802">
        <v>41</v>
      </c>
      <c r="AI802">
        <v>62</v>
      </c>
      <c r="AJ802">
        <v>21</v>
      </c>
      <c r="AK802">
        <v>5</v>
      </c>
      <c r="AL802" t="s">
        <v>2224</v>
      </c>
      <c r="AM802">
        <v>0</v>
      </c>
      <c r="AN802" t="s">
        <v>2176</v>
      </c>
      <c r="AO802" t="s">
        <v>2176</v>
      </c>
      <c r="AP802" t="s">
        <v>2176</v>
      </c>
      <c r="AQ802">
        <v>15.18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4.8</v>
      </c>
      <c r="AY802">
        <v>4.8</v>
      </c>
      <c r="AZ802">
        <v>3</v>
      </c>
      <c r="BA802">
        <v>0</v>
      </c>
      <c r="BB802">
        <v>43</v>
      </c>
      <c r="BC802">
        <v>27</v>
      </c>
      <c r="BD802">
        <v>37.299999999999997</v>
      </c>
      <c r="BE802">
        <v>193</v>
      </c>
      <c r="BF802">
        <v>86.7</v>
      </c>
      <c r="BG802">
        <v>43</v>
      </c>
      <c r="BH802">
        <v>27</v>
      </c>
      <c r="BI802">
        <v>37.299999999999997</v>
      </c>
      <c r="BJ802">
        <v>193</v>
      </c>
      <c r="BK802">
        <v>86.7</v>
      </c>
      <c r="BL802">
        <v>193</v>
      </c>
      <c r="BM802">
        <v>3.4268999999999998</v>
      </c>
    </row>
    <row r="803" spans="1:65" x14ac:dyDescent="0.25">
      <c r="A803" t="s">
        <v>866</v>
      </c>
      <c r="B803" t="s">
        <v>1845</v>
      </c>
      <c r="C803" t="s">
        <v>2157</v>
      </c>
      <c r="D803" s="1">
        <v>45289</v>
      </c>
      <c r="E803" s="1">
        <v>45325</v>
      </c>
      <c r="F803" s="1">
        <v>45370</v>
      </c>
      <c r="G803" t="s">
        <v>2165</v>
      </c>
      <c r="I803" t="s">
        <v>2174</v>
      </c>
      <c r="J803">
        <v>5992</v>
      </c>
      <c r="K803">
        <v>179</v>
      </c>
      <c r="L803">
        <v>1.6</v>
      </c>
      <c r="M803">
        <v>2.4</v>
      </c>
      <c r="N803">
        <v>2</v>
      </c>
      <c r="O803">
        <v>5461</v>
      </c>
      <c r="P803" t="s">
        <v>2176</v>
      </c>
      <c r="Q803">
        <v>4</v>
      </c>
      <c r="R803">
        <v>5</v>
      </c>
      <c r="S803">
        <v>6</v>
      </c>
      <c r="T803">
        <v>399</v>
      </c>
      <c r="U803" t="s">
        <v>2165</v>
      </c>
      <c r="W803" t="s">
        <v>2208</v>
      </c>
      <c r="X803" t="s">
        <v>2210</v>
      </c>
      <c r="Y803" t="s">
        <v>2212</v>
      </c>
      <c r="Z803" s="1">
        <v>45340</v>
      </c>
      <c r="AA803" s="1">
        <v>45360</v>
      </c>
      <c r="AB803" t="s">
        <v>2214</v>
      </c>
      <c r="AC803" t="s">
        <v>2209</v>
      </c>
      <c r="AD803" t="s">
        <v>2216</v>
      </c>
      <c r="AE803" t="s">
        <v>2165</v>
      </c>
      <c r="AG803" t="s">
        <v>2220</v>
      </c>
      <c r="AH803">
        <v>15</v>
      </c>
      <c r="AI803">
        <v>35</v>
      </c>
      <c r="AJ803">
        <v>20</v>
      </c>
      <c r="AK803">
        <v>2</v>
      </c>
      <c r="AL803" t="s">
        <v>2228</v>
      </c>
      <c r="AM803">
        <v>0</v>
      </c>
      <c r="AN803" t="s">
        <v>2176</v>
      </c>
      <c r="AO803" t="s">
        <v>2176</v>
      </c>
      <c r="AP803" t="s">
        <v>2176</v>
      </c>
      <c r="AQ803">
        <v>3.84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4.5999999999999996</v>
      </c>
      <c r="AY803">
        <v>4.5999999999999996</v>
      </c>
      <c r="AZ803">
        <v>3</v>
      </c>
      <c r="BA803">
        <v>0</v>
      </c>
      <c r="BB803">
        <v>36</v>
      </c>
      <c r="BC803">
        <v>24</v>
      </c>
      <c r="BD803">
        <v>31.79</v>
      </c>
      <c r="BE803">
        <v>142</v>
      </c>
      <c r="BF803">
        <v>88.3</v>
      </c>
      <c r="BG803">
        <v>36</v>
      </c>
      <c r="BH803">
        <v>24</v>
      </c>
      <c r="BI803">
        <v>31.79</v>
      </c>
      <c r="BJ803">
        <v>142</v>
      </c>
      <c r="BK803">
        <v>88.3</v>
      </c>
      <c r="BL803">
        <v>142</v>
      </c>
      <c r="BM803">
        <v>1.7577</v>
      </c>
    </row>
    <row r="804" spans="1:65" x14ac:dyDescent="0.25">
      <c r="A804" t="s">
        <v>867</v>
      </c>
      <c r="B804" t="s">
        <v>1846</v>
      </c>
      <c r="C804" t="s">
        <v>2157</v>
      </c>
      <c r="D804" s="1">
        <v>45276</v>
      </c>
      <c r="E804" s="1">
        <v>45306</v>
      </c>
      <c r="F804" s="1">
        <v>45372</v>
      </c>
      <c r="G804" t="s">
        <v>2161</v>
      </c>
      <c r="I804" t="s">
        <v>2176</v>
      </c>
      <c r="J804">
        <v>9920</v>
      </c>
      <c r="K804">
        <v>297</v>
      </c>
      <c r="L804">
        <v>3.2</v>
      </c>
      <c r="M804">
        <v>7.5</v>
      </c>
      <c r="N804">
        <v>2</v>
      </c>
      <c r="O804">
        <v>3415</v>
      </c>
      <c r="P804" t="s">
        <v>2176</v>
      </c>
      <c r="Q804">
        <v>6</v>
      </c>
      <c r="R804">
        <v>8</v>
      </c>
      <c r="S804">
        <v>9</v>
      </c>
      <c r="T804">
        <v>431</v>
      </c>
      <c r="U804" t="s">
        <v>2161</v>
      </c>
      <c r="W804" t="s">
        <v>2208</v>
      </c>
      <c r="X804" t="s">
        <v>2210</v>
      </c>
      <c r="Y804" t="s">
        <v>2212</v>
      </c>
      <c r="Z804" s="1">
        <v>45329</v>
      </c>
      <c r="AA804" s="1">
        <v>45349</v>
      </c>
      <c r="AB804" t="s">
        <v>2214</v>
      </c>
      <c r="AC804" t="s">
        <v>2209</v>
      </c>
      <c r="AD804" t="s">
        <v>2216</v>
      </c>
      <c r="AE804" t="s">
        <v>2161</v>
      </c>
      <c r="AG804" t="s">
        <v>2220</v>
      </c>
      <c r="AH804">
        <v>23</v>
      </c>
      <c r="AI804">
        <v>43</v>
      </c>
      <c r="AJ804">
        <v>20</v>
      </c>
      <c r="AK804">
        <v>1</v>
      </c>
      <c r="AL804" t="s">
        <v>2233</v>
      </c>
      <c r="AM804">
        <v>0</v>
      </c>
      <c r="AN804" t="s">
        <v>2176</v>
      </c>
      <c r="AO804" t="s">
        <v>2176</v>
      </c>
      <c r="AP804" t="s">
        <v>2176</v>
      </c>
      <c r="AQ804">
        <v>24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4.3</v>
      </c>
      <c r="AY804">
        <v>4.3</v>
      </c>
      <c r="AZ804">
        <v>3</v>
      </c>
      <c r="BA804">
        <v>1</v>
      </c>
      <c r="BB804">
        <v>33</v>
      </c>
      <c r="BC804">
        <v>27</v>
      </c>
      <c r="BD804">
        <v>28.81</v>
      </c>
      <c r="BE804">
        <v>146</v>
      </c>
      <c r="BF804">
        <v>87.3</v>
      </c>
      <c r="BG804">
        <v>33</v>
      </c>
      <c r="BH804">
        <v>27</v>
      </c>
      <c r="BI804">
        <v>28.81</v>
      </c>
      <c r="BJ804">
        <v>146</v>
      </c>
      <c r="BK804">
        <v>87.3</v>
      </c>
      <c r="BL804">
        <v>146</v>
      </c>
      <c r="BM804">
        <v>2.5158999999999998</v>
      </c>
    </row>
    <row r="805" spans="1:65" x14ac:dyDescent="0.25">
      <c r="A805" t="s">
        <v>868</v>
      </c>
      <c r="B805" t="s">
        <v>1847</v>
      </c>
      <c r="C805" t="s">
        <v>2159</v>
      </c>
      <c r="D805" s="1">
        <v>45369</v>
      </c>
      <c r="E805" s="1">
        <v>45419</v>
      </c>
      <c r="F805" s="1">
        <v>45494</v>
      </c>
      <c r="G805" t="s">
        <v>2161</v>
      </c>
      <c r="I805" t="s">
        <v>2174</v>
      </c>
      <c r="J805">
        <v>17982</v>
      </c>
      <c r="K805">
        <v>539</v>
      </c>
      <c r="L805">
        <v>2.2000000000000002</v>
      </c>
      <c r="M805">
        <v>7.4</v>
      </c>
      <c r="N805">
        <v>1</v>
      </c>
      <c r="O805">
        <v>3120</v>
      </c>
      <c r="P805" t="s">
        <v>2176</v>
      </c>
      <c r="Q805">
        <v>13</v>
      </c>
      <c r="R805">
        <v>15</v>
      </c>
      <c r="S805">
        <v>18</v>
      </c>
      <c r="T805">
        <v>390</v>
      </c>
      <c r="U805" t="s">
        <v>2161</v>
      </c>
      <c r="W805" t="s">
        <v>2208</v>
      </c>
      <c r="X805" t="s">
        <v>2210</v>
      </c>
      <c r="Y805" t="s">
        <v>2212</v>
      </c>
      <c r="Z805" s="1">
        <v>45465</v>
      </c>
      <c r="AA805" s="1">
        <v>45478</v>
      </c>
      <c r="AB805" t="s">
        <v>2214</v>
      </c>
      <c r="AC805" t="s">
        <v>2209</v>
      </c>
      <c r="AD805" t="s">
        <v>2216</v>
      </c>
      <c r="AE805" t="s">
        <v>2161</v>
      </c>
      <c r="AG805" t="s">
        <v>2220</v>
      </c>
      <c r="AH805">
        <v>46</v>
      </c>
      <c r="AI805">
        <v>59</v>
      </c>
      <c r="AJ805">
        <v>13</v>
      </c>
      <c r="AK805">
        <v>5</v>
      </c>
      <c r="AL805" t="s">
        <v>2224</v>
      </c>
      <c r="AM805">
        <v>0</v>
      </c>
      <c r="AN805" t="s">
        <v>2176</v>
      </c>
      <c r="AO805" t="s">
        <v>2176</v>
      </c>
      <c r="AP805" t="s">
        <v>2176</v>
      </c>
      <c r="AQ805">
        <v>16.28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4.3</v>
      </c>
      <c r="AY805">
        <v>4.3</v>
      </c>
      <c r="AZ805">
        <v>0</v>
      </c>
      <c r="BA805">
        <v>0</v>
      </c>
      <c r="BB805">
        <v>33</v>
      </c>
      <c r="BC805">
        <v>27</v>
      </c>
      <c r="BD805">
        <v>28.96</v>
      </c>
      <c r="BE805">
        <v>147</v>
      </c>
      <c r="BF805">
        <v>87.8</v>
      </c>
      <c r="BG805">
        <v>33</v>
      </c>
      <c r="BH805">
        <v>27</v>
      </c>
      <c r="BI805">
        <v>28.96</v>
      </c>
      <c r="BJ805">
        <v>147</v>
      </c>
      <c r="BK805">
        <v>87.8</v>
      </c>
      <c r="BL805">
        <v>147</v>
      </c>
      <c r="BM805">
        <v>4.5294999999999996</v>
      </c>
    </row>
    <row r="806" spans="1:65" x14ac:dyDescent="0.25">
      <c r="A806" t="s">
        <v>869</v>
      </c>
      <c r="B806" t="s">
        <v>1848</v>
      </c>
      <c r="C806" t="s">
        <v>2157</v>
      </c>
      <c r="D806" s="1">
        <v>45347</v>
      </c>
      <c r="E806" s="1">
        <v>45392</v>
      </c>
      <c r="F806" s="1">
        <v>45454</v>
      </c>
      <c r="G806" t="s">
        <v>2165</v>
      </c>
      <c r="I806" t="s">
        <v>2176</v>
      </c>
      <c r="J806">
        <v>12162</v>
      </c>
      <c r="K806">
        <v>364</v>
      </c>
      <c r="L806">
        <v>1.3</v>
      </c>
      <c r="M806">
        <v>2.8</v>
      </c>
      <c r="N806">
        <v>2</v>
      </c>
      <c r="O806">
        <v>1996</v>
      </c>
      <c r="P806" t="s">
        <v>2176</v>
      </c>
      <c r="Q806">
        <v>7</v>
      </c>
      <c r="R806">
        <v>9</v>
      </c>
      <c r="S806">
        <v>15</v>
      </c>
      <c r="T806">
        <v>392</v>
      </c>
      <c r="U806" t="s">
        <v>2165</v>
      </c>
      <c r="W806" t="s">
        <v>2208</v>
      </c>
      <c r="X806" t="s">
        <v>2210</v>
      </c>
      <c r="Y806" t="s">
        <v>2212</v>
      </c>
      <c r="Z806" s="1">
        <v>45423</v>
      </c>
      <c r="AA806" s="1">
        <v>45442</v>
      </c>
      <c r="AB806" t="s">
        <v>2214</v>
      </c>
      <c r="AC806" t="s">
        <v>2209</v>
      </c>
      <c r="AD806" t="s">
        <v>2216</v>
      </c>
      <c r="AE806" t="s">
        <v>2165</v>
      </c>
      <c r="AG806" t="s">
        <v>2220</v>
      </c>
      <c r="AH806">
        <v>31</v>
      </c>
      <c r="AI806">
        <v>50</v>
      </c>
      <c r="AJ806">
        <v>19</v>
      </c>
      <c r="AK806">
        <v>4</v>
      </c>
      <c r="AL806" t="s">
        <v>2225</v>
      </c>
      <c r="AM806">
        <v>0</v>
      </c>
      <c r="AN806" t="s">
        <v>2176</v>
      </c>
      <c r="AO806" t="s">
        <v>2176</v>
      </c>
      <c r="AP806" t="s">
        <v>2176</v>
      </c>
      <c r="AQ806">
        <v>3.64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4.5999999999999996</v>
      </c>
      <c r="AY806">
        <v>4.5999999999999996</v>
      </c>
      <c r="AZ806">
        <v>3</v>
      </c>
      <c r="BA806">
        <v>1</v>
      </c>
      <c r="BB806">
        <v>46</v>
      </c>
      <c r="BC806">
        <v>26</v>
      </c>
      <c r="BD806">
        <v>40.729999999999997</v>
      </c>
      <c r="BE806">
        <v>203</v>
      </c>
      <c r="BF806">
        <v>88.5</v>
      </c>
      <c r="BG806">
        <v>46</v>
      </c>
      <c r="BH806">
        <v>26</v>
      </c>
      <c r="BI806">
        <v>40.729999999999997</v>
      </c>
      <c r="BJ806">
        <v>203</v>
      </c>
      <c r="BK806">
        <v>88.5</v>
      </c>
      <c r="BL806">
        <v>203</v>
      </c>
      <c r="BM806">
        <v>2.3037999999999998</v>
      </c>
    </row>
    <row r="807" spans="1:65" x14ac:dyDescent="0.25">
      <c r="A807" t="s">
        <v>870</v>
      </c>
      <c r="B807" t="s">
        <v>1849</v>
      </c>
      <c r="C807" t="s">
        <v>2157</v>
      </c>
      <c r="D807" s="1">
        <v>45384</v>
      </c>
      <c r="E807" s="1">
        <v>45415</v>
      </c>
      <c r="F807" s="1">
        <v>45496</v>
      </c>
      <c r="G807" t="s">
        <v>2165</v>
      </c>
      <c r="I807" t="s">
        <v>2176</v>
      </c>
      <c r="J807">
        <v>18016</v>
      </c>
      <c r="K807">
        <v>540</v>
      </c>
      <c r="L807">
        <v>6.8</v>
      </c>
      <c r="M807">
        <v>2.2999999999999998</v>
      </c>
      <c r="N807">
        <v>2</v>
      </c>
      <c r="O807">
        <v>1786</v>
      </c>
      <c r="P807" t="s">
        <v>2176</v>
      </c>
      <c r="Q807">
        <v>13</v>
      </c>
      <c r="R807">
        <v>16</v>
      </c>
      <c r="S807">
        <v>15</v>
      </c>
      <c r="T807">
        <v>409</v>
      </c>
      <c r="U807" t="s">
        <v>2165</v>
      </c>
      <c r="W807" t="s">
        <v>2208</v>
      </c>
      <c r="X807" t="s">
        <v>2210</v>
      </c>
      <c r="Y807" t="s">
        <v>2212</v>
      </c>
      <c r="Z807" s="1">
        <v>45459</v>
      </c>
      <c r="AA807" s="1">
        <v>45472</v>
      </c>
      <c r="AB807" t="s">
        <v>2214</v>
      </c>
      <c r="AC807" t="s">
        <v>2209</v>
      </c>
      <c r="AD807" t="s">
        <v>2216</v>
      </c>
      <c r="AE807" t="s">
        <v>2165</v>
      </c>
      <c r="AG807" t="s">
        <v>2220</v>
      </c>
      <c r="AH807">
        <v>44</v>
      </c>
      <c r="AI807">
        <v>57</v>
      </c>
      <c r="AJ807">
        <v>13</v>
      </c>
      <c r="AK807">
        <v>5</v>
      </c>
      <c r="AL807" t="s">
        <v>2224</v>
      </c>
      <c r="AM807">
        <v>0</v>
      </c>
      <c r="AN807" t="s">
        <v>2176</v>
      </c>
      <c r="AO807" t="s">
        <v>2176</v>
      </c>
      <c r="AP807" t="s">
        <v>2176</v>
      </c>
      <c r="AQ807">
        <v>15.64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4.5999999999999996</v>
      </c>
      <c r="AY807">
        <v>4.5999999999999996</v>
      </c>
      <c r="AZ807">
        <v>3</v>
      </c>
      <c r="BA807">
        <v>1</v>
      </c>
      <c r="BB807">
        <v>36</v>
      </c>
      <c r="BC807">
        <v>27</v>
      </c>
      <c r="BD807">
        <v>31.37</v>
      </c>
      <c r="BE807">
        <v>158</v>
      </c>
      <c r="BF807">
        <v>87.1</v>
      </c>
      <c r="BG807">
        <v>36</v>
      </c>
      <c r="BH807">
        <v>27</v>
      </c>
      <c r="BI807">
        <v>31.37</v>
      </c>
      <c r="BJ807">
        <v>158</v>
      </c>
      <c r="BK807">
        <v>87.1</v>
      </c>
      <c r="BL807">
        <v>158</v>
      </c>
      <c r="BM807">
        <v>4.2222</v>
      </c>
    </row>
    <row r="808" spans="1:65" x14ac:dyDescent="0.25">
      <c r="A808" t="s">
        <v>871</v>
      </c>
      <c r="B808" t="s">
        <v>1850</v>
      </c>
      <c r="C808" t="s">
        <v>2159</v>
      </c>
      <c r="D808" s="1">
        <v>45495</v>
      </c>
      <c r="E808" s="1">
        <v>45539</v>
      </c>
      <c r="F808" s="1">
        <v>45586</v>
      </c>
      <c r="G808" t="s">
        <v>2164</v>
      </c>
      <c r="I808" t="s">
        <v>2174</v>
      </c>
      <c r="J808">
        <v>10994</v>
      </c>
      <c r="K808">
        <v>329</v>
      </c>
      <c r="L808">
        <v>7.6</v>
      </c>
      <c r="M808">
        <v>5.4</v>
      </c>
      <c r="N808">
        <v>2</v>
      </c>
      <c r="O808">
        <v>5503</v>
      </c>
      <c r="P808" t="s">
        <v>2176</v>
      </c>
      <c r="Q808">
        <v>6</v>
      </c>
      <c r="R808">
        <v>8</v>
      </c>
      <c r="S808">
        <v>10</v>
      </c>
      <c r="T808">
        <v>458</v>
      </c>
      <c r="U808" t="s">
        <v>2164</v>
      </c>
      <c r="W808" t="s">
        <v>2208</v>
      </c>
      <c r="X808" t="s">
        <v>2210</v>
      </c>
      <c r="Y808" t="s">
        <v>2212</v>
      </c>
      <c r="Z808" s="1">
        <v>45563</v>
      </c>
      <c r="AA808" s="1">
        <v>45581</v>
      </c>
      <c r="AB808" t="s">
        <v>2214</v>
      </c>
      <c r="AC808" t="s">
        <v>2209</v>
      </c>
      <c r="AD808" t="s">
        <v>2216</v>
      </c>
      <c r="AE808" t="s">
        <v>2164</v>
      </c>
      <c r="AG808" t="s">
        <v>2220</v>
      </c>
      <c r="AH808">
        <v>24</v>
      </c>
      <c r="AI808">
        <v>42</v>
      </c>
      <c r="AJ808">
        <v>18</v>
      </c>
      <c r="AK808">
        <v>9</v>
      </c>
      <c r="AL808" t="s">
        <v>2234</v>
      </c>
      <c r="AM808">
        <v>0</v>
      </c>
      <c r="AN808" t="s">
        <v>2177</v>
      </c>
      <c r="AO808" t="s">
        <v>2176</v>
      </c>
      <c r="AP808" t="s">
        <v>2176</v>
      </c>
      <c r="AQ808">
        <v>41.04</v>
      </c>
      <c r="AR808">
        <v>1</v>
      </c>
      <c r="AS808">
        <v>2</v>
      </c>
      <c r="AT808">
        <v>1</v>
      </c>
      <c r="AU808">
        <v>1</v>
      </c>
      <c r="AV808">
        <v>1.333333333333333</v>
      </c>
      <c r="AW808">
        <v>4.5</v>
      </c>
      <c r="AY808">
        <v>4.5</v>
      </c>
      <c r="AZ808">
        <v>0</v>
      </c>
      <c r="BA808">
        <v>0</v>
      </c>
      <c r="BB808">
        <v>34</v>
      </c>
      <c r="BC808">
        <v>26</v>
      </c>
      <c r="BD808">
        <v>29.81</v>
      </c>
      <c r="BE808">
        <v>147</v>
      </c>
      <c r="BF808">
        <v>87.7</v>
      </c>
      <c r="BG808">
        <v>34</v>
      </c>
      <c r="BH808">
        <v>26</v>
      </c>
      <c r="BI808">
        <v>29.81</v>
      </c>
      <c r="BJ808">
        <v>147</v>
      </c>
      <c r="BK808">
        <v>87.7</v>
      </c>
      <c r="BL808">
        <v>147</v>
      </c>
      <c r="BM808">
        <v>2.8757999999999999</v>
      </c>
    </row>
    <row r="809" spans="1:65" x14ac:dyDescent="0.25">
      <c r="A809" t="s">
        <v>872</v>
      </c>
      <c r="B809" t="s">
        <v>1851</v>
      </c>
      <c r="C809" t="s">
        <v>2160</v>
      </c>
      <c r="D809" s="1">
        <v>45307</v>
      </c>
      <c r="E809" s="1">
        <v>45352</v>
      </c>
      <c r="F809" s="1">
        <v>45452</v>
      </c>
      <c r="G809" t="s">
        <v>2162</v>
      </c>
      <c r="I809" t="s">
        <v>2176</v>
      </c>
      <c r="J809">
        <v>23895</v>
      </c>
      <c r="K809">
        <v>716</v>
      </c>
      <c r="L809">
        <v>5.3</v>
      </c>
      <c r="M809">
        <v>4.4000000000000004</v>
      </c>
      <c r="N809">
        <v>1</v>
      </c>
      <c r="O809">
        <v>2357</v>
      </c>
      <c r="P809" t="s">
        <v>2176</v>
      </c>
      <c r="Q809">
        <v>14</v>
      </c>
      <c r="R809">
        <v>19</v>
      </c>
      <c r="S809">
        <v>20</v>
      </c>
      <c r="T809">
        <v>450</v>
      </c>
      <c r="U809" t="s">
        <v>2162</v>
      </c>
      <c r="W809" t="s">
        <v>2208</v>
      </c>
      <c r="X809" t="s">
        <v>2210</v>
      </c>
      <c r="Y809" t="s">
        <v>2212</v>
      </c>
      <c r="Z809" s="1">
        <v>45405</v>
      </c>
      <c r="AA809" s="1">
        <v>45424</v>
      </c>
      <c r="AB809" t="s">
        <v>2214</v>
      </c>
      <c r="AC809" t="s">
        <v>2209</v>
      </c>
      <c r="AD809" t="s">
        <v>2216</v>
      </c>
      <c r="AE809" t="s">
        <v>2162</v>
      </c>
      <c r="AG809" t="s">
        <v>2220</v>
      </c>
      <c r="AH809">
        <v>53</v>
      </c>
      <c r="AI809">
        <v>72</v>
      </c>
      <c r="AJ809">
        <v>19</v>
      </c>
      <c r="AK809">
        <v>3</v>
      </c>
      <c r="AL809" t="s">
        <v>2227</v>
      </c>
      <c r="AM809">
        <v>0</v>
      </c>
      <c r="AN809" t="s">
        <v>2176</v>
      </c>
      <c r="AO809" t="s">
        <v>2176</v>
      </c>
      <c r="AP809" t="s">
        <v>2176</v>
      </c>
      <c r="AQ809">
        <v>23.32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4.2</v>
      </c>
      <c r="AY809">
        <v>4.2</v>
      </c>
      <c r="AZ809">
        <v>1</v>
      </c>
      <c r="BA809">
        <v>1</v>
      </c>
      <c r="BB809">
        <v>31</v>
      </c>
      <c r="BC809">
        <v>26</v>
      </c>
      <c r="BD809">
        <v>27.27</v>
      </c>
      <c r="BE809">
        <v>130</v>
      </c>
      <c r="BF809">
        <v>88</v>
      </c>
      <c r="BG809">
        <v>31</v>
      </c>
      <c r="BH809">
        <v>26</v>
      </c>
      <c r="BI809">
        <v>27.27</v>
      </c>
      <c r="BJ809">
        <v>130</v>
      </c>
      <c r="BK809">
        <v>88</v>
      </c>
      <c r="BL809">
        <v>130</v>
      </c>
      <c r="BM809">
        <v>7.0674000000000001</v>
      </c>
    </row>
    <row r="810" spans="1:65" x14ac:dyDescent="0.25">
      <c r="A810" t="s">
        <v>873</v>
      </c>
      <c r="B810" t="s">
        <v>1852</v>
      </c>
      <c r="C810" t="s">
        <v>2159</v>
      </c>
      <c r="D810" s="1">
        <v>45259</v>
      </c>
      <c r="E810" s="1">
        <v>45302</v>
      </c>
      <c r="F810" s="1">
        <v>45372</v>
      </c>
      <c r="G810" t="s">
        <v>2161</v>
      </c>
      <c r="I810" t="s">
        <v>2174</v>
      </c>
      <c r="J810">
        <v>22107</v>
      </c>
      <c r="K810">
        <v>663</v>
      </c>
      <c r="L810">
        <v>4</v>
      </c>
      <c r="M810">
        <v>4.3</v>
      </c>
      <c r="N810">
        <v>2</v>
      </c>
      <c r="O810">
        <v>1555</v>
      </c>
      <c r="P810" t="s">
        <v>2176</v>
      </c>
      <c r="Q810">
        <v>13</v>
      </c>
      <c r="R810">
        <v>17</v>
      </c>
      <c r="S810">
        <v>19</v>
      </c>
      <c r="T810">
        <v>451</v>
      </c>
      <c r="U810" t="s">
        <v>2161</v>
      </c>
      <c r="W810" t="s">
        <v>2208</v>
      </c>
      <c r="X810" t="s">
        <v>2210</v>
      </c>
      <c r="Y810" t="s">
        <v>2212</v>
      </c>
      <c r="Z810" s="1">
        <v>45351</v>
      </c>
      <c r="AA810" s="1">
        <v>45364</v>
      </c>
      <c r="AB810" t="s">
        <v>2214</v>
      </c>
      <c r="AC810" t="s">
        <v>2209</v>
      </c>
      <c r="AD810" t="s">
        <v>2216</v>
      </c>
      <c r="AE810" t="s">
        <v>2161</v>
      </c>
      <c r="AG810" t="s">
        <v>2220</v>
      </c>
      <c r="AH810">
        <v>49</v>
      </c>
      <c r="AI810">
        <v>62</v>
      </c>
      <c r="AJ810">
        <v>13</v>
      </c>
      <c r="AK810">
        <v>1</v>
      </c>
      <c r="AL810" t="s">
        <v>2233</v>
      </c>
      <c r="AM810">
        <v>0</v>
      </c>
      <c r="AN810" t="s">
        <v>2176</v>
      </c>
      <c r="AO810" t="s">
        <v>2176</v>
      </c>
      <c r="AP810" t="s">
        <v>2176</v>
      </c>
      <c r="AQ810">
        <v>17.2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4.3</v>
      </c>
      <c r="AY810">
        <v>4.3</v>
      </c>
      <c r="AZ810">
        <v>0</v>
      </c>
      <c r="BA810">
        <v>0</v>
      </c>
      <c r="BB810">
        <v>33</v>
      </c>
      <c r="BC810">
        <v>27</v>
      </c>
      <c r="BD810">
        <v>28.81</v>
      </c>
      <c r="BE810">
        <v>146</v>
      </c>
      <c r="BF810">
        <v>87.3</v>
      </c>
      <c r="BG810">
        <v>33</v>
      </c>
      <c r="BH810">
        <v>27</v>
      </c>
      <c r="BI810">
        <v>28.81</v>
      </c>
      <c r="BJ810">
        <v>146</v>
      </c>
      <c r="BK810">
        <v>87.3</v>
      </c>
      <c r="BL810">
        <v>146</v>
      </c>
      <c r="BM810">
        <v>5.6066000000000003</v>
      </c>
    </row>
    <row r="811" spans="1:65" x14ac:dyDescent="0.25">
      <c r="A811" t="s">
        <v>874</v>
      </c>
      <c r="B811" t="s">
        <v>1853</v>
      </c>
      <c r="C811" t="s">
        <v>2160</v>
      </c>
      <c r="D811" s="1">
        <v>45457</v>
      </c>
      <c r="E811" s="1">
        <v>45512</v>
      </c>
      <c r="F811" s="1">
        <v>45574</v>
      </c>
      <c r="G811" t="s">
        <v>2165</v>
      </c>
      <c r="I811" t="s">
        <v>2174</v>
      </c>
      <c r="J811">
        <v>12067</v>
      </c>
      <c r="K811">
        <v>362</v>
      </c>
      <c r="L811">
        <v>3.3</v>
      </c>
      <c r="M811">
        <v>3.7</v>
      </c>
      <c r="N811">
        <v>2</v>
      </c>
      <c r="O811">
        <v>2299</v>
      </c>
      <c r="P811" t="s">
        <v>2176</v>
      </c>
      <c r="Q811">
        <v>6</v>
      </c>
      <c r="R811">
        <v>7</v>
      </c>
      <c r="S811">
        <v>15</v>
      </c>
      <c r="T811">
        <v>430</v>
      </c>
      <c r="U811" t="s">
        <v>2165</v>
      </c>
      <c r="W811" t="s">
        <v>2208</v>
      </c>
      <c r="X811" t="s">
        <v>2210</v>
      </c>
      <c r="Y811" t="s">
        <v>2212</v>
      </c>
      <c r="Z811" s="1">
        <v>45540</v>
      </c>
      <c r="AA811" s="1">
        <v>45555</v>
      </c>
      <c r="AB811" t="s">
        <v>2214</v>
      </c>
      <c r="AC811" t="s">
        <v>2209</v>
      </c>
      <c r="AD811" t="s">
        <v>2216</v>
      </c>
      <c r="AE811" t="s">
        <v>2165</v>
      </c>
      <c r="AG811" t="s">
        <v>2220</v>
      </c>
      <c r="AH811">
        <v>28</v>
      </c>
      <c r="AI811">
        <v>43</v>
      </c>
      <c r="AJ811">
        <v>15</v>
      </c>
      <c r="AK811">
        <v>8</v>
      </c>
      <c r="AL811" t="s">
        <v>2232</v>
      </c>
      <c r="AM811">
        <v>0</v>
      </c>
      <c r="AN811" t="s">
        <v>2176</v>
      </c>
      <c r="AO811" t="s">
        <v>2176</v>
      </c>
      <c r="AP811" t="s">
        <v>2176</v>
      </c>
      <c r="AQ811">
        <v>12.21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4.5999999999999996</v>
      </c>
      <c r="AY811">
        <v>4.5999999999999996</v>
      </c>
      <c r="AZ811">
        <v>1</v>
      </c>
      <c r="BA811">
        <v>0</v>
      </c>
      <c r="BB811">
        <v>36</v>
      </c>
      <c r="BC811">
        <v>26</v>
      </c>
      <c r="BD811">
        <v>31.73</v>
      </c>
      <c r="BE811">
        <v>152</v>
      </c>
      <c r="BF811">
        <v>88.1</v>
      </c>
      <c r="BG811">
        <v>36</v>
      </c>
      <c r="BH811">
        <v>26</v>
      </c>
      <c r="BI811">
        <v>31.73</v>
      </c>
      <c r="BJ811">
        <v>152</v>
      </c>
      <c r="BK811">
        <v>88.1</v>
      </c>
      <c r="BL811">
        <v>152</v>
      </c>
      <c r="BM811">
        <v>3.0526</v>
      </c>
    </row>
    <row r="812" spans="1:65" x14ac:dyDescent="0.25">
      <c r="A812" t="s">
        <v>875</v>
      </c>
      <c r="B812" t="s">
        <v>1854</v>
      </c>
      <c r="C812" t="s">
        <v>2160</v>
      </c>
      <c r="D812" s="1">
        <v>45467</v>
      </c>
      <c r="E812" s="1">
        <v>45518</v>
      </c>
      <c r="F812" s="1">
        <v>45600</v>
      </c>
      <c r="G812" t="s">
        <v>2164</v>
      </c>
      <c r="I812" t="s">
        <v>2176</v>
      </c>
      <c r="J812">
        <v>24105</v>
      </c>
      <c r="K812">
        <v>723</v>
      </c>
      <c r="L812">
        <v>1.8</v>
      </c>
      <c r="M812">
        <v>3.3</v>
      </c>
      <c r="N812">
        <v>2</v>
      </c>
      <c r="O812">
        <v>4122</v>
      </c>
      <c r="P812" t="s">
        <v>2176</v>
      </c>
      <c r="Q812">
        <v>14</v>
      </c>
      <c r="R812">
        <v>18</v>
      </c>
      <c r="S812">
        <v>27</v>
      </c>
      <c r="T812">
        <v>408</v>
      </c>
      <c r="U812" t="s">
        <v>2164</v>
      </c>
      <c r="W812" t="s">
        <v>2208</v>
      </c>
      <c r="X812" t="s">
        <v>2210</v>
      </c>
      <c r="Y812" t="s">
        <v>2212</v>
      </c>
      <c r="Z812" s="1">
        <v>45577</v>
      </c>
      <c r="AA812" s="1">
        <v>45597</v>
      </c>
      <c r="AB812" t="s">
        <v>2214</v>
      </c>
      <c r="AC812" t="s">
        <v>2209</v>
      </c>
      <c r="AD812" t="s">
        <v>2216</v>
      </c>
      <c r="AE812" t="s">
        <v>2164</v>
      </c>
      <c r="AG812" t="s">
        <v>2220</v>
      </c>
      <c r="AH812">
        <v>59</v>
      </c>
      <c r="AI812">
        <v>79</v>
      </c>
      <c r="AJ812">
        <v>20</v>
      </c>
      <c r="AK812">
        <v>8</v>
      </c>
      <c r="AL812" t="s">
        <v>2232</v>
      </c>
      <c r="AM812">
        <v>0</v>
      </c>
      <c r="AN812" t="s">
        <v>2176</v>
      </c>
      <c r="AO812" t="s">
        <v>2176</v>
      </c>
      <c r="AP812" t="s">
        <v>2176</v>
      </c>
      <c r="AQ812">
        <v>5.94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4.5</v>
      </c>
      <c r="AY812">
        <v>4.5</v>
      </c>
      <c r="AZ812">
        <v>1</v>
      </c>
      <c r="BA812">
        <v>1</v>
      </c>
      <c r="BB812">
        <v>27</v>
      </c>
      <c r="BC812">
        <v>26</v>
      </c>
      <c r="BD812">
        <v>23.77</v>
      </c>
      <c r="BE812">
        <v>112</v>
      </c>
      <c r="BF812">
        <v>88</v>
      </c>
      <c r="BG812">
        <v>27</v>
      </c>
      <c r="BH812">
        <v>26</v>
      </c>
      <c r="BI812">
        <v>23.77</v>
      </c>
      <c r="BJ812">
        <v>112</v>
      </c>
      <c r="BK812">
        <v>88</v>
      </c>
      <c r="BL812">
        <v>112</v>
      </c>
      <c r="BM812">
        <v>8.2750000000000004</v>
      </c>
    </row>
    <row r="813" spans="1:65" x14ac:dyDescent="0.25">
      <c r="A813" t="s">
        <v>876</v>
      </c>
      <c r="B813" t="s">
        <v>1855</v>
      </c>
      <c r="C813" t="s">
        <v>2157</v>
      </c>
      <c r="D813" s="1">
        <v>45336</v>
      </c>
      <c r="E813" s="1">
        <v>45392</v>
      </c>
      <c r="F813" s="1">
        <v>45445</v>
      </c>
      <c r="G813" t="s">
        <v>2164</v>
      </c>
      <c r="I813" t="s">
        <v>2176</v>
      </c>
      <c r="J813">
        <v>6797</v>
      </c>
      <c r="K813">
        <v>203</v>
      </c>
      <c r="L813">
        <v>3.5</v>
      </c>
      <c r="M813">
        <v>5.8</v>
      </c>
      <c r="N813">
        <v>2</v>
      </c>
      <c r="O813">
        <v>2410</v>
      </c>
      <c r="P813" t="s">
        <v>2176</v>
      </c>
      <c r="Q813">
        <v>5</v>
      </c>
      <c r="R813">
        <v>7</v>
      </c>
      <c r="S813">
        <v>6</v>
      </c>
      <c r="T813">
        <v>377</v>
      </c>
      <c r="U813" t="s">
        <v>2164</v>
      </c>
      <c r="W813" t="s">
        <v>2208</v>
      </c>
      <c r="X813" t="s">
        <v>2210</v>
      </c>
      <c r="Y813" t="s">
        <v>2212</v>
      </c>
      <c r="Z813" s="1">
        <v>45410</v>
      </c>
      <c r="AA813" s="1">
        <v>45427</v>
      </c>
      <c r="AB813" t="s">
        <v>2214</v>
      </c>
      <c r="AC813" t="s">
        <v>2209</v>
      </c>
      <c r="AD813" t="s">
        <v>2216</v>
      </c>
      <c r="AE813" t="s">
        <v>2164</v>
      </c>
      <c r="AG813" t="s">
        <v>2220</v>
      </c>
      <c r="AH813">
        <v>18</v>
      </c>
      <c r="AI813">
        <v>35</v>
      </c>
      <c r="AJ813">
        <v>17</v>
      </c>
      <c r="AK813">
        <v>4</v>
      </c>
      <c r="AL813" t="s">
        <v>2225</v>
      </c>
      <c r="AM813">
        <v>0</v>
      </c>
      <c r="AN813" t="s">
        <v>2176</v>
      </c>
      <c r="AO813" t="s">
        <v>2176</v>
      </c>
      <c r="AP813" t="s">
        <v>2176</v>
      </c>
      <c r="AQ813">
        <v>20.3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4.5</v>
      </c>
      <c r="AY813">
        <v>4.5</v>
      </c>
      <c r="AZ813">
        <v>3</v>
      </c>
      <c r="BA813">
        <v>1</v>
      </c>
      <c r="BB813">
        <v>30</v>
      </c>
      <c r="BC813">
        <v>26</v>
      </c>
      <c r="BD813">
        <v>26.42</v>
      </c>
      <c r="BE813">
        <v>126</v>
      </c>
      <c r="BF813">
        <v>88.1</v>
      </c>
      <c r="BG813">
        <v>30</v>
      </c>
      <c r="BH813">
        <v>26</v>
      </c>
      <c r="BI813">
        <v>26.42</v>
      </c>
      <c r="BJ813">
        <v>126</v>
      </c>
      <c r="BK813">
        <v>88.1</v>
      </c>
      <c r="BL813">
        <v>126</v>
      </c>
      <c r="BM813">
        <v>2.0741999999999998</v>
      </c>
    </row>
    <row r="814" spans="1:65" x14ac:dyDescent="0.25">
      <c r="A814" t="s">
        <v>877</v>
      </c>
      <c r="B814" t="s">
        <v>1856</v>
      </c>
      <c r="C814" t="s">
        <v>2159</v>
      </c>
      <c r="D814" s="1">
        <v>45345</v>
      </c>
      <c r="E814" s="1">
        <v>45398</v>
      </c>
      <c r="F814" s="1">
        <v>45472</v>
      </c>
      <c r="G814" t="s">
        <v>2164</v>
      </c>
      <c r="I814" t="s">
        <v>2176</v>
      </c>
      <c r="J814">
        <v>18465</v>
      </c>
      <c r="K814">
        <v>553</v>
      </c>
      <c r="L814">
        <v>7.5</v>
      </c>
      <c r="M814">
        <v>6.2</v>
      </c>
      <c r="N814">
        <v>2</v>
      </c>
      <c r="O814">
        <v>6133</v>
      </c>
      <c r="P814" t="s">
        <v>2176</v>
      </c>
      <c r="Q814">
        <v>13</v>
      </c>
      <c r="R814">
        <v>18</v>
      </c>
      <c r="S814">
        <v>16</v>
      </c>
      <c r="T814">
        <v>392</v>
      </c>
      <c r="U814" t="s">
        <v>2164</v>
      </c>
      <c r="W814" t="s">
        <v>2208</v>
      </c>
      <c r="X814" t="s">
        <v>2210</v>
      </c>
      <c r="Y814" t="s">
        <v>2212</v>
      </c>
      <c r="Z814" s="1">
        <v>45445</v>
      </c>
      <c r="AA814" s="1">
        <v>45463</v>
      </c>
      <c r="AB814" t="s">
        <v>2214</v>
      </c>
      <c r="AC814" t="s">
        <v>2209</v>
      </c>
      <c r="AD814" t="s">
        <v>2216</v>
      </c>
      <c r="AE814" t="s">
        <v>2164</v>
      </c>
      <c r="AG814" t="s">
        <v>2220</v>
      </c>
      <c r="AH814">
        <v>47</v>
      </c>
      <c r="AI814">
        <v>65</v>
      </c>
      <c r="AJ814">
        <v>18</v>
      </c>
      <c r="AK814">
        <v>4</v>
      </c>
      <c r="AL814" t="s">
        <v>2225</v>
      </c>
      <c r="AM814">
        <v>0</v>
      </c>
      <c r="AN814" t="s">
        <v>2177</v>
      </c>
      <c r="AO814" t="s">
        <v>2176</v>
      </c>
      <c r="AP814" t="s">
        <v>2176</v>
      </c>
      <c r="AQ814">
        <v>46.5</v>
      </c>
      <c r="AR814">
        <v>1</v>
      </c>
      <c r="AS814">
        <v>2</v>
      </c>
      <c r="AT814">
        <v>1</v>
      </c>
      <c r="AU814">
        <v>1</v>
      </c>
      <c r="AV814">
        <v>1.333333333333333</v>
      </c>
      <c r="AW814">
        <v>4.5</v>
      </c>
      <c r="AY814">
        <v>4.5</v>
      </c>
      <c r="AZ814">
        <v>0</v>
      </c>
      <c r="BA814">
        <v>1</v>
      </c>
      <c r="BB814">
        <v>30</v>
      </c>
      <c r="BC814">
        <v>26</v>
      </c>
      <c r="BD814">
        <v>26.42</v>
      </c>
      <c r="BE814">
        <v>126</v>
      </c>
      <c r="BF814">
        <v>88.1</v>
      </c>
      <c r="BG814">
        <v>30</v>
      </c>
      <c r="BH814">
        <v>26</v>
      </c>
      <c r="BI814">
        <v>26.42</v>
      </c>
      <c r="BJ814">
        <v>126</v>
      </c>
      <c r="BK814">
        <v>88.1</v>
      </c>
      <c r="BL814">
        <v>126</v>
      </c>
      <c r="BM814">
        <v>5.6346999999999996</v>
      </c>
    </row>
    <row r="815" spans="1:65" x14ac:dyDescent="0.25">
      <c r="A815" t="s">
        <v>878</v>
      </c>
      <c r="B815" t="s">
        <v>1857</v>
      </c>
      <c r="C815" t="s">
        <v>2159</v>
      </c>
      <c r="D815" s="1">
        <v>45325</v>
      </c>
      <c r="E815" s="1">
        <v>45363</v>
      </c>
      <c r="F815" s="1">
        <v>45427</v>
      </c>
      <c r="G815" t="s">
        <v>2165</v>
      </c>
      <c r="I815" t="s">
        <v>2174</v>
      </c>
      <c r="J815">
        <v>17921</v>
      </c>
      <c r="K815">
        <v>537</v>
      </c>
      <c r="L815">
        <v>2.2000000000000002</v>
      </c>
      <c r="M815">
        <v>3.7</v>
      </c>
      <c r="N815">
        <v>1</v>
      </c>
      <c r="O815">
        <v>4203</v>
      </c>
      <c r="P815" t="s">
        <v>2176</v>
      </c>
      <c r="Q815">
        <v>9</v>
      </c>
      <c r="R815">
        <v>12</v>
      </c>
      <c r="S815">
        <v>14</v>
      </c>
      <c r="T815">
        <v>512</v>
      </c>
      <c r="U815" t="s">
        <v>2165</v>
      </c>
      <c r="W815" t="s">
        <v>2208</v>
      </c>
      <c r="X815" t="s">
        <v>2210</v>
      </c>
      <c r="Y815" t="s">
        <v>2212</v>
      </c>
      <c r="Z815" s="1">
        <v>45398</v>
      </c>
      <c r="AA815" s="1">
        <v>45412</v>
      </c>
      <c r="AB815" t="s">
        <v>2214</v>
      </c>
      <c r="AC815" t="s">
        <v>2209</v>
      </c>
      <c r="AD815" t="s">
        <v>2216</v>
      </c>
      <c r="AE815" t="s">
        <v>2165</v>
      </c>
      <c r="AG815" t="s">
        <v>2220</v>
      </c>
      <c r="AH815">
        <v>35</v>
      </c>
      <c r="AI815">
        <v>49</v>
      </c>
      <c r="AJ815">
        <v>14</v>
      </c>
      <c r="AK815">
        <v>3</v>
      </c>
      <c r="AL815" t="s">
        <v>2227</v>
      </c>
      <c r="AM815">
        <v>0</v>
      </c>
      <c r="AN815" t="s">
        <v>2176</v>
      </c>
      <c r="AO815" t="s">
        <v>2176</v>
      </c>
      <c r="AP815" t="s">
        <v>2176</v>
      </c>
      <c r="AQ815">
        <v>8.14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4.5999999999999996</v>
      </c>
      <c r="AY815">
        <v>4.5999999999999996</v>
      </c>
      <c r="AZ815">
        <v>0</v>
      </c>
      <c r="BA815">
        <v>0</v>
      </c>
      <c r="BB815">
        <v>48</v>
      </c>
      <c r="BC815">
        <v>26</v>
      </c>
      <c r="BD815">
        <v>42.38</v>
      </c>
      <c r="BE815">
        <v>212</v>
      </c>
      <c r="BF815">
        <v>88.3</v>
      </c>
      <c r="BG815">
        <v>48</v>
      </c>
      <c r="BH815">
        <v>26</v>
      </c>
      <c r="BI815">
        <v>42.38</v>
      </c>
      <c r="BJ815">
        <v>212</v>
      </c>
      <c r="BK815">
        <v>88.3</v>
      </c>
      <c r="BL815">
        <v>212</v>
      </c>
      <c r="BM815">
        <v>3.2507000000000001</v>
      </c>
    </row>
    <row r="816" spans="1:65" x14ac:dyDescent="0.25">
      <c r="A816" t="s">
        <v>879</v>
      </c>
      <c r="B816" t="s">
        <v>1858</v>
      </c>
      <c r="C816" t="s">
        <v>2160</v>
      </c>
      <c r="D816" s="1">
        <v>45428</v>
      </c>
      <c r="E816" s="1">
        <v>45457</v>
      </c>
      <c r="F816" s="1">
        <v>45513</v>
      </c>
      <c r="G816" t="s">
        <v>2163</v>
      </c>
      <c r="I816" t="s">
        <v>2176</v>
      </c>
      <c r="J816">
        <v>13521</v>
      </c>
      <c r="K816">
        <v>405</v>
      </c>
      <c r="L816">
        <v>5.4</v>
      </c>
      <c r="M816">
        <v>5.2</v>
      </c>
      <c r="N816">
        <v>2</v>
      </c>
      <c r="O816">
        <v>3567</v>
      </c>
      <c r="P816" t="s">
        <v>2176</v>
      </c>
      <c r="Q816">
        <v>6</v>
      </c>
      <c r="R816">
        <v>7</v>
      </c>
      <c r="S816">
        <v>13</v>
      </c>
      <c r="T816">
        <v>520</v>
      </c>
      <c r="U816" t="s">
        <v>2163</v>
      </c>
      <c r="W816" t="s">
        <v>2208</v>
      </c>
      <c r="X816" t="s">
        <v>2210</v>
      </c>
      <c r="Y816" t="s">
        <v>2212</v>
      </c>
      <c r="Z816" s="1">
        <v>45483</v>
      </c>
      <c r="AA816" s="1">
        <v>45500</v>
      </c>
      <c r="AB816" t="s">
        <v>2214</v>
      </c>
      <c r="AC816" t="s">
        <v>2209</v>
      </c>
      <c r="AD816" t="s">
        <v>2216</v>
      </c>
      <c r="AE816" t="s">
        <v>2163</v>
      </c>
      <c r="AG816" t="s">
        <v>2220</v>
      </c>
      <c r="AH816">
        <v>26</v>
      </c>
      <c r="AI816">
        <v>43</v>
      </c>
      <c r="AJ816">
        <v>17</v>
      </c>
      <c r="AK816">
        <v>6</v>
      </c>
      <c r="AL816" t="s">
        <v>2223</v>
      </c>
      <c r="AM816">
        <v>0</v>
      </c>
      <c r="AN816" t="s">
        <v>2177</v>
      </c>
      <c r="AO816" t="s">
        <v>2176</v>
      </c>
      <c r="AP816" t="s">
        <v>2176</v>
      </c>
      <c r="AQ816">
        <v>28.08</v>
      </c>
      <c r="AR816">
        <v>1</v>
      </c>
      <c r="AS816">
        <v>2</v>
      </c>
      <c r="AT816">
        <v>1</v>
      </c>
      <c r="AU816">
        <v>1</v>
      </c>
      <c r="AV816">
        <v>1.333333333333333</v>
      </c>
      <c r="AW816">
        <v>4.4000000000000004</v>
      </c>
      <c r="AY816">
        <v>4.4000000000000004</v>
      </c>
      <c r="AZ816">
        <v>1</v>
      </c>
      <c r="BA816">
        <v>1</v>
      </c>
      <c r="BB816">
        <v>30</v>
      </c>
      <c r="BC816">
        <v>25</v>
      </c>
      <c r="BD816">
        <v>26.48</v>
      </c>
      <c r="BE816">
        <v>121</v>
      </c>
      <c r="BF816">
        <v>88.3</v>
      </c>
      <c r="BG816">
        <v>30</v>
      </c>
      <c r="BH816">
        <v>25</v>
      </c>
      <c r="BI816">
        <v>26.48</v>
      </c>
      <c r="BJ816">
        <v>121</v>
      </c>
      <c r="BK816">
        <v>88.3</v>
      </c>
      <c r="BL816">
        <v>121</v>
      </c>
      <c r="BM816">
        <v>4.4683000000000002</v>
      </c>
    </row>
    <row r="817" spans="1:65" x14ac:dyDescent="0.25">
      <c r="A817" t="s">
        <v>880</v>
      </c>
      <c r="B817" t="s">
        <v>1859</v>
      </c>
      <c r="C817" t="s">
        <v>2159</v>
      </c>
      <c r="D817" s="1">
        <v>45275</v>
      </c>
      <c r="E817" s="1">
        <v>45333</v>
      </c>
      <c r="F817" s="1">
        <v>45399</v>
      </c>
      <c r="G817" t="s">
        <v>2163</v>
      </c>
      <c r="I817" t="s">
        <v>2174</v>
      </c>
      <c r="J817">
        <v>14327</v>
      </c>
      <c r="K817">
        <v>429</v>
      </c>
      <c r="L817">
        <v>7</v>
      </c>
      <c r="M817">
        <v>6.2</v>
      </c>
      <c r="N817">
        <v>1</v>
      </c>
      <c r="O817">
        <v>3283</v>
      </c>
      <c r="P817" t="s">
        <v>2176</v>
      </c>
      <c r="Q817">
        <v>8</v>
      </c>
      <c r="R817">
        <v>10</v>
      </c>
      <c r="S817">
        <v>15</v>
      </c>
      <c r="T817">
        <v>434</v>
      </c>
      <c r="U817" t="s">
        <v>2163</v>
      </c>
      <c r="W817" t="s">
        <v>2208</v>
      </c>
      <c r="X817" t="s">
        <v>2210</v>
      </c>
      <c r="Y817" t="s">
        <v>2212</v>
      </c>
      <c r="Z817" s="1">
        <v>45366</v>
      </c>
      <c r="AA817" s="1">
        <v>45380</v>
      </c>
      <c r="AB817" t="s">
        <v>2214</v>
      </c>
      <c r="AC817" t="s">
        <v>2209</v>
      </c>
      <c r="AD817" t="s">
        <v>2216</v>
      </c>
      <c r="AE817" t="s">
        <v>2163</v>
      </c>
      <c r="AG817" t="s">
        <v>2220</v>
      </c>
      <c r="AH817">
        <v>33</v>
      </c>
      <c r="AI817">
        <v>47</v>
      </c>
      <c r="AJ817">
        <v>14</v>
      </c>
      <c r="AK817">
        <v>2</v>
      </c>
      <c r="AL817" t="s">
        <v>2228</v>
      </c>
      <c r="AM817">
        <v>0</v>
      </c>
      <c r="AN817" t="s">
        <v>2177</v>
      </c>
      <c r="AO817" t="s">
        <v>2176</v>
      </c>
      <c r="AP817" t="s">
        <v>2176</v>
      </c>
      <c r="AQ817">
        <v>43.4</v>
      </c>
      <c r="AR817">
        <v>1</v>
      </c>
      <c r="AS817">
        <v>2</v>
      </c>
      <c r="AT817">
        <v>1</v>
      </c>
      <c r="AU817">
        <v>1</v>
      </c>
      <c r="AV817">
        <v>1.333333333333333</v>
      </c>
      <c r="AW817">
        <v>4.4000000000000004</v>
      </c>
      <c r="AY817">
        <v>4.4000000000000004</v>
      </c>
      <c r="AZ817">
        <v>0</v>
      </c>
      <c r="BA817">
        <v>0</v>
      </c>
      <c r="BB817">
        <v>30</v>
      </c>
      <c r="BC817">
        <v>24</v>
      </c>
      <c r="BD817">
        <v>26.21</v>
      </c>
      <c r="BE817">
        <v>116</v>
      </c>
      <c r="BF817">
        <v>87.4</v>
      </c>
      <c r="BG817">
        <v>30</v>
      </c>
      <c r="BH817">
        <v>24</v>
      </c>
      <c r="BI817">
        <v>26.21</v>
      </c>
      <c r="BJ817">
        <v>116</v>
      </c>
      <c r="BK817">
        <v>87.4</v>
      </c>
      <c r="BL817">
        <v>116</v>
      </c>
      <c r="BM817">
        <v>5.1443000000000003</v>
      </c>
    </row>
    <row r="818" spans="1:65" x14ac:dyDescent="0.25">
      <c r="A818" t="s">
        <v>881</v>
      </c>
      <c r="B818" t="s">
        <v>1860</v>
      </c>
      <c r="C818" t="s">
        <v>2157</v>
      </c>
      <c r="D818" s="1">
        <v>45358</v>
      </c>
      <c r="E818" s="1">
        <v>45415</v>
      </c>
      <c r="F818" s="1">
        <v>45496</v>
      </c>
      <c r="G818" t="s">
        <v>2166</v>
      </c>
      <c r="I818" t="s">
        <v>2174</v>
      </c>
      <c r="J818">
        <v>18440</v>
      </c>
      <c r="K818">
        <v>553</v>
      </c>
      <c r="L818">
        <v>3.4</v>
      </c>
      <c r="M818">
        <v>7.4</v>
      </c>
      <c r="N818">
        <v>2</v>
      </c>
      <c r="O818">
        <v>2680</v>
      </c>
      <c r="P818" t="s">
        <v>2176</v>
      </c>
      <c r="Q818">
        <v>11</v>
      </c>
      <c r="R818">
        <v>15</v>
      </c>
      <c r="S818">
        <v>14</v>
      </c>
      <c r="T818">
        <v>461</v>
      </c>
      <c r="U818" t="s">
        <v>2166</v>
      </c>
      <c r="W818" t="s">
        <v>2208</v>
      </c>
      <c r="X818" t="s">
        <v>2210</v>
      </c>
      <c r="Y818" t="s">
        <v>2212</v>
      </c>
      <c r="Z818" s="1">
        <v>45455</v>
      </c>
      <c r="AA818" s="1">
        <v>45470</v>
      </c>
      <c r="AB818" t="s">
        <v>2214</v>
      </c>
      <c r="AC818" t="s">
        <v>2209</v>
      </c>
      <c r="AD818" t="s">
        <v>2216</v>
      </c>
      <c r="AE818" t="s">
        <v>2166</v>
      </c>
      <c r="AG818" t="s">
        <v>2220</v>
      </c>
      <c r="AH818">
        <v>40</v>
      </c>
      <c r="AI818">
        <v>55</v>
      </c>
      <c r="AJ818">
        <v>15</v>
      </c>
      <c r="AK818">
        <v>5</v>
      </c>
      <c r="AL818" t="s">
        <v>2224</v>
      </c>
      <c r="AM818">
        <v>0</v>
      </c>
      <c r="AN818" t="s">
        <v>2176</v>
      </c>
      <c r="AO818" t="s">
        <v>2176</v>
      </c>
      <c r="AP818" t="s">
        <v>2176</v>
      </c>
      <c r="AQ818">
        <v>25.16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4.8</v>
      </c>
      <c r="AY818">
        <v>4.8</v>
      </c>
      <c r="AZ818">
        <v>3</v>
      </c>
      <c r="BA818">
        <v>0</v>
      </c>
      <c r="BB818">
        <v>43</v>
      </c>
      <c r="BC818">
        <v>27</v>
      </c>
      <c r="BD818">
        <v>37.299999999999997</v>
      </c>
      <c r="BE818">
        <v>193</v>
      </c>
      <c r="BF818">
        <v>86.7</v>
      </c>
      <c r="BG818">
        <v>43</v>
      </c>
      <c r="BH818">
        <v>27</v>
      </c>
      <c r="BI818">
        <v>37.299999999999997</v>
      </c>
      <c r="BJ818">
        <v>193</v>
      </c>
      <c r="BK818">
        <v>86.7</v>
      </c>
      <c r="BL818">
        <v>193</v>
      </c>
      <c r="BM818">
        <v>3.5379999999999998</v>
      </c>
    </row>
    <row r="819" spans="1:65" x14ac:dyDescent="0.25">
      <c r="A819" t="s">
        <v>882</v>
      </c>
      <c r="B819" t="s">
        <v>1861</v>
      </c>
      <c r="C819" t="s">
        <v>2157</v>
      </c>
      <c r="D819" s="1">
        <v>45282</v>
      </c>
      <c r="E819" s="1">
        <v>45333</v>
      </c>
      <c r="F819" s="1">
        <v>45440</v>
      </c>
      <c r="G819" t="s">
        <v>2164</v>
      </c>
      <c r="I819" t="s">
        <v>2174</v>
      </c>
      <c r="J819">
        <v>20479</v>
      </c>
      <c r="K819">
        <v>614</v>
      </c>
      <c r="L819">
        <v>4.2</v>
      </c>
      <c r="M819">
        <v>4.3</v>
      </c>
      <c r="N819">
        <v>2</v>
      </c>
      <c r="O819">
        <v>3779</v>
      </c>
      <c r="P819" t="s">
        <v>2176</v>
      </c>
      <c r="Q819">
        <v>14</v>
      </c>
      <c r="R819">
        <v>17</v>
      </c>
      <c r="S819">
        <v>27</v>
      </c>
      <c r="T819">
        <v>353</v>
      </c>
      <c r="U819" t="s">
        <v>2164</v>
      </c>
      <c r="W819" t="s">
        <v>2208</v>
      </c>
      <c r="X819" t="s">
        <v>2210</v>
      </c>
      <c r="Y819" t="s">
        <v>2212</v>
      </c>
      <c r="Z819" s="1">
        <v>45391</v>
      </c>
      <c r="AA819" s="1">
        <v>45412</v>
      </c>
      <c r="AB819" t="s">
        <v>2214</v>
      </c>
      <c r="AC819" t="s">
        <v>2209</v>
      </c>
      <c r="AD819" t="s">
        <v>2216</v>
      </c>
      <c r="AE819" t="s">
        <v>2164</v>
      </c>
      <c r="AG819" t="s">
        <v>2220</v>
      </c>
      <c r="AH819">
        <v>58</v>
      </c>
      <c r="AI819">
        <v>79</v>
      </c>
      <c r="AJ819">
        <v>21</v>
      </c>
      <c r="AK819">
        <v>2</v>
      </c>
      <c r="AL819" t="s">
        <v>2228</v>
      </c>
      <c r="AM819">
        <v>0</v>
      </c>
      <c r="AN819" t="s">
        <v>2176</v>
      </c>
      <c r="AO819" t="s">
        <v>2176</v>
      </c>
      <c r="AP819" t="s">
        <v>2176</v>
      </c>
      <c r="AQ819">
        <v>18.059999999999999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4.5</v>
      </c>
      <c r="AY819">
        <v>4.5</v>
      </c>
      <c r="AZ819">
        <v>3</v>
      </c>
      <c r="BA819">
        <v>0</v>
      </c>
      <c r="BB819">
        <v>27</v>
      </c>
      <c r="BC819">
        <v>24</v>
      </c>
      <c r="BD819">
        <v>24.04</v>
      </c>
      <c r="BE819">
        <v>106</v>
      </c>
      <c r="BF819">
        <v>89</v>
      </c>
      <c r="BG819">
        <v>27</v>
      </c>
      <c r="BH819">
        <v>24</v>
      </c>
      <c r="BI819">
        <v>24.04</v>
      </c>
      <c r="BJ819">
        <v>106</v>
      </c>
      <c r="BK819">
        <v>89</v>
      </c>
      <c r="BL819">
        <v>106</v>
      </c>
      <c r="BM819">
        <v>8.0467999999999993</v>
      </c>
    </row>
    <row r="820" spans="1:65" x14ac:dyDescent="0.25">
      <c r="A820" t="s">
        <v>883</v>
      </c>
      <c r="B820" t="s">
        <v>1862</v>
      </c>
      <c r="C820" t="s">
        <v>2157</v>
      </c>
      <c r="D820" s="1">
        <v>45288</v>
      </c>
      <c r="E820" s="1">
        <v>45330</v>
      </c>
      <c r="F820" s="1">
        <v>45422</v>
      </c>
      <c r="G820" t="s">
        <v>2165</v>
      </c>
      <c r="I820" t="s">
        <v>2174</v>
      </c>
      <c r="J820">
        <v>23714</v>
      </c>
      <c r="K820">
        <v>711</v>
      </c>
      <c r="L820">
        <v>5</v>
      </c>
      <c r="M820">
        <v>1.8</v>
      </c>
      <c r="N820">
        <v>1</v>
      </c>
      <c r="O820">
        <v>1179</v>
      </c>
      <c r="P820" t="s">
        <v>2176</v>
      </c>
      <c r="Q820">
        <v>18</v>
      </c>
      <c r="R820">
        <v>26</v>
      </c>
      <c r="S820">
        <v>19</v>
      </c>
      <c r="T820">
        <v>376</v>
      </c>
      <c r="U820" t="s">
        <v>2165</v>
      </c>
      <c r="W820" t="s">
        <v>2208</v>
      </c>
      <c r="X820" t="s">
        <v>2210</v>
      </c>
      <c r="Y820" t="s">
        <v>2212</v>
      </c>
      <c r="Z820" s="1">
        <v>45393</v>
      </c>
      <c r="AA820" s="1">
        <v>45413</v>
      </c>
      <c r="AB820" t="s">
        <v>2214</v>
      </c>
      <c r="AC820" t="s">
        <v>2209</v>
      </c>
      <c r="AD820" t="s">
        <v>2216</v>
      </c>
      <c r="AE820" t="s">
        <v>2165</v>
      </c>
      <c r="AG820" t="s">
        <v>2220</v>
      </c>
      <c r="AH820">
        <v>63</v>
      </c>
      <c r="AI820">
        <v>83</v>
      </c>
      <c r="AJ820">
        <v>20</v>
      </c>
      <c r="AK820">
        <v>2</v>
      </c>
      <c r="AL820" t="s">
        <v>2228</v>
      </c>
      <c r="AM820">
        <v>0</v>
      </c>
      <c r="AN820" t="s">
        <v>2176</v>
      </c>
      <c r="AO820" t="s">
        <v>2176</v>
      </c>
      <c r="AP820" t="s">
        <v>2176</v>
      </c>
      <c r="AQ820">
        <v>9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4.5999999999999996</v>
      </c>
      <c r="AY820">
        <v>4.5999999999999996</v>
      </c>
      <c r="AZ820">
        <v>3</v>
      </c>
      <c r="BA820">
        <v>0</v>
      </c>
      <c r="BB820">
        <v>36</v>
      </c>
      <c r="BC820">
        <v>24</v>
      </c>
      <c r="BD820">
        <v>31.79</v>
      </c>
      <c r="BE820">
        <v>142</v>
      </c>
      <c r="BF820">
        <v>88.3</v>
      </c>
      <c r="BG820">
        <v>36</v>
      </c>
      <c r="BH820">
        <v>24</v>
      </c>
      <c r="BI820">
        <v>31.79</v>
      </c>
      <c r="BJ820">
        <v>142</v>
      </c>
      <c r="BK820">
        <v>88.3</v>
      </c>
      <c r="BL820">
        <v>142</v>
      </c>
      <c r="BM820">
        <v>6.9562999999999997</v>
      </c>
    </row>
    <row r="821" spans="1:65" x14ac:dyDescent="0.25">
      <c r="A821" t="s">
        <v>884</v>
      </c>
      <c r="B821" t="s">
        <v>1863</v>
      </c>
      <c r="C821" t="s">
        <v>2159</v>
      </c>
      <c r="D821" s="1">
        <v>45492</v>
      </c>
      <c r="E821" s="1">
        <v>45522</v>
      </c>
      <c r="F821" s="1">
        <v>45600</v>
      </c>
      <c r="G821" t="s">
        <v>2166</v>
      </c>
      <c r="I821" t="s">
        <v>2174</v>
      </c>
      <c r="J821">
        <v>17817</v>
      </c>
      <c r="K821">
        <v>534</v>
      </c>
      <c r="L821">
        <v>3.4</v>
      </c>
      <c r="M821">
        <v>5.6</v>
      </c>
      <c r="N821">
        <v>2</v>
      </c>
      <c r="O821">
        <v>4964</v>
      </c>
      <c r="P821" t="s">
        <v>2176</v>
      </c>
      <c r="Q821">
        <v>12</v>
      </c>
      <c r="R821">
        <v>14</v>
      </c>
      <c r="S821">
        <v>15</v>
      </c>
      <c r="T821">
        <v>434</v>
      </c>
      <c r="U821" t="s">
        <v>2166</v>
      </c>
      <c r="W821" t="s">
        <v>2208</v>
      </c>
      <c r="X821" t="s">
        <v>2210</v>
      </c>
      <c r="Y821" t="s">
        <v>2212</v>
      </c>
      <c r="Z821" s="1">
        <v>45563</v>
      </c>
      <c r="AA821" s="1">
        <v>45580</v>
      </c>
      <c r="AB821" t="s">
        <v>2214</v>
      </c>
      <c r="AC821" t="s">
        <v>2209</v>
      </c>
      <c r="AD821" t="s">
        <v>2216</v>
      </c>
      <c r="AE821" t="s">
        <v>2166</v>
      </c>
      <c r="AG821" t="s">
        <v>2220</v>
      </c>
      <c r="AH821">
        <v>41</v>
      </c>
      <c r="AI821">
        <v>58</v>
      </c>
      <c r="AJ821">
        <v>17</v>
      </c>
      <c r="AK821">
        <v>8</v>
      </c>
      <c r="AL821" t="s">
        <v>2232</v>
      </c>
      <c r="AM821">
        <v>0</v>
      </c>
      <c r="AN821" t="s">
        <v>2176</v>
      </c>
      <c r="AO821" t="s">
        <v>2176</v>
      </c>
      <c r="AP821" t="s">
        <v>2176</v>
      </c>
      <c r="AQ821">
        <v>19.04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4.8</v>
      </c>
      <c r="AY821">
        <v>4.8</v>
      </c>
      <c r="AZ821">
        <v>0</v>
      </c>
      <c r="BA821">
        <v>0</v>
      </c>
      <c r="BB821">
        <v>41</v>
      </c>
      <c r="BC821">
        <v>26</v>
      </c>
      <c r="BD821">
        <v>36.15</v>
      </c>
      <c r="BE821">
        <v>176</v>
      </c>
      <c r="BF821">
        <v>88.2</v>
      </c>
      <c r="BG821">
        <v>41</v>
      </c>
      <c r="BH821">
        <v>26</v>
      </c>
      <c r="BI821">
        <v>36.15</v>
      </c>
      <c r="BJ821">
        <v>176</v>
      </c>
      <c r="BK821">
        <v>88.2</v>
      </c>
      <c r="BL821">
        <v>176</v>
      </c>
      <c r="BM821">
        <v>3.8927</v>
      </c>
    </row>
    <row r="822" spans="1:65" x14ac:dyDescent="0.25">
      <c r="A822" t="s">
        <v>885</v>
      </c>
      <c r="B822" t="s">
        <v>1864</v>
      </c>
      <c r="C822" t="s">
        <v>2160</v>
      </c>
      <c r="D822" s="1">
        <v>45417</v>
      </c>
      <c r="E822" s="1">
        <v>45452</v>
      </c>
      <c r="F822" s="1">
        <v>45525</v>
      </c>
      <c r="G822" t="s">
        <v>2165</v>
      </c>
      <c r="I822" t="s">
        <v>2174</v>
      </c>
      <c r="J822">
        <v>20577</v>
      </c>
      <c r="K822">
        <v>617</v>
      </c>
      <c r="L822">
        <v>6.9</v>
      </c>
      <c r="M822">
        <v>5.8</v>
      </c>
      <c r="N822">
        <v>1</v>
      </c>
      <c r="O822">
        <v>1953</v>
      </c>
      <c r="P822" t="s">
        <v>2176</v>
      </c>
      <c r="Q822">
        <v>15</v>
      </c>
      <c r="R822">
        <v>20</v>
      </c>
      <c r="S822">
        <v>15</v>
      </c>
      <c r="T822">
        <v>411</v>
      </c>
      <c r="U822" t="s">
        <v>2165</v>
      </c>
      <c r="W822" t="s">
        <v>2208</v>
      </c>
      <c r="X822" t="s">
        <v>2210</v>
      </c>
      <c r="Y822" t="s">
        <v>2212</v>
      </c>
      <c r="Z822" s="1">
        <v>45502</v>
      </c>
      <c r="AA822" s="1">
        <v>45521</v>
      </c>
      <c r="AB822" t="s">
        <v>2214</v>
      </c>
      <c r="AC822" t="s">
        <v>2209</v>
      </c>
      <c r="AD822" t="s">
        <v>2216</v>
      </c>
      <c r="AE822" t="s">
        <v>2165</v>
      </c>
      <c r="AG822" t="s">
        <v>2220</v>
      </c>
      <c r="AH822">
        <v>50</v>
      </c>
      <c r="AI822">
        <v>69</v>
      </c>
      <c r="AJ822">
        <v>19</v>
      </c>
      <c r="AK822">
        <v>6</v>
      </c>
      <c r="AL822" t="s">
        <v>2223</v>
      </c>
      <c r="AM822">
        <v>0</v>
      </c>
      <c r="AN822" t="s">
        <v>2177</v>
      </c>
      <c r="AO822" t="s">
        <v>2176</v>
      </c>
      <c r="AP822" t="s">
        <v>2176</v>
      </c>
      <c r="AQ822">
        <v>40.020000000000003</v>
      </c>
      <c r="AR822">
        <v>1</v>
      </c>
      <c r="AS822">
        <v>2</v>
      </c>
      <c r="AT822">
        <v>1</v>
      </c>
      <c r="AU822">
        <v>1</v>
      </c>
      <c r="AV822">
        <v>1.333333333333333</v>
      </c>
      <c r="AW822">
        <v>4.5999999999999996</v>
      </c>
      <c r="AY822">
        <v>4.5999999999999996</v>
      </c>
      <c r="AZ822">
        <v>1</v>
      </c>
      <c r="BA822">
        <v>0</v>
      </c>
      <c r="BB822">
        <v>40</v>
      </c>
      <c r="BC822">
        <v>25</v>
      </c>
      <c r="BD822">
        <v>34.72</v>
      </c>
      <c r="BE822">
        <v>161</v>
      </c>
      <c r="BF822">
        <v>86.8</v>
      </c>
      <c r="BG822">
        <v>40</v>
      </c>
      <c r="BH822">
        <v>25</v>
      </c>
      <c r="BI822">
        <v>34.72</v>
      </c>
      <c r="BJ822">
        <v>161</v>
      </c>
      <c r="BK822">
        <v>86.8</v>
      </c>
      <c r="BL822">
        <v>161</v>
      </c>
      <c r="BM822">
        <v>5.1109999999999998</v>
      </c>
    </row>
    <row r="823" spans="1:65" x14ac:dyDescent="0.25">
      <c r="A823" t="s">
        <v>886</v>
      </c>
      <c r="B823" t="s">
        <v>1865</v>
      </c>
      <c r="C823" t="s">
        <v>2159</v>
      </c>
      <c r="D823" s="1">
        <v>45492</v>
      </c>
      <c r="E823" s="1">
        <v>45539</v>
      </c>
      <c r="F823" s="1">
        <v>45598</v>
      </c>
      <c r="G823" t="s">
        <v>2163</v>
      </c>
      <c r="I823" t="s">
        <v>2176</v>
      </c>
      <c r="J823">
        <v>5545</v>
      </c>
      <c r="K823">
        <v>166</v>
      </c>
      <c r="L823">
        <v>4.8</v>
      </c>
      <c r="M823">
        <v>2.7</v>
      </c>
      <c r="N823">
        <v>1</v>
      </c>
      <c r="O823">
        <v>3663</v>
      </c>
      <c r="P823" t="s">
        <v>2176</v>
      </c>
      <c r="Q823">
        <v>3</v>
      </c>
      <c r="R823">
        <v>4</v>
      </c>
      <c r="S823">
        <v>7</v>
      </c>
      <c r="T823">
        <v>396</v>
      </c>
      <c r="U823" t="s">
        <v>2163</v>
      </c>
      <c r="W823" t="s">
        <v>2208</v>
      </c>
      <c r="X823" t="s">
        <v>2210</v>
      </c>
      <c r="Y823" t="s">
        <v>2212</v>
      </c>
      <c r="Z823" s="1">
        <v>45553</v>
      </c>
      <c r="AA823" s="1">
        <v>45567</v>
      </c>
      <c r="AB823" t="s">
        <v>2214</v>
      </c>
      <c r="AC823" t="s">
        <v>2209</v>
      </c>
      <c r="AD823" t="s">
        <v>2216</v>
      </c>
      <c r="AE823" t="s">
        <v>2163</v>
      </c>
      <c r="AG823" t="s">
        <v>2220</v>
      </c>
      <c r="AH823">
        <v>14</v>
      </c>
      <c r="AI823">
        <v>28</v>
      </c>
      <c r="AJ823">
        <v>14</v>
      </c>
      <c r="AK823">
        <v>9</v>
      </c>
      <c r="AL823" t="s">
        <v>2234</v>
      </c>
      <c r="AM823">
        <v>0</v>
      </c>
      <c r="AN823" t="s">
        <v>2176</v>
      </c>
      <c r="AO823" t="s">
        <v>2176</v>
      </c>
      <c r="AP823" t="s">
        <v>2176</v>
      </c>
      <c r="AQ823">
        <v>12.96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4.4000000000000004</v>
      </c>
      <c r="AY823">
        <v>4.4000000000000004</v>
      </c>
      <c r="AZ823">
        <v>0</v>
      </c>
      <c r="BA823">
        <v>1</v>
      </c>
      <c r="BB823">
        <v>30</v>
      </c>
      <c r="BC823">
        <v>26</v>
      </c>
      <c r="BD823">
        <v>26.15</v>
      </c>
      <c r="BE823">
        <v>126</v>
      </c>
      <c r="BF823">
        <v>87.2</v>
      </c>
      <c r="BG823">
        <v>30</v>
      </c>
      <c r="BH823">
        <v>26</v>
      </c>
      <c r="BI823">
        <v>26.15</v>
      </c>
      <c r="BJ823">
        <v>126</v>
      </c>
      <c r="BK823">
        <v>87.2</v>
      </c>
      <c r="BL823">
        <v>126</v>
      </c>
      <c r="BM823">
        <v>1.6920999999999999</v>
      </c>
    </row>
    <row r="824" spans="1:65" x14ac:dyDescent="0.25">
      <c r="A824" t="s">
        <v>887</v>
      </c>
      <c r="B824" t="s">
        <v>1866</v>
      </c>
      <c r="C824" t="s">
        <v>2160</v>
      </c>
      <c r="D824" s="1">
        <v>45365</v>
      </c>
      <c r="E824" s="1">
        <v>45397</v>
      </c>
      <c r="F824" s="1">
        <v>45490</v>
      </c>
      <c r="G824" t="s">
        <v>2161</v>
      </c>
      <c r="I824" t="s">
        <v>2174</v>
      </c>
      <c r="J824">
        <v>19820</v>
      </c>
      <c r="K824">
        <v>594</v>
      </c>
      <c r="L824">
        <v>5</v>
      </c>
      <c r="M824">
        <v>1.9</v>
      </c>
      <c r="N824">
        <v>2</v>
      </c>
      <c r="O824">
        <v>6307</v>
      </c>
      <c r="P824" t="s">
        <v>2176</v>
      </c>
      <c r="Q824">
        <v>13</v>
      </c>
      <c r="R824">
        <v>15</v>
      </c>
      <c r="S824">
        <v>20</v>
      </c>
      <c r="T824">
        <v>412</v>
      </c>
      <c r="U824" t="s">
        <v>2161</v>
      </c>
      <c r="W824" t="s">
        <v>2208</v>
      </c>
      <c r="X824" t="s">
        <v>2210</v>
      </c>
      <c r="Y824" t="s">
        <v>2212</v>
      </c>
      <c r="Z824" s="1">
        <v>45445</v>
      </c>
      <c r="AA824" s="1">
        <v>45466</v>
      </c>
      <c r="AB824" t="s">
        <v>2214</v>
      </c>
      <c r="AC824" t="s">
        <v>2209</v>
      </c>
      <c r="AD824" t="s">
        <v>2216</v>
      </c>
      <c r="AE824" t="s">
        <v>2161</v>
      </c>
      <c r="AG824" t="s">
        <v>2220</v>
      </c>
      <c r="AH824">
        <v>48</v>
      </c>
      <c r="AI824">
        <v>69</v>
      </c>
      <c r="AJ824">
        <v>21</v>
      </c>
      <c r="AK824">
        <v>4</v>
      </c>
      <c r="AL824" t="s">
        <v>2225</v>
      </c>
      <c r="AM824">
        <v>0</v>
      </c>
      <c r="AN824" t="s">
        <v>2176</v>
      </c>
      <c r="AO824" t="s">
        <v>2176</v>
      </c>
      <c r="AP824" t="s">
        <v>2176</v>
      </c>
      <c r="AQ824">
        <v>9.5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4.3</v>
      </c>
      <c r="AY824">
        <v>4.3</v>
      </c>
      <c r="AZ824">
        <v>1</v>
      </c>
      <c r="BA824">
        <v>0</v>
      </c>
      <c r="BB824">
        <v>32</v>
      </c>
      <c r="BC824">
        <v>26</v>
      </c>
      <c r="BD824">
        <v>28.46</v>
      </c>
      <c r="BE824">
        <v>138</v>
      </c>
      <c r="BF824">
        <v>88.9</v>
      </c>
      <c r="BG824">
        <v>32</v>
      </c>
      <c r="BH824">
        <v>26</v>
      </c>
      <c r="BI824">
        <v>28.46</v>
      </c>
      <c r="BJ824">
        <v>138</v>
      </c>
      <c r="BK824">
        <v>88.9</v>
      </c>
      <c r="BL824">
        <v>138</v>
      </c>
      <c r="BM824">
        <v>5.5224000000000002</v>
      </c>
    </row>
    <row r="825" spans="1:65" x14ac:dyDescent="0.25">
      <c r="A825" t="s">
        <v>888</v>
      </c>
      <c r="B825" t="s">
        <v>1867</v>
      </c>
      <c r="C825" t="s">
        <v>2159</v>
      </c>
      <c r="D825" s="1">
        <v>45511</v>
      </c>
      <c r="E825" s="1">
        <v>45545</v>
      </c>
      <c r="F825" s="1">
        <v>45623</v>
      </c>
      <c r="G825" t="s">
        <v>2164</v>
      </c>
      <c r="I825" t="s">
        <v>2174</v>
      </c>
      <c r="J825">
        <v>16593</v>
      </c>
      <c r="K825">
        <v>497</v>
      </c>
      <c r="L825">
        <v>2.4</v>
      </c>
      <c r="M825">
        <v>7.4</v>
      </c>
      <c r="N825">
        <v>2</v>
      </c>
      <c r="O825">
        <v>5511</v>
      </c>
      <c r="P825" t="s">
        <v>2176</v>
      </c>
      <c r="Q825">
        <v>12</v>
      </c>
      <c r="R825">
        <v>14</v>
      </c>
      <c r="S825">
        <v>18</v>
      </c>
      <c r="T825">
        <v>377</v>
      </c>
      <c r="U825" t="s">
        <v>2164</v>
      </c>
      <c r="W825" t="s">
        <v>2208</v>
      </c>
      <c r="X825" t="s">
        <v>2210</v>
      </c>
      <c r="Y825" t="s">
        <v>2212</v>
      </c>
      <c r="Z825" s="1">
        <v>45589</v>
      </c>
      <c r="AA825" s="1">
        <v>45604</v>
      </c>
      <c r="AB825" t="s">
        <v>2214</v>
      </c>
      <c r="AC825" t="s">
        <v>2209</v>
      </c>
      <c r="AD825" t="s">
        <v>2216</v>
      </c>
      <c r="AE825" t="s">
        <v>2164</v>
      </c>
      <c r="AG825" t="s">
        <v>2220</v>
      </c>
      <c r="AH825">
        <v>44</v>
      </c>
      <c r="AI825">
        <v>59</v>
      </c>
      <c r="AJ825">
        <v>15</v>
      </c>
      <c r="AK825">
        <v>9</v>
      </c>
      <c r="AL825" t="s">
        <v>2234</v>
      </c>
      <c r="AM825">
        <v>0</v>
      </c>
      <c r="AN825" t="s">
        <v>2176</v>
      </c>
      <c r="AO825" t="s">
        <v>2176</v>
      </c>
      <c r="AP825" t="s">
        <v>2176</v>
      </c>
      <c r="AQ825">
        <v>17.760000000000002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4.5</v>
      </c>
      <c r="AY825">
        <v>4.5</v>
      </c>
      <c r="AZ825">
        <v>0</v>
      </c>
      <c r="BA825">
        <v>0</v>
      </c>
      <c r="BB825">
        <v>34</v>
      </c>
      <c r="BC825">
        <v>26</v>
      </c>
      <c r="BD825">
        <v>29.81</v>
      </c>
      <c r="BE825">
        <v>147</v>
      </c>
      <c r="BF825">
        <v>87.7</v>
      </c>
      <c r="BG825">
        <v>34</v>
      </c>
      <c r="BH825">
        <v>26</v>
      </c>
      <c r="BI825">
        <v>29.81</v>
      </c>
      <c r="BJ825">
        <v>147</v>
      </c>
      <c r="BK825">
        <v>87.7</v>
      </c>
      <c r="BL825">
        <v>147</v>
      </c>
      <c r="BM825">
        <v>4.3403</v>
      </c>
    </row>
    <row r="826" spans="1:65" x14ac:dyDescent="0.25">
      <c r="A826" t="s">
        <v>889</v>
      </c>
      <c r="B826" t="s">
        <v>1868</v>
      </c>
      <c r="C826" t="s">
        <v>2157</v>
      </c>
      <c r="D826" s="1">
        <v>45252</v>
      </c>
      <c r="E826" s="1">
        <v>45310</v>
      </c>
      <c r="F826" s="1">
        <v>45401</v>
      </c>
      <c r="G826" t="s">
        <v>2163</v>
      </c>
      <c r="I826" t="s">
        <v>2176</v>
      </c>
      <c r="J826">
        <v>23260</v>
      </c>
      <c r="K826">
        <v>697</v>
      </c>
      <c r="L826">
        <v>7.6</v>
      </c>
      <c r="M826">
        <v>8</v>
      </c>
      <c r="N826">
        <v>2</v>
      </c>
      <c r="O826">
        <v>6356</v>
      </c>
      <c r="P826" t="s">
        <v>2176</v>
      </c>
      <c r="Q826">
        <v>13</v>
      </c>
      <c r="R826">
        <v>16</v>
      </c>
      <c r="S826">
        <v>17</v>
      </c>
      <c r="T826">
        <v>505</v>
      </c>
      <c r="U826" t="s">
        <v>2163</v>
      </c>
      <c r="W826" t="s">
        <v>2208</v>
      </c>
      <c r="X826" t="s">
        <v>2210</v>
      </c>
      <c r="Y826" t="s">
        <v>2212</v>
      </c>
      <c r="Z826" s="1">
        <v>45356</v>
      </c>
      <c r="AA826" s="1">
        <v>45369</v>
      </c>
      <c r="AB826" t="s">
        <v>2214</v>
      </c>
      <c r="AC826" t="s">
        <v>2209</v>
      </c>
      <c r="AD826" t="s">
        <v>2216</v>
      </c>
      <c r="AE826" t="s">
        <v>2163</v>
      </c>
      <c r="AG826" t="s">
        <v>2220</v>
      </c>
      <c r="AH826">
        <v>46</v>
      </c>
      <c r="AI826">
        <v>59</v>
      </c>
      <c r="AJ826">
        <v>13</v>
      </c>
      <c r="AK826">
        <v>1</v>
      </c>
      <c r="AL826" t="s">
        <v>2233</v>
      </c>
      <c r="AM826">
        <v>0</v>
      </c>
      <c r="AN826" t="s">
        <v>2177</v>
      </c>
      <c r="AO826" t="s">
        <v>2176</v>
      </c>
      <c r="AP826" t="s">
        <v>2176</v>
      </c>
      <c r="AQ826">
        <v>60.8</v>
      </c>
      <c r="AR826">
        <v>1</v>
      </c>
      <c r="AS826">
        <v>2</v>
      </c>
      <c r="AT826">
        <v>1</v>
      </c>
      <c r="AU826">
        <v>1</v>
      </c>
      <c r="AV826">
        <v>1.333333333333333</v>
      </c>
      <c r="AW826">
        <v>4.4000000000000004</v>
      </c>
      <c r="AY826">
        <v>4.4000000000000004</v>
      </c>
      <c r="AZ826">
        <v>3</v>
      </c>
      <c r="BA826">
        <v>1</v>
      </c>
      <c r="BB826">
        <v>40</v>
      </c>
      <c r="BC826">
        <v>27</v>
      </c>
      <c r="BD826">
        <v>34.93</v>
      </c>
      <c r="BE826">
        <v>178</v>
      </c>
      <c r="BF826">
        <v>87.3</v>
      </c>
      <c r="BG826">
        <v>40</v>
      </c>
      <c r="BH826">
        <v>27</v>
      </c>
      <c r="BI826">
        <v>34.93</v>
      </c>
      <c r="BJ826">
        <v>178</v>
      </c>
      <c r="BK826">
        <v>87.3</v>
      </c>
      <c r="BL826">
        <v>178</v>
      </c>
      <c r="BM826">
        <v>4.8388</v>
      </c>
    </row>
    <row r="827" spans="1:65" x14ac:dyDescent="0.25">
      <c r="A827" t="s">
        <v>890</v>
      </c>
      <c r="B827" t="s">
        <v>1869</v>
      </c>
      <c r="C827" t="s">
        <v>2157</v>
      </c>
      <c r="D827" s="1">
        <v>45321</v>
      </c>
      <c r="E827" s="1">
        <v>45352</v>
      </c>
      <c r="F827" s="1">
        <v>45404</v>
      </c>
      <c r="G827" t="s">
        <v>2161</v>
      </c>
      <c r="I827" t="s">
        <v>2174</v>
      </c>
      <c r="J827">
        <v>7682</v>
      </c>
      <c r="K827">
        <v>230</v>
      </c>
      <c r="L827">
        <v>6.7</v>
      </c>
      <c r="M827">
        <v>3.2</v>
      </c>
      <c r="N827">
        <v>2</v>
      </c>
      <c r="O827">
        <v>5452</v>
      </c>
      <c r="P827" t="s">
        <v>2176</v>
      </c>
      <c r="Q827">
        <v>5</v>
      </c>
      <c r="R827">
        <v>7</v>
      </c>
      <c r="S827">
        <v>5</v>
      </c>
      <c r="T827">
        <v>451</v>
      </c>
      <c r="U827" t="s">
        <v>2161</v>
      </c>
      <c r="W827" t="s">
        <v>2208</v>
      </c>
      <c r="X827" t="s">
        <v>2210</v>
      </c>
      <c r="Y827" t="s">
        <v>2212</v>
      </c>
      <c r="Z827" s="1">
        <v>45369</v>
      </c>
      <c r="AA827" s="1">
        <v>45382</v>
      </c>
      <c r="AB827" t="s">
        <v>2214</v>
      </c>
      <c r="AC827" t="s">
        <v>2209</v>
      </c>
      <c r="AD827" t="s">
        <v>2216</v>
      </c>
      <c r="AE827" t="s">
        <v>2161</v>
      </c>
      <c r="AG827" t="s">
        <v>2220</v>
      </c>
      <c r="AH827">
        <v>17</v>
      </c>
      <c r="AI827">
        <v>30</v>
      </c>
      <c r="AJ827">
        <v>13</v>
      </c>
      <c r="AK827">
        <v>3</v>
      </c>
      <c r="AL827" t="s">
        <v>2227</v>
      </c>
      <c r="AM827">
        <v>0</v>
      </c>
      <c r="AN827" t="s">
        <v>2176</v>
      </c>
      <c r="AO827" t="s">
        <v>2176</v>
      </c>
      <c r="AP827" t="s">
        <v>2176</v>
      </c>
      <c r="AQ827">
        <v>21.44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4.3</v>
      </c>
      <c r="AY827">
        <v>4.3</v>
      </c>
      <c r="AZ827">
        <v>3</v>
      </c>
      <c r="BA827">
        <v>0</v>
      </c>
      <c r="BB827">
        <v>38</v>
      </c>
      <c r="BC827">
        <v>26</v>
      </c>
      <c r="BD827">
        <v>33.729999999999997</v>
      </c>
      <c r="BE827">
        <v>164</v>
      </c>
      <c r="BF827">
        <v>88.8</v>
      </c>
      <c r="BG827">
        <v>38</v>
      </c>
      <c r="BH827">
        <v>26</v>
      </c>
      <c r="BI827">
        <v>33.729999999999997</v>
      </c>
      <c r="BJ827">
        <v>164</v>
      </c>
      <c r="BK827">
        <v>88.8</v>
      </c>
      <c r="BL827">
        <v>164</v>
      </c>
      <c r="BM827">
        <v>1.8011999999999999</v>
      </c>
    </row>
    <row r="828" spans="1:65" x14ac:dyDescent="0.25">
      <c r="A828" t="s">
        <v>891</v>
      </c>
      <c r="B828" t="s">
        <v>1870</v>
      </c>
      <c r="C828" t="s">
        <v>2159</v>
      </c>
      <c r="D828" s="1">
        <v>45501</v>
      </c>
      <c r="E828" s="1">
        <v>45553</v>
      </c>
      <c r="F828" s="1">
        <v>45639</v>
      </c>
      <c r="G828" t="s">
        <v>2162</v>
      </c>
      <c r="I828" t="s">
        <v>2174</v>
      </c>
      <c r="J828">
        <v>24187</v>
      </c>
      <c r="K828">
        <v>725</v>
      </c>
      <c r="L828">
        <v>7.5</v>
      </c>
      <c r="M828">
        <v>6.3</v>
      </c>
      <c r="N828">
        <v>1</v>
      </c>
      <c r="O828">
        <v>3415</v>
      </c>
      <c r="P828" t="s">
        <v>2176</v>
      </c>
      <c r="Q828">
        <v>16</v>
      </c>
      <c r="R828">
        <v>23</v>
      </c>
      <c r="S828">
        <v>26</v>
      </c>
      <c r="T828">
        <v>372</v>
      </c>
      <c r="U828" t="s">
        <v>2162</v>
      </c>
      <c r="W828" t="s">
        <v>2208</v>
      </c>
      <c r="X828" t="s">
        <v>2210</v>
      </c>
      <c r="Y828" t="s">
        <v>2212</v>
      </c>
      <c r="Z828" s="1">
        <v>45618</v>
      </c>
      <c r="AA828" s="1">
        <v>45636</v>
      </c>
      <c r="AB828" t="s">
        <v>2214</v>
      </c>
      <c r="AC828" t="s">
        <v>2209</v>
      </c>
      <c r="AD828" t="s">
        <v>2216</v>
      </c>
      <c r="AE828" t="s">
        <v>2162</v>
      </c>
      <c r="AG828" t="s">
        <v>2220</v>
      </c>
      <c r="AH828">
        <v>65</v>
      </c>
      <c r="AI828">
        <v>83</v>
      </c>
      <c r="AJ828">
        <v>18</v>
      </c>
      <c r="AK828">
        <v>9</v>
      </c>
      <c r="AL828" t="s">
        <v>2234</v>
      </c>
      <c r="AM828">
        <v>0</v>
      </c>
      <c r="AN828" t="s">
        <v>2177</v>
      </c>
      <c r="AO828" t="s">
        <v>2176</v>
      </c>
      <c r="AP828" t="s">
        <v>2176</v>
      </c>
      <c r="AQ828">
        <v>47.25</v>
      </c>
      <c r="AR828">
        <v>1</v>
      </c>
      <c r="AS828">
        <v>2</v>
      </c>
      <c r="AT828">
        <v>1</v>
      </c>
      <c r="AU828">
        <v>1</v>
      </c>
      <c r="AV828">
        <v>1.333333333333333</v>
      </c>
      <c r="AW828">
        <v>4.2</v>
      </c>
      <c r="AY828">
        <v>4.2</v>
      </c>
      <c r="AZ828">
        <v>0</v>
      </c>
      <c r="BA828">
        <v>0</v>
      </c>
      <c r="BB828">
        <v>30</v>
      </c>
      <c r="BC828">
        <v>26</v>
      </c>
      <c r="BD828">
        <v>26.54</v>
      </c>
      <c r="BE828">
        <v>129</v>
      </c>
      <c r="BF828">
        <v>88.5</v>
      </c>
      <c r="BG828">
        <v>30</v>
      </c>
      <c r="BH828">
        <v>26</v>
      </c>
      <c r="BI828">
        <v>26.54</v>
      </c>
      <c r="BJ828">
        <v>129</v>
      </c>
      <c r="BK828">
        <v>88.5</v>
      </c>
      <c r="BL828">
        <v>129</v>
      </c>
      <c r="BM828">
        <v>7.2092000000000001</v>
      </c>
    </row>
    <row r="829" spans="1:65" x14ac:dyDescent="0.25">
      <c r="A829" t="s">
        <v>892</v>
      </c>
      <c r="B829" t="s">
        <v>1871</v>
      </c>
      <c r="C829" t="s">
        <v>2158</v>
      </c>
      <c r="D829" s="1">
        <v>45444</v>
      </c>
      <c r="E829" s="1">
        <v>45475</v>
      </c>
      <c r="F829" s="1">
        <v>45562</v>
      </c>
      <c r="G829" t="s">
        <v>2166</v>
      </c>
      <c r="I829" t="s">
        <v>2176</v>
      </c>
      <c r="J829">
        <v>22607</v>
      </c>
      <c r="K829">
        <v>678</v>
      </c>
      <c r="L829">
        <v>2.6</v>
      </c>
      <c r="M829">
        <v>3.2</v>
      </c>
      <c r="N829">
        <v>1</v>
      </c>
      <c r="O829">
        <v>5277</v>
      </c>
      <c r="P829" t="s">
        <v>2176</v>
      </c>
      <c r="Q829">
        <v>11</v>
      </c>
      <c r="R829">
        <v>16</v>
      </c>
      <c r="S829">
        <v>16</v>
      </c>
      <c r="T829">
        <v>525</v>
      </c>
      <c r="U829" t="s">
        <v>2166</v>
      </c>
      <c r="W829" t="s">
        <v>2208</v>
      </c>
      <c r="X829" t="s">
        <v>2210</v>
      </c>
      <c r="Y829" t="s">
        <v>2212</v>
      </c>
      <c r="Z829" s="1">
        <v>45518</v>
      </c>
      <c r="AA829" s="1">
        <v>45533</v>
      </c>
      <c r="AB829" t="s">
        <v>2214</v>
      </c>
      <c r="AC829" t="s">
        <v>2209</v>
      </c>
      <c r="AD829" t="s">
        <v>2216</v>
      </c>
      <c r="AE829" t="s">
        <v>2166</v>
      </c>
      <c r="AG829" t="s">
        <v>2220</v>
      </c>
      <c r="AH829">
        <v>43</v>
      </c>
      <c r="AI829">
        <v>58</v>
      </c>
      <c r="AJ829">
        <v>15</v>
      </c>
      <c r="AK829">
        <v>7</v>
      </c>
      <c r="AL829" t="s">
        <v>2226</v>
      </c>
      <c r="AM829">
        <v>0</v>
      </c>
      <c r="AN829" t="s">
        <v>2176</v>
      </c>
      <c r="AO829" t="s">
        <v>2176</v>
      </c>
      <c r="AP829" t="s">
        <v>2176</v>
      </c>
      <c r="AQ829">
        <v>8.32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4.8</v>
      </c>
      <c r="AY829">
        <v>4.8</v>
      </c>
      <c r="AZ829">
        <v>2</v>
      </c>
      <c r="BA829">
        <v>1</v>
      </c>
      <c r="BB829">
        <v>48</v>
      </c>
      <c r="BC829">
        <v>27</v>
      </c>
      <c r="BD829">
        <v>42.33</v>
      </c>
      <c r="BE829">
        <v>216</v>
      </c>
      <c r="BF829">
        <v>88.2</v>
      </c>
      <c r="BG829">
        <v>48</v>
      </c>
      <c r="BH829">
        <v>27</v>
      </c>
      <c r="BI829">
        <v>42.33</v>
      </c>
      <c r="BJ829">
        <v>216</v>
      </c>
      <c r="BK829">
        <v>88.2</v>
      </c>
      <c r="BL829">
        <v>216</v>
      </c>
      <c r="BM829">
        <v>3.8757000000000001</v>
      </c>
    </row>
    <row r="830" spans="1:65" x14ac:dyDescent="0.25">
      <c r="A830" t="s">
        <v>893</v>
      </c>
      <c r="B830" t="s">
        <v>1872</v>
      </c>
      <c r="C830" t="s">
        <v>2160</v>
      </c>
      <c r="D830" s="1">
        <v>45330</v>
      </c>
      <c r="E830" s="1">
        <v>45363</v>
      </c>
      <c r="F830" s="1">
        <v>45431</v>
      </c>
      <c r="G830" t="s">
        <v>2163</v>
      </c>
      <c r="I830" t="s">
        <v>2176</v>
      </c>
      <c r="J830">
        <v>20198</v>
      </c>
      <c r="K830">
        <v>605</v>
      </c>
      <c r="L830">
        <v>5.4</v>
      </c>
      <c r="M830">
        <v>5.5</v>
      </c>
      <c r="N830">
        <v>2</v>
      </c>
      <c r="O830">
        <v>5002</v>
      </c>
      <c r="P830" t="s">
        <v>2176</v>
      </c>
      <c r="Q830">
        <v>13</v>
      </c>
      <c r="R830">
        <v>17</v>
      </c>
      <c r="S830">
        <v>15</v>
      </c>
      <c r="T830">
        <v>448</v>
      </c>
      <c r="U830" t="s">
        <v>2163</v>
      </c>
      <c r="W830" t="s">
        <v>2208</v>
      </c>
      <c r="X830" t="s">
        <v>2210</v>
      </c>
      <c r="Y830" t="s">
        <v>2212</v>
      </c>
      <c r="Z830" s="1">
        <v>45408</v>
      </c>
      <c r="AA830" s="1">
        <v>45429</v>
      </c>
      <c r="AB830" t="s">
        <v>2214</v>
      </c>
      <c r="AC830" t="s">
        <v>2209</v>
      </c>
      <c r="AD830" t="s">
        <v>2216</v>
      </c>
      <c r="AE830" t="s">
        <v>2163</v>
      </c>
      <c r="AG830" t="s">
        <v>2220</v>
      </c>
      <c r="AH830">
        <v>45</v>
      </c>
      <c r="AI830">
        <v>66</v>
      </c>
      <c r="AJ830">
        <v>21</v>
      </c>
      <c r="AK830">
        <v>3</v>
      </c>
      <c r="AL830" t="s">
        <v>2227</v>
      </c>
      <c r="AM830">
        <v>0</v>
      </c>
      <c r="AN830" t="s">
        <v>2177</v>
      </c>
      <c r="AO830" t="s">
        <v>2176</v>
      </c>
      <c r="AP830" t="s">
        <v>2176</v>
      </c>
      <c r="AQ830">
        <v>29.7</v>
      </c>
      <c r="AR830">
        <v>1</v>
      </c>
      <c r="AS830">
        <v>2</v>
      </c>
      <c r="AT830">
        <v>1</v>
      </c>
      <c r="AU830">
        <v>1</v>
      </c>
      <c r="AV830">
        <v>1.333333333333333</v>
      </c>
      <c r="AW830">
        <v>4.4000000000000004</v>
      </c>
      <c r="AY830">
        <v>4.4000000000000004</v>
      </c>
      <c r="AZ830">
        <v>1</v>
      </c>
      <c r="BA830">
        <v>1</v>
      </c>
      <c r="BB830">
        <v>35</v>
      </c>
      <c r="BC830">
        <v>26</v>
      </c>
      <c r="BD830">
        <v>31.08</v>
      </c>
      <c r="BE830">
        <v>149</v>
      </c>
      <c r="BF830">
        <v>88.8</v>
      </c>
      <c r="BG830">
        <v>35</v>
      </c>
      <c r="BH830">
        <v>26</v>
      </c>
      <c r="BI830">
        <v>31.08</v>
      </c>
      <c r="BJ830">
        <v>149</v>
      </c>
      <c r="BK830">
        <v>88.8</v>
      </c>
      <c r="BL830">
        <v>149</v>
      </c>
      <c r="BM830">
        <v>5.2123999999999997</v>
      </c>
    </row>
    <row r="831" spans="1:65" x14ac:dyDescent="0.25">
      <c r="A831" t="s">
        <v>894</v>
      </c>
      <c r="B831" t="s">
        <v>1873</v>
      </c>
      <c r="C831" t="s">
        <v>2157</v>
      </c>
      <c r="D831" s="1">
        <v>45475</v>
      </c>
      <c r="E831" s="1">
        <v>45521</v>
      </c>
      <c r="F831" s="1">
        <v>45600</v>
      </c>
      <c r="G831" t="s">
        <v>2161</v>
      </c>
      <c r="I831" t="s">
        <v>2174</v>
      </c>
      <c r="J831">
        <v>20784</v>
      </c>
      <c r="K831">
        <v>623</v>
      </c>
      <c r="L831">
        <v>1.4</v>
      </c>
      <c r="M831">
        <v>3.1</v>
      </c>
      <c r="N831">
        <v>1</v>
      </c>
      <c r="O831">
        <v>3911</v>
      </c>
      <c r="P831" t="s">
        <v>2176</v>
      </c>
      <c r="Q831">
        <v>12</v>
      </c>
      <c r="R831">
        <v>17</v>
      </c>
      <c r="S831">
        <v>15</v>
      </c>
      <c r="T831">
        <v>472</v>
      </c>
      <c r="U831" t="s">
        <v>2161</v>
      </c>
      <c r="W831" t="s">
        <v>2208</v>
      </c>
      <c r="X831" t="s">
        <v>2210</v>
      </c>
      <c r="Y831" t="s">
        <v>2212</v>
      </c>
      <c r="Z831" s="1">
        <v>45565</v>
      </c>
      <c r="AA831" s="1">
        <v>45578</v>
      </c>
      <c r="AB831" t="s">
        <v>2214</v>
      </c>
      <c r="AC831" t="s">
        <v>2209</v>
      </c>
      <c r="AD831" t="s">
        <v>2216</v>
      </c>
      <c r="AE831" t="s">
        <v>2161</v>
      </c>
      <c r="AG831" t="s">
        <v>2220</v>
      </c>
      <c r="AH831">
        <v>44</v>
      </c>
      <c r="AI831">
        <v>57</v>
      </c>
      <c r="AJ831">
        <v>13</v>
      </c>
      <c r="AK831">
        <v>8</v>
      </c>
      <c r="AL831" t="s">
        <v>2232</v>
      </c>
      <c r="AM831">
        <v>0</v>
      </c>
      <c r="AN831" t="s">
        <v>2176</v>
      </c>
      <c r="AO831" t="s">
        <v>2176</v>
      </c>
      <c r="AP831" t="s">
        <v>2176</v>
      </c>
      <c r="AQ831">
        <v>4.34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4.3</v>
      </c>
      <c r="AY831">
        <v>4.3</v>
      </c>
      <c r="AZ831">
        <v>3</v>
      </c>
      <c r="BA831">
        <v>0</v>
      </c>
      <c r="BB831">
        <v>36</v>
      </c>
      <c r="BC831">
        <v>26</v>
      </c>
      <c r="BD831">
        <v>31.65</v>
      </c>
      <c r="BE831">
        <v>152</v>
      </c>
      <c r="BF831">
        <v>87.9</v>
      </c>
      <c r="BG831">
        <v>36</v>
      </c>
      <c r="BH831">
        <v>26</v>
      </c>
      <c r="BI831">
        <v>31.65</v>
      </c>
      <c r="BJ831">
        <v>152</v>
      </c>
      <c r="BK831">
        <v>87.9</v>
      </c>
      <c r="BL831">
        <v>152</v>
      </c>
      <c r="BM831">
        <v>5.2577999999999996</v>
      </c>
    </row>
    <row r="832" spans="1:65" x14ac:dyDescent="0.25">
      <c r="A832" t="s">
        <v>895</v>
      </c>
      <c r="B832" t="s">
        <v>1874</v>
      </c>
      <c r="C832" t="s">
        <v>2157</v>
      </c>
      <c r="D832" s="1">
        <v>45421</v>
      </c>
      <c r="E832" s="1">
        <v>45480</v>
      </c>
      <c r="F832" s="1">
        <v>45581</v>
      </c>
      <c r="G832" t="s">
        <v>2164</v>
      </c>
      <c r="I832" t="s">
        <v>2176</v>
      </c>
      <c r="J832">
        <v>21117</v>
      </c>
      <c r="K832">
        <v>633</v>
      </c>
      <c r="L832">
        <v>3.9</v>
      </c>
      <c r="M832">
        <v>5.9</v>
      </c>
      <c r="N832">
        <v>2</v>
      </c>
      <c r="O832">
        <v>3246</v>
      </c>
      <c r="P832" t="s">
        <v>2176</v>
      </c>
      <c r="Q832">
        <v>16</v>
      </c>
      <c r="R832">
        <v>22</v>
      </c>
      <c r="S832">
        <v>21</v>
      </c>
      <c r="T832">
        <v>357</v>
      </c>
      <c r="U832" t="s">
        <v>2164</v>
      </c>
      <c r="W832" t="s">
        <v>2208</v>
      </c>
      <c r="X832" t="s">
        <v>2210</v>
      </c>
      <c r="Y832" t="s">
        <v>2212</v>
      </c>
      <c r="Z832" s="1">
        <v>45539</v>
      </c>
      <c r="AA832" s="1">
        <v>45558</v>
      </c>
      <c r="AB832" t="s">
        <v>2214</v>
      </c>
      <c r="AC832" t="s">
        <v>2209</v>
      </c>
      <c r="AD832" t="s">
        <v>2216</v>
      </c>
      <c r="AE832" t="s">
        <v>2164</v>
      </c>
      <c r="AG832" t="s">
        <v>2220</v>
      </c>
      <c r="AH832">
        <v>59</v>
      </c>
      <c r="AI832">
        <v>78</v>
      </c>
      <c r="AJ832">
        <v>19</v>
      </c>
      <c r="AK832">
        <v>7</v>
      </c>
      <c r="AL832" t="s">
        <v>2226</v>
      </c>
      <c r="AM832">
        <v>0</v>
      </c>
      <c r="AN832" t="s">
        <v>2176</v>
      </c>
      <c r="AO832" t="s">
        <v>2176</v>
      </c>
      <c r="AP832" t="s">
        <v>2176</v>
      </c>
      <c r="AQ832">
        <v>23.01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4.5</v>
      </c>
      <c r="AY832">
        <v>4.5</v>
      </c>
      <c r="AZ832">
        <v>3</v>
      </c>
      <c r="BA832">
        <v>1</v>
      </c>
      <c r="BB832">
        <v>29</v>
      </c>
      <c r="BC832">
        <v>27</v>
      </c>
      <c r="BD832">
        <v>25.96</v>
      </c>
      <c r="BE832">
        <v>130</v>
      </c>
      <c r="BF832">
        <v>89.5</v>
      </c>
      <c r="BG832">
        <v>29</v>
      </c>
      <c r="BH832">
        <v>27</v>
      </c>
      <c r="BI832">
        <v>25.96</v>
      </c>
      <c r="BJ832">
        <v>130</v>
      </c>
      <c r="BK832">
        <v>89.5</v>
      </c>
      <c r="BL832">
        <v>130</v>
      </c>
      <c r="BM832">
        <v>6.0145</v>
      </c>
    </row>
    <row r="833" spans="1:65" x14ac:dyDescent="0.25">
      <c r="A833" t="s">
        <v>896</v>
      </c>
      <c r="B833" t="s">
        <v>1875</v>
      </c>
      <c r="C833" t="s">
        <v>2158</v>
      </c>
      <c r="D833" s="1">
        <v>45488</v>
      </c>
      <c r="E833" s="1">
        <v>45522</v>
      </c>
      <c r="F833" s="1">
        <v>45592</v>
      </c>
      <c r="G833" t="s">
        <v>2162</v>
      </c>
      <c r="I833" t="s">
        <v>2174</v>
      </c>
      <c r="J833">
        <v>14182</v>
      </c>
      <c r="K833">
        <v>425</v>
      </c>
      <c r="L833">
        <v>4.5</v>
      </c>
      <c r="M833">
        <v>7.4</v>
      </c>
      <c r="N833">
        <v>2</v>
      </c>
      <c r="O833">
        <v>4151</v>
      </c>
      <c r="P833" t="s">
        <v>2176</v>
      </c>
      <c r="Q833">
        <v>9</v>
      </c>
      <c r="R833">
        <v>13</v>
      </c>
      <c r="S833">
        <v>18</v>
      </c>
      <c r="T833">
        <v>354</v>
      </c>
      <c r="U833" t="s">
        <v>2162</v>
      </c>
      <c r="W833" t="s">
        <v>2208</v>
      </c>
      <c r="X833" t="s">
        <v>2210</v>
      </c>
      <c r="Y833" t="s">
        <v>2212</v>
      </c>
      <c r="Z833" s="1">
        <v>45562</v>
      </c>
      <c r="AA833" s="1">
        <v>45583</v>
      </c>
      <c r="AB833" t="s">
        <v>2214</v>
      </c>
      <c r="AC833" t="s">
        <v>2209</v>
      </c>
      <c r="AD833" t="s">
        <v>2216</v>
      </c>
      <c r="AE833" t="s">
        <v>2162</v>
      </c>
      <c r="AG833" t="s">
        <v>2220</v>
      </c>
      <c r="AH833">
        <v>40</v>
      </c>
      <c r="AI833">
        <v>61</v>
      </c>
      <c r="AJ833">
        <v>21</v>
      </c>
      <c r="AK833">
        <v>8</v>
      </c>
      <c r="AL833" t="s">
        <v>2232</v>
      </c>
      <c r="AM833">
        <v>0</v>
      </c>
      <c r="AN833" t="s">
        <v>2176</v>
      </c>
      <c r="AO833" t="s">
        <v>2176</v>
      </c>
      <c r="AP833" t="s">
        <v>2176</v>
      </c>
      <c r="AQ833">
        <v>33.299999999999997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4.2</v>
      </c>
      <c r="AY833">
        <v>4.2</v>
      </c>
      <c r="AZ833">
        <v>2</v>
      </c>
      <c r="BA833">
        <v>0</v>
      </c>
      <c r="BB833">
        <v>29</v>
      </c>
      <c r="BC833">
        <v>26</v>
      </c>
      <c r="BD833">
        <v>25.54</v>
      </c>
      <c r="BE833">
        <v>124</v>
      </c>
      <c r="BF833">
        <v>88.1</v>
      </c>
      <c r="BG833">
        <v>29</v>
      </c>
      <c r="BH833">
        <v>26</v>
      </c>
      <c r="BI833">
        <v>25.54</v>
      </c>
      <c r="BJ833">
        <v>124</v>
      </c>
      <c r="BK833">
        <v>88.1</v>
      </c>
      <c r="BL833">
        <v>124</v>
      </c>
      <c r="BM833">
        <v>4.3975</v>
      </c>
    </row>
    <row r="834" spans="1:65" x14ac:dyDescent="0.25">
      <c r="A834" t="s">
        <v>897</v>
      </c>
      <c r="B834" t="s">
        <v>1876</v>
      </c>
      <c r="C834" t="s">
        <v>2158</v>
      </c>
      <c r="D834" s="1">
        <v>45398</v>
      </c>
      <c r="E834" s="1">
        <v>45421</v>
      </c>
      <c r="F834" s="1">
        <v>45510</v>
      </c>
      <c r="G834" t="s">
        <v>2163</v>
      </c>
      <c r="I834" t="s">
        <v>2174</v>
      </c>
      <c r="J834">
        <v>20823</v>
      </c>
      <c r="K834">
        <v>624</v>
      </c>
      <c r="L834">
        <v>7</v>
      </c>
      <c r="M834">
        <v>8</v>
      </c>
      <c r="N834">
        <v>1</v>
      </c>
      <c r="O834">
        <v>1587</v>
      </c>
      <c r="P834" t="s">
        <v>2176</v>
      </c>
      <c r="Q834">
        <v>12</v>
      </c>
      <c r="R834">
        <v>17</v>
      </c>
      <c r="S834">
        <v>19</v>
      </c>
      <c r="T834">
        <v>433</v>
      </c>
      <c r="U834" t="s">
        <v>2163</v>
      </c>
      <c r="W834" t="s">
        <v>2208</v>
      </c>
      <c r="X834" t="s">
        <v>2210</v>
      </c>
      <c r="Y834" t="s">
        <v>2212</v>
      </c>
      <c r="Z834" s="1">
        <v>45469</v>
      </c>
      <c r="AA834" s="1">
        <v>45488</v>
      </c>
      <c r="AB834" t="s">
        <v>2214</v>
      </c>
      <c r="AC834" t="s">
        <v>2209</v>
      </c>
      <c r="AD834" t="s">
        <v>2216</v>
      </c>
      <c r="AE834" t="s">
        <v>2163</v>
      </c>
      <c r="AG834" t="s">
        <v>2220</v>
      </c>
      <c r="AH834">
        <v>48</v>
      </c>
      <c r="AI834">
        <v>67</v>
      </c>
      <c r="AJ834">
        <v>19</v>
      </c>
      <c r="AK834">
        <v>5</v>
      </c>
      <c r="AL834" t="s">
        <v>2224</v>
      </c>
      <c r="AM834">
        <v>0</v>
      </c>
      <c r="AN834" t="s">
        <v>2177</v>
      </c>
      <c r="AO834" t="s">
        <v>2176</v>
      </c>
      <c r="AP834" t="s">
        <v>2176</v>
      </c>
      <c r="AQ834">
        <v>56</v>
      </c>
      <c r="AR834">
        <v>1</v>
      </c>
      <c r="AS834">
        <v>2</v>
      </c>
      <c r="AT834">
        <v>1</v>
      </c>
      <c r="AU834">
        <v>1</v>
      </c>
      <c r="AV834">
        <v>1.333333333333333</v>
      </c>
      <c r="AW834">
        <v>4.4000000000000004</v>
      </c>
      <c r="AY834">
        <v>4.4000000000000004</v>
      </c>
      <c r="AZ834">
        <v>2</v>
      </c>
      <c r="BA834">
        <v>0</v>
      </c>
      <c r="BB834">
        <v>38</v>
      </c>
      <c r="BC834">
        <v>27</v>
      </c>
      <c r="BD834">
        <v>33.33</v>
      </c>
      <c r="BE834">
        <v>171</v>
      </c>
      <c r="BF834">
        <v>87.7</v>
      </c>
      <c r="BG834">
        <v>38</v>
      </c>
      <c r="BH834">
        <v>27</v>
      </c>
      <c r="BI834">
        <v>33.33</v>
      </c>
      <c r="BJ834">
        <v>171</v>
      </c>
      <c r="BK834">
        <v>87.7</v>
      </c>
      <c r="BL834">
        <v>171</v>
      </c>
      <c r="BM834">
        <v>4.5091000000000001</v>
      </c>
    </row>
    <row r="835" spans="1:65" x14ac:dyDescent="0.25">
      <c r="A835" t="s">
        <v>898</v>
      </c>
      <c r="B835" t="s">
        <v>1877</v>
      </c>
      <c r="C835" t="s">
        <v>2158</v>
      </c>
      <c r="D835" s="1">
        <v>45359</v>
      </c>
      <c r="E835" s="1">
        <v>45397</v>
      </c>
      <c r="F835" s="1">
        <v>45471</v>
      </c>
      <c r="G835" t="s">
        <v>2163</v>
      </c>
      <c r="I835" t="s">
        <v>2176</v>
      </c>
      <c r="J835">
        <v>12865</v>
      </c>
      <c r="K835">
        <v>385</v>
      </c>
      <c r="L835">
        <v>7.8</v>
      </c>
      <c r="M835">
        <v>4.5999999999999996</v>
      </c>
      <c r="N835">
        <v>1</v>
      </c>
      <c r="O835">
        <v>4057</v>
      </c>
      <c r="P835" t="s">
        <v>2176</v>
      </c>
      <c r="Q835">
        <v>8</v>
      </c>
      <c r="R835">
        <v>10</v>
      </c>
      <c r="S835">
        <v>14</v>
      </c>
      <c r="T835">
        <v>402</v>
      </c>
      <c r="U835" t="s">
        <v>2163</v>
      </c>
      <c r="W835" t="s">
        <v>2208</v>
      </c>
      <c r="X835" t="s">
        <v>2210</v>
      </c>
      <c r="Y835" t="s">
        <v>2212</v>
      </c>
      <c r="Z835" s="1">
        <v>45429</v>
      </c>
      <c r="AA835" s="1">
        <v>45446</v>
      </c>
      <c r="AB835" t="s">
        <v>2214</v>
      </c>
      <c r="AC835" t="s">
        <v>2209</v>
      </c>
      <c r="AD835" t="s">
        <v>2216</v>
      </c>
      <c r="AE835" t="s">
        <v>2163</v>
      </c>
      <c r="AG835" t="s">
        <v>2220</v>
      </c>
      <c r="AH835">
        <v>32</v>
      </c>
      <c r="AI835">
        <v>49</v>
      </c>
      <c r="AJ835">
        <v>17</v>
      </c>
      <c r="AK835">
        <v>4</v>
      </c>
      <c r="AL835" t="s">
        <v>2225</v>
      </c>
      <c r="AM835">
        <v>0</v>
      </c>
      <c r="AN835" t="s">
        <v>2176</v>
      </c>
      <c r="AO835" t="s">
        <v>2176</v>
      </c>
      <c r="AP835" t="s">
        <v>2176</v>
      </c>
      <c r="AQ835">
        <v>35.880000000000003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4.4000000000000004</v>
      </c>
      <c r="AY835">
        <v>4.4000000000000004</v>
      </c>
      <c r="AZ835">
        <v>2</v>
      </c>
      <c r="BA835">
        <v>1</v>
      </c>
      <c r="BB835">
        <v>31</v>
      </c>
      <c r="BC835">
        <v>26</v>
      </c>
      <c r="BD835">
        <v>27.23</v>
      </c>
      <c r="BE835">
        <v>132</v>
      </c>
      <c r="BF835">
        <v>87.8</v>
      </c>
      <c r="BG835">
        <v>31</v>
      </c>
      <c r="BH835">
        <v>26</v>
      </c>
      <c r="BI835">
        <v>27.23</v>
      </c>
      <c r="BJ835">
        <v>132</v>
      </c>
      <c r="BK835">
        <v>87.8</v>
      </c>
      <c r="BL835">
        <v>132</v>
      </c>
      <c r="BM835">
        <v>3.7475000000000001</v>
      </c>
    </row>
    <row r="836" spans="1:65" x14ac:dyDescent="0.25">
      <c r="A836" t="s">
        <v>899</v>
      </c>
      <c r="B836" t="s">
        <v>1878</v>
      </c>
      <c r="C836" t="s">
        <v>2160</v>
      </c>
      <c r="D836" s="1">
        <v>45304</v>
      </c>
      <c r="E836" s="1">
        <v>45357</v>
      </c>
      <c r="F836" s="1">
        <v>45450</v>
      </c>
      <c r="G836" t="s">
        <v>2161</v>
      </c>
      <c r="I836" t="s">
        <v>2176</v>
      </c>
      <c r="J836">
        <v>20761</v>
      </c>
      <c r="K836">
        <v>622</v>
      </c>
      <c r="L836">
        <v>7.8</v>
      </c>
      <c r="M836">
        <v>2.4</v>
      </c>
      <c r="N836">
        <v>2</v>
      </c>
      <c r="O836">
        <v>6236</v>
      </c>
      <c r="P836" t="s">
        <v>2176</v>
      </c>
      <c r="Q836">
        <v>16</v>
      </c>
      <c r="R836">
        <v>21</v>
      </c>
      <c r="S836">
        <v>17</v>
      </c>
      <c r="T836">
        <v>384</v>
      </c>
      <c r="U836" t="s">
        <v>2161</v>
      </c>
      <c r="W836" t="s">
        <v>2208</v>
      </c>
      <c r="X836" t="s">
        <v>2210</v>
      </c>
      <c r="Y836" t="s">
        <v>2212</v>
      </c>
      <c r="Z836" s="1">
        <v>45411</v>
      </c>
      <c r="AA836" s="1">
        <v>45427</v>
      </c>
      <c r="AB836" t="s">
        <v>2214</v>
      </c>
      <c r="AC836" t="s">
        <v>2209</v>
      </c>
      <c r="AD836" t="s">
        <v>2216</v>
      </c>
      <c r="AE836" t="s">
        <v>2161</v>
      </c>
      <c r="AG836" t="s">
        <v>2220</v>
      </c>
      <c r="AH836">
        <v>54</v>
      </c>
      <c r="AI836">
        <v>70</v>
      </c>
      <c r="AJ836">
        <v>16</v>
      </c>
      <c r="AK836">
        <v>3</v>
      </c>
      <c r="AL836" t="s">
        <v>2227</v>
      </c>
      <c r="AM836">
        <v>0</v>
      </c>
      <c r="AN836" t="s">
        <v>2176</v>
      </c>
      <c r="AO836" t="s">
        <v>2176</v>
      </c>
      <c r="AP836" t="s">
        <v>2176</v>
      </c>
      <c r="AQ836">
        <v>18.72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4.3</v>
      </c>
      <c r="AY836">
        <v>4.3</v>
      </c>
      <c r="AZ836">
        <v>1</v>
      </c>
      <c r="BA836">
        <v>1</v>
      </c>
      <c r="BB836">
        <v>38</v>
      </c>
      <c r="BC836">
        <v>26</v>
      </c>
      <c r="BD836">
        <v>33.729999999999997</v>
      </c>
      <c r="BE836">
        <v>164</v>
      </c>
      <c r="BF836">
        <v>88.8</v>
      </c>
      <c r="BG836">
        <v>38</v>
      </c>
      <c r="BH836">
        <v>26</v>
      </c>
      <c r="BI836">
        <v>33.729999999999997</v>
      </c>
      <c r="BJ836">
        <v>164</v>
      </c>
      <c r="BK836">
        <v>88.8</v>
      </c>
      <c r="BL836">
        <v>164</v>
      </c>
      <c r="BM836">
        <v>4.8677999999999999</v>
      </c>
    </row>
    <row r="837" spans="1:65" x14ac:dyDescent="0.25">
      <c r="A837" t="s">
        <v>900</v>
      </c>
      <c r="B837" t="s">
        <v>1879</v>
      </c>
      <c r="C837" t="s">
        <v>2160</v>
      </c>
      <c r="D837" s="1">
        <v>45303</v>
      </c>
      <c r="E837" s="1">
        <v>45330</v>
      </c>
      <c r="F837" s="1">
        <v>45379</v>
      </c>
      <c r="G837" t="s">
        <v>2161</v>
      </c>
      <c r="I837" t="s">
        <v>2176</v>
      </c>
      <c r="J837">
        <v>9150</v>
      </c>
      <c r="K837">
        <v>274</v>
      </c>
      <c r="L837">
        <v>4.2</v>
      </c>
      <c r="M837">
        <v>2.8</v>
      </c>
      <c r="N837">
        <v>2</v>
      </c>
      <c r="O837">
        <v>6247</v>
      </c>
      <c r="P837" t="s">
        <v>2176</v>
      </c>
      <c r="Q837">
        <v>7</v>
      </c>
      <c r="R837">
        <v>9</v>
      </c>
      <c r="S837">
        <v>9</v>
      </c>
      <c r="T837">
        <v>366</v>
      </c>
      <c r="U837" t="s">
        <v>2161</v>
      </c>
      <c r="W837" t="s">
        <v>2208</v>
      </c>
      <c r="X837" t="s">
        <v>2210</v>
      </c>
      <c r="Y837" t="s">
        <v>2212</v>
      </c>
      <c r="Z837" s="1">
        <v>45355</v>
      </c>
      <c r="AA837" s="1">
        <v>45370</v>
      </c>
      <c r="AB837" t="s">
        <v>2214</v>
      </c>
      <c r="AC837" t="s">
        <v>2209</v>
      </c>
      <c r="AD837" t="s">
        <v>2216</v>
      </c>
      <c r="AE837" t="s">
        <v>2161</v>
      </c>
      <c r="AG837" t="s">
        <v>2220</v>
      </c>
      <c r="AH837">
        <v>25</v>
      </c>
      <c r="AI837">
        <v>40</v>
      </c>
      <c r="AJ837">
        <v>15</v>
      </c>
      <c r="AK837">
        <v>2</v>
      </c>
      <c r="AL837" t="s">
        <v>2228</v>
      </c>
      <c r="AM837">
        <v>0</v>
      </c>
      <c r="AN837" t="s">
        <v>2176</v>
      </c>
      <c r="AO837" t="s">
        <v>2176</v>
      </c>
      <c r="AP837" t="s">
        <v>2176</v>
      </c>
      <c r="AQ837">
        <v>11.76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4.3</v>
      </c>
      <c r="AY837">
        <v>4.3</v>
      </c>
      <c r="AZ837">
        <v>1</v>
      </c>
      <c r="BA837">
        <v>1</v>
      </c>
      <c r="BB837">
        <v>34</v>
      </c>
      <c r="BC837">
        <v>24</v>
      </c>
      <c r="BD837">
        <v>29.92</v>
      </c>
      <c r="BE837">
        <v>134</v>
      </c>
      <c r="BF837">
        <v>88</v>
      </c>
      <c r="BG837">
        <v>34</v>
      </c>
      <c r="BH837">
        <v>24</v>
      </c>
      <c r="BI837">
        <v>29.92</v>
      </c>
      <c r="BJ837">
        <v>134</v>
      </c>
      <c r="BK837">
        <v>88</v>
      </c>
      <c r="BL837">
        <v>134</v>
      </c>
      <c r="BM837">
        <v>2.8443000000000001</v>
      </c>
    </row>
    <row r="838" spans="1:65" x14ac:dyDescent="0.25">
      <c r="A838" t="s">
        <v>901</v>
      </c>
      <c r="B838" t="s">
        <v>1880</v>
      </c>
      <c r="C838" t="s">
        <v>2159</v>
      </c>
      <c r="D838" s="1">
        <v>45442</v>
      </c>
      <c r="E838" s="1">
        <v>45480</v>
      </c>
      <c r="F838" s="1">
        <v>45575</v>
      </c>
      <c r="G838" t="s">
        <v>2163</v>
      </c>
      <c r="I838" t="s">
        <v>2174</v>
      </c>
      <c r="J838">
        <v>22264</v>
      </c>
      <c r="K838">
        <v>667</v>
      </c>
      <c r="L838">
        <v>1.3</v>
      </c>
      <c r="M838">
        <v>1.1000000000000001</v>
      </c>
      <c r="N838">
        <v>1</v>
      </c>
      <c r="O838">
        <v>3867</v>
      </c>
      <c r="P838" t="s">
        <v>2176</v>
      </c>
      <c r="Q838">
        <v>17</v>
      </c>
      <c r="R838">
        <v>21</v>
      </c>
      <c r="S838">
        <v>29</v>
      </c>
      <c r="T838">
        <v>332</v>
      </c>
      <c r="U838" t="s">
        <v>2163</v>
      </c>
      <c r="W838" t="s">
        <v>2208</v>
      </c>
      <c r="X838" t="s">
        <v>2210</v>
      </c>
      <c r="Y838" t="s">
        <v>2212</v>
      </c>
      <c r="Z838" s="1">
        <v>45547</v>
      </c>
      <c r="AA838" s="1">
        <v>45567</v>
      </c>
      <c r="AB838" t="s">
        <v>2214</v>
      </c>
      <c r="AC838" t="s">
        <v>2209</v>
      </c>
      <c r="AD838" t="s">
        <v>2216</v>
      </c>
      <c r="AE838" t="s">
        <v>2163</v>
      </c>
      <c r="AG838" t="s">
        <v>2220</v>
      </c>
      <c r="AH838">
        <v>67</v>
      </c>
      <c r="AI838">
        <v>87</v>
      </c>
      <c r="AJ838">
        <v>20</v>
      </c>
      <c r="AK838">
        <v>7</v>
      </c>
      <c r="AL838" t="s">
        <v>2226</v>
      </c>
      <c r="AM838">
        <v>0</v>
      </c>
      <c r="AN838" t="s">
        <v>2176</v>
      </c>
      <c r="AO838" t="s">
        <v>2176</v>
      </c>
      <c r="AP838" t="s">
        <v>2176</v>
      </c>
      <c r="AQ838">
        <v>1.43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4.4000000000000004</v>
      </c>
      <c r="AY838">
        <v>4.4000000000000004</v>
      </c>
      <c r="AZ838">
        <v>0</v>
      </c>
      <c r="BA838">
        <v>0</v>
      </c>
      <c r="BB838">
        <v>33</v>
      </c>
      <c r="BC838">
        <v>27</v>
      </c>
      <c r="BD838">
        <v>28.89</v>
      </c>
      <c r="BE838">
        <v>145</v>
      </c>
      <c r="BF838">
        <v>87.5</v>
      </c>
      <c r="BG838">
        <v>33</v>
      </c>
      <c r="BH838">
        <v>27</v>
      </c>
      <c r="BI838">
        <v>28.89</v>
      </c>
      <c r="BJ838">
        <v>145</v>
      </c>
      <c r="BK838">
        <v>87.5</v>
      </c>
      <c r="BL838">
        <v>145</v>
      </c>
      <c r="BM838">
        <v>5.6853999999999996</v>
      </c>
    </row>
    <row r="839" spans="1:65" x14ac:dyDescent="0.25">
      <c r="A839" t="s">
        <v>902</v>
      </c>
      <c r="B839" t="s">
        <v>1881</v>
      </c>
      <c r="C839" t="s">
        <v>2157</v>
      </c>
      <c r="D839" s="1">
        <v>45311</v>
      </c>
      <c r="E839" s="1">
        <v>45357</v>
      </c>
      <c r="F839" s="1">
        <v>45435</v>
      </c>
      <c r="G839" t="s">
        <v>2165</v>
      </c>
      <c r="I839" t="s">
        <v>2176</v>
      </c>
      <c r="J839">
        <v>21012</v>
      </c>
      <c r="K839">
        <v>630</v>
      </c>
      <c r="L839">
        <v>7.9</v>
      </c>
      <c r="M839">
        <v>2.8</v>
      </c>
      <c r="N839">
        <v>2</v>
      </c>
      <c r="O839">
        <v>2848</v>
      </c>
      <c r="P839" t="s">
        <v>2176</v>
      </c>
      <c r="Q839">
        <v>11</v>
      </c>
      <c r="R839">
        <v>15</v>
      </c>
      <c r="S839">
        <v>16</v>
      </c>
      <c r="T839">
        <v>500</v>
      </c>
      <c r="U839" t="s">
        <v>2165</v>
      </c>
      <c r="W839" t="s">
        <v>2208</v>
      </c>
      <c r="X839" t="s">
        <v>2210</v>
      </c>
      <c r="Y839" t="s">
        <v>2212</v>
      </c>
      <c r="Z839" s="1">
        <v>45399</v>
      </c>
      <c r="AA839" s="1">
        <v>45412</v>
      </c>
      <c r="AB839" t="s">
        <v>2214</v>
      </c>
      <c r="AC839" t="s">
        <v>2209</v>
      </c>
      <c r="AD839" t="s">
        <v>2216</v>
      </c>
      <c r="AE839" t="s">
        <v>2165</v>
      </c>
      <c r="AG839" t="s">
        <v>2220</v>
      </c>
      <c r="AH839">
        <v>42</v>
      </c>
      <c r="AI839">
        <v>55</v>
      </c>
      <c r="AJ839">
        <v>13</v>
      </c>
      <c r="AK839">
        <v>3</v>
      </c>
      <c r="AL839" t="s">
        <v>2227</v>
      </c>
      <c r="AM839">
        <v>0</v>
      </c>
      <c r="AN839" t="s">
        <v>2176</v>
      </c>
      <c r="AO839" t="s">
        <v>2176</v>
      </c>
      <c r="AP839" t="s">
        <v>2176</v>
      </c>
      <c r="AQ839">
        <v>22.12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4.5999999999999996</v>
      </c>
      <c r="AY839">
        <v>4.5999999999999996</v>
      </c>
      <c r="AZ839">
        <v>3</v>
      </c>
      <c r="BA839">
        <v>1</v>
      </c>
      <c r="BB839">
        <v>48</v>
      </c>
      <c r="BC839">
        <v>26</v>
      </c>
      <c r="BD839">
        <v>42.38</v>
      </c>
      <c r="BE839">
        <v>212</v>
      </c>
      <c r="BF839">
        <v>88.3</v>
      </c>
      <c r="BG839">
        <v>48</v>
      </c>
      <c r="BH839">
        <v>26</v>
      </c>
      <c r="BI839">
        <v>42.38</v>
      </c>
      <c r="BJ839">
        <v>212</v>
      </c>
      <c r="BK839">
        <v>88.3</v>
      </c>
      <c r="BL839">
        <v>212</v>
      </c>
      <c r="BM839">
        <v>3.8113999999999999</v>
      </c>
    </row>
    <row r="840" spans="1:65" x14ac:dyDescent="0.25">
      <c r="A840" t="s">
        <v>903</v>
      </c>
      <c r="B840" t="s">
        <v>1882</v>
      </c>
      <c r="C840" t="s">
        <v>2159</v>
      </c>
      <c r="D840" s="1">
        <v>45515</v>
      </c>
      <c r="E840" s="1">
        <v>45567</v>
      </c>
      <c r="F840" s="1">
        <v>45629</v>
      </c>
      <c r="G840" t="s">
        <v>2163</v>
      </c>
      <c r="I840" t="s">
        <v>2176</v>
      </c>
      <c r="J840">
        <v>9175</v>
      </c>
      <c r="K840">
        <v>275</v>
      </c>
      <c r="L840">
        <v>7.2</v>
      </c>
      <c r="M840">
        <v>2.8</v>
      </c>
      <c r="N840">
        <v>2</v>
      </c>
      <c r="O840">
        <v>6176</v>
      </c>
      <c r="P840" t="s">
        <v>2176</v>
      </c>
      <c r="Q840">
        <v>6</v>
      </c>
      <c r="R840">
        <v>8</v>
      </c>
      <c r="S840">
        <v>7</v>
      </c>
      <c r="T840">
        <v>436</v>
      </c>
      <c r="U840" t="s">
        <v>2163</v>
      </c>
      <c r="W840" t="s">
        <v>2208</v>
      </c>
      <c r="X840" t="s">
        <v>2210</v>
      </c>
      <c r="Y840" t="s">
        <v>2212</v>
      </c>
      <c r="Z840" s="1">
        <v>45588</v>
      </c>
      <c r="AA840" s="1">
        <v>45603</v>
      </c>
      <c r="AB840" t="s">
        <v>2214</v>
      </c>
      <c r="AC840" t="s">
        <v>2209</v>
      </c>
      <c r="AD840" t="s">
        <v>2216</v>
      </c>
      <c r="AE840" t="s">
        <v>2163</v>
      </c>
      <c r="AG840" t="s">
        <v>2220</v>
      </c>
      <c r="AH840">
        <v>21</v>
      </c>
      <c r="AI840">
        <v>36</v>
      </c>
      <c r="AJ840">
        <v>15</v>
      </c>
      <c r="AK840">
        <v>10</v>
      </c>
      <c r="AL840" t="s">
        <v>2230</v>
      </c>
      <c r="AM840">
        <v>1</v>
      </c>
      <c r="AN840" t="s">
        <v>2176</v>
      </c>
      <c r="AO840" t="s">
        <v>2176</v>
      </c>
      <c r="AP840" t="s">
        <v>2176</v>
      </c>
      <c r="AQ840">
        <v>20.16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4.4000000000000004</v>
      </c>
      <c r="AY840">
        <v>4.4000000000000004</v>
      </c>
      <c r="AZ840">
        <v>0</v>
      </c>
      <c r="BA840">
        <v>1</v>
      </c>
      <c r="BB840">
        <v>37</v>
      </c>
      <c r="BC840">
        <v>27</v>
      </c>
      <c r="BD840">
        <v>32.81</v>
      </c>
      <c r="BE840">
        <v>165</v>
      </c>
      <c r="BF840">
        <v>88.7</v>
      </c>
      <c r="BG840">
        <v>37</v>
      </c>
      <c r="BH840">
        <v>27</v>
      </c>
      <c r="BI840">
        <v>32.81</v>
      </c>
      <c r="BJ840">
        <v>165</v>
      </c>
      <c r="BK840">
        <v>88.7</v>
      </c>
      <c r="BL840">
        <v>165</v>
      </c>
      <c r="BM840">
        <v>2.0590000000000002</v>
      </c>
    </row>
    <row r="841" spans="1:65" x14ac:dyDescent="0.25">
      <c r="A841" t="s">
        <v>904</v>
      </c>
      <c r="B841" t="s">
        <v>1883</v>
      </c>
      <c r="C841" t="s">
        <v>2159</v>
      </c>
      <c r="D841" s="1">
        <v>45446</v>
      </c>
      <c r="E841" s="1">
        <v>45488</v>
      </c>
      <c r="F841" s="1">
        <v>45562</v>
      </c>
      <c r="G841" t="s">
        <v>2161</v>
      </c>
      <c r="I841" t="s">
        <v>2176</v>
      </c>
      <c r="J841">
        <v>22794</v>
      </c>
      <c r="K841">
        <v>683</v>
      </c>
      <c r="L841">
        <v>6.1</v>
      </c>
      <c r="M841">
        <v>3.5</v>
      </c>
      <c r="N841">
        <v>1</v>
      </c>
      <c r="O841">
        <v>3731</v>
      </c>
      <c r="P841" t="s">
        <v>2176</v>
      </c>
      <c r="Q841">
        <v>15</v>
      </c>
      <c r="R841">
        <v>19</v>
      </c>
      <c r="S841">
        <v>18</v>
      </c>
      <c r="T841">
        <v>438</v>
      </c>
      <c r="U841" t="s">
        <v>2161</v>
      </c>
      <c r="W841" t="s">
        <v>2208</v>
      </c>
      <c r="X841" t="s">
        <v>2210</v>
      </c>
      <c r="Y841" t="s">
        <v>2212</v>
      </c>
      <c r="Z841" s="1">
        <v>45540</v>
      </c>
      <c r="AA841" s="1">
        <v>45554</v>
      </c>
      <c r="AB841" t="s">
        <v>2214</v>
      </c>
      <c r="AC841" t="s">
        <v>2209</v>
      </c>
      <c r="AD841" t="s">
        <v>2216</v>
      </c>
      <c r="AE841" t="s">
        <v>2161</v>
      </c>
      <c r="AG841" t="s">
        <v>2220</v>
      </c>
      <c r="AH841">
        <v>52</v>
      </c>
      <c r="AI841">
        <v>66</v>
      </c>
      <c r="AJ841">
        <v>14</v>
      </c>
      <c r="AK841">
        <v>7</v>
      </c>
      <c r="AL841" t="s">
        <v>2226</v>
      </c>
      <c r="AM841">
        <v>0</v>
      </c>
      <c r="AN841" t="s">
        <v>2176</v>
      </c>
      <c r="AO841" t="s">
        <v>2176</v>
      </c>
      <c r="AP841" t="s">
        <v>2176</v>
      </c>
      <c r="AQ841">
        <v>21.35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4.3</v>
      </c>
      <c r="AY841">
        <v>4.3</v>
      </c>
      <c r="AZ841">
        <v>0</v>
      </c>
      <c r="BA841">
        <v>1</v>
      </c>
      <c r="BB841">
        <v>28</v>
      </c>
      <c r="BC841">
        <v>27</v>
      </c>
      <c r="BD841">
        <v>25.26</v>
      </c>
      <c r="BE841">
        <v>129</v>
      </c>
      <c r="BF841">
        <v>90.2</v>
      </c>
      <c r="BG841">
        <v>28</v>
      </c>
      <c r="BH841">
        <v>27</v>
      </c>
      <c r="BI841">
        <v>25.26</v>
      </c>
      <c r="BJ841">
        <v>129</v>
      </c>
      <c r="BK841">
        <v>90.2</v>
      </c>
      <c r="BL841">
        <v>129</v>
      </c>
      <c r="BM841">
        <v>6.5425000000000004</v>
      </c>
    </row>
    <row r="842" spans="1:65" x14ac:dyDescent="0.25">
      <c r="A842" t="s">
        <v>905</v>
      </c>
      <c r="B842" t="s">
        <v>1884</v>
      </c>
      <c r="C842" t="s">
        <v>2160</v>
      </c>
      <c r="D842" s="1">
        <v>45361</v>
      </c>
      <c r="E842" s="1">
        <v>45397</v>
      </c>
      <c r="F842" s="1">
        <v>45460</v>
      </c>
      <c r="G842" t="s">
        <v>2164</v>
      </c>
      <c r="I842" t="s">
        <v>2176</v>
      </c>
      <c r="J842">
        <v>10616</v>
      </c>
      <c r="K842">
        <v>318</v>
      </c>
      <c r="L842">
        <v>7.6</v>
      </c>
      <c r="M842">
        <v>1.6</v>
      </c>
      <c r="N842">
        <v>2</v>
      </c>
      <c r="O842">
        <v>1314</v>
      </c>
      <c r="P842" t="s">
        <v>2176</v>
      </c>
      <c r="Q842">
        <v>7</v>
      </c>
      <c r="R842">
        <v>8</v>
      </c>
      <c r="S842">
        <v>10</v>
      </c>
      <c r="T842">
        <v>424</v>
      </c>
      <c r="U842" t="s">
        <v>2164</v>
      </c>
      <c r="W842" t="s">
        <v>2208</v>
      </c>
      <c r="X842" t="s">
        <v>2210</v>
      </c>
      <c r="Y842" t="s">
        <v>2212</v>
      </c>
      <c r="Z842" s="1">
        <v>45422</v>
      </c>
      <c r="AA842" s="1">
        <v>45438</v>
      </c>
      <c r="AB842" t="s">
        <v>2214</v>
      </c>
      <c r="AC842" t="s">
        <v>2209</v>
      </c>
      <c r="AD842" t="s">
        <v>2216</v>
      </c>
      <c r="AE842" t="s">
        <v>2164</v>
      </c>
      <c r="AG842" t="s">
        <v>2220</v>
      </c>
      <c r="AH842">
        <v>25</v>
      </c>
      <c r="AI842">
        <v>41</v>
      </c>
      <c r="AJ842">
        <v>16</v>
      </c>
      <c r="AK842">
        <v>4</v>
      </c>
      <c r="AL842" t="s">
        <v>2225</v>
      </c>
      <c r="AM842">
        <v>0</v>
      </c>
      <c r="AN842" t="s">
        <v>2176</v>
      </c>
      <c r="AO842" t="s">
        <v>2176</v>
      </c>
      <c r="AP842" t="s">
        <v>2176</v>
      </c>
      <c r="AQ842">
        <v>12.16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4.5</v>
      </c>
      <c r="AY842">
        <v>4.5</v>
      </c>
      <c r="AZ842">
        <v>1</v>
      </c>
      <c r="BA842">
        <v>1</v>
      </c>
      <c r="BB842">
        <v>30</v>
      </c>
      <c r="BC842">
        <v>26</v>
      </c>
      <c r="BD842">
        <v>26.42</v>
      </c>
      <c r="BE842">
        <v>126</v>
      </c>
      <c r="BF842">
        <v>88.1</v>
      </c>
      <c r="BG842">
        <v>30</v>
      </c>
      <c r="BH842">
        <v>26</v>
      </c>
      <c r="BI842">
        <v>26.42</v>
      </c>
      <c r="BJ842">
        <v>126</v>
      </c>
      <c r="BK842">
        <v>88.1</v>
      </c>
      <c r="BL842">
        <v>126</v>
      </c>
      <c r="BM842">
        <v>3.2395</v>
      </c>
    </row>
    <row r="843" spans="1:65" x14ac:dyDescent="0.25">
      <c r="A843" t="s">
        <v>906</v>
      </c>
      <c r="B843" t="s">
        <v>1885</v>
      </c>
      <c r="C843" t="s">
        <v>2158</v>
      </c>
      <c r="D843" s="1">
        <v>45408</v>
      </c>
      <c r="E843" s="1">
        <v>45452</v>
      </c>
      <c r="F843" s="1">
        <v>45502</v>
      </c>
      <c r="G843" t="s">
        <v>2165</v>
      </c>
      <c r="I843" t="s">
        <v>2176</v>
      </c>
      <c r="J843">
        <v>5574</v>
      </c>
      <c r="K843">
        <v>167</v>
      </c>
      <c r="L843">
        <v>3</v>
      </c>
      <c r="M843">
        <v>4.8</v>
      </c>
      <c r="N843">
        <v>1</v>
      </c>
      <c r="O843">
        <v>5524</v>
      </c>
      <c r="P843" t="s">
        <v>2176</v>
      </c>
      <c r="Q843">
        <v>4</v>
      </c>
      <c r="R843">
        <v>5</v>
      </c>
      <c r="S843">
        <v>4</v>
      </c>
      <c r="T843">
        <v>428</v>
      </c>
      <c r="U843" t="s">
        <v>2165</v>
      </c>
      <c r="W843" t="s">
        <v>2208</v>
      </c>
      <c r="X843" t="s">
        <v>2210</v>
      </c>
      <c r="Y843" t="s">
        <v>2212</v>
      </c>
      <c r="Z843" s="1">
        <v>45465</v>
      </c>
      <c r="AA843" s="1">
        <v>45481</v>
      </c>
      <c r="AB843" t="s">
        <v>2214</v>
      </c>
      <c r="AC843" t="s">
        <v>2209</v>
      </c>
      <c r="AD843" t="s">
        <v>2216</v>
      </c>
      <c r="AE843" t="s">
        <v>2165</v>
      </c>
      <c r="AG843" t="s">
        <v>2220</v>
      </c>
      <c r="AH843">
        <v>13</v>
      </c>
      <c r="AI843">
        <v>29</v>
      </c>
      <c r="AJ843">
        <v>16</v>
      </c>
      <c r="AK843">
        <v>6</v>
      </c>
      <c r="AL843" t="s">
        <v>2223</v>
      </c>
      <c r="AM843">
        <v>0</v>
      </c>
      <c r="AN843" t="s">
        <v>2176</v>
      </c>
      <c r="AO843" t="s">
        <v>2176</v>
      </c>
      <c r="AP843" t="s">
        <v>2176</v>
      </c>
      <c r="AQ843">
        <v>14.4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4.5999999999999996</v>
      </c>
      <c r="AY843">
        <v>4.5999999999999996</v>
      </c>
      <c r="AZ843">
        <v>2</v>
      </c>
      <c r="BA843">
        <v>1</v>
      </c>
      <c r="BB843">
        <v>40</v>
      </c>
      <c r="BC843">
        <v>25</v>
      </c>
      <c r="BD843">
        <v>34.72</v>
      </c>
      <c r="BE843">
        <v>161</v>
      </c>
      <c r="BF843">
        <v>86.8</v>
      </c>
      <c r="BG843">
        <v>40</v>
      </c>
      <c r="BH843">
        <v>25</v>
      </c>
      <c r="BI843">
        <v>34.72</v>
      </c>
      <c r="BJ843">
        <v>161</v>
      </c>
      <c r="BK843">
        <v>86.8</v>
      </c>
      <c r="BL843">
        <v>161</v>
      </c>
      <c r="BM843">
        <v>1.3845000000000001</v>
      </c>
    </row>
    <row r="844" spans="1:65" x14ac:dyDescent="0.25">
      <c r="A844" t="s">
        <v>907</v>
      </c>
      <c r="B844" t="s">
        <v>1886</v>
      </c>
      <c r="C844" t="s">
        <v>2159</v>
      </c>
      <c r="D844" s="1">
        <v>45250</v>
      </c>
      <c r="E844" s="1">
        <v>45299</v>
      </c>
      <c r="F844" s="1">
        <v>45385</v>
      </c>
      <c r="G844" t="s">
        <v>2162</v>
      </c>
      <c r="I844" t="s">
        <v>2174</v>
      </c>
      <c r="J844">
        <v>21587</v>
      </c>
      <c r="K844">
        <v>647</v>
      </c>
      <c r="L844">
        <v>1.7</v>
      </c>
      <c r="M844">
        <v>3.1</v>
      </c>
      <c r="N844">
        <v>1</v>
      </c>
      <c r="O844">
        <v>1722</v>
      </c>
      <c r="P844" t="s">
        <v>2176</v>
      </c>
      <c r="Q844">
        <v>11</v>
      </c>
      <c r="R844">
        <v>13</v>
      </c>
      <c r="S844">
        <v>24</v>
      </c>
      <c r="T844">
        <v>449</v>
      </c>
      <c r="U844" t="s">
        <v>2162</v>
      </c>
      <c r="W844" t="s">
        <v>2208</v>
      </c>
      <c r="X844" t="s">
        <v>2210</v>
      </c>
      <c r="Y844" t="s">
        <v>2212</v>
      </c>
      <c r="Z844" s="1">
        <v>45347</v>
      </c>
      <c r="AA844" s="1">
        <v>45361</v>
      </c>
      <c r="AB844" t="s">
        <v>2214</v>
      </c>
      <c r="AC844" t="s">
        <v>2209</v>
      </c>
      <c r="AD844" t="s">
        <v>2216</v>
      </c>
      <c r="AE844" t="s">
        <v>2162</v>
      </c>
      <c r="AG844" t="s">
        <v>2220</v>
      </c>
      <c r="AH844">
        <v>48</v>
      </c>
      <c r="AI844">
        <v>62</v>
      </c>
      <c r="AJ844">
        <v>14</v>
      </c>
      <c r="AK844">
        <v>1</v>
      </c>
      <c r="AL844" t="s">
        <v>2233</v>
      </c>
      <c r="AM844">
        <v>0</v>
      </c>
      <c r="AN844" t="s">
        <v>2176</v>
      </c>
      <c r="AO844" t="s">
        <v>2176</v>
      </c>
      <c r="AP844" t="s">
        <v>2176</v>
      </c>
      <c r="AQ844">
        <v>5.27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4.2</v>
      </c>
      <c r="AY844">
        <v>4.2</v>
      </c>
      <c r="AZ844">
        <v>0</v>
      </c>
      <c r="BA844">
        <v>0</v>
      </c>
      <c r="BB844">
        <v>26</v>
      </c>
      <c r="BC844">
        <v>27</v>
      </c>
      <c r="BD844">
        <v>23.19</v>
      </c>
      <c r="BE844">
        <v>113</v>
      </c>
      <c r="BF844">
        <v>89.2</v>
      </c>
      <c r="BG844">
        <v>26</v>
      </c>
      <c r="BH844">
        <v>27</v>
      </c>
      <c r="BI844">
        <v>23.19</v>
      </c>
      <c r="BJ844">
        <v>113</v>
      </c>
      <c r="BK844">
        <v>89.2</v>
      </c>
      <c r="BL844">
        <v>113</v>
      </c>
      <c r="BM844">
        <v>7.0731000000000002</v>
      </c>
    </row>
    <row r="845" spans="1:65" x14ac:dyDescent="0.25">
      <c r="A845" t="s">
        <v>908</v>
      </c>
      <c r="B845" t="s">
        <v>1887</v>
      </c>
      <c r="C845" t="s">
        <v>2157</v>
      </c>
      <c r="D845" s="1">
        <v>45259</v>
      </c>
      <c r="E845" s="1">
        <v>45298</v>
      </c>
      <c r="F845" s="1">
        <v>45362</v>
      </c>
      <c r="G845" t="s">
        <v>2164</v>
      </c>
      <c r="I845" t="s">
        <v>2176</v>
      </c>
      <c r="J845">
        <v>13400</v>
      </c>
      <c r="K845">
        <v>402</v>
      </c>
      <c r="L845">
        <v>1.2</v>
      </c>
      <c r="M845">
        <v>3.4</v>
      </c>
      <c r="N845">
        <v>2</v>
      </c>
      <c r="O845">
        <v>3842</v>
      </c>
      <c r="P845" t="s">
        <v>2176</v>
      </c>
      <c r="Q845">
        <v>8</v>
      </c>
      <c r="R845">
        <v>9</v>
      </c>
      <c r="S845">
        <v>13</v>
      </c>
      <c r="T845">
        <v>446</v>
      </c>
      <c r="U845" t="s">
        <v>2164</v>
      </c>
      <c r="W845" t="s">
        <v>2208</v>
      </c>
      <c r="X845" t="s">
        <v>2210</v>
      </c>
      <c r="Y845" t="s">
        <v>2212</v>
      </c>
      <c r="Z845" s="1">
        <v>45328</v>
      </c>
      <c r="AA845" s="1">
        <v>45343</v>
      </c>
      <c r="AB845" t="s">
        <v>2214</v>
      </c>
      <c r="AC845" t="s">
        <v>2209</v>
      </c>
      <c r="AD845" t="s">
        <v>2216</v>
      </c>
      <c r="AE845" t="s">
        <v>2164</v>
      </c>
      <c r="AG845" t="s">
        <v>2220</v>
      </c>
      <c r="AH845">
        <v>30</v>
      </c>
      <c r="AI845">
        <v>45</v>
      </c>
      <c r="AJ845">
        <v>15</v>
      </c>
      <c r="AK845">
        <v>1</v>
      </c>
      <c r="AL845" t="s">
        <v>2233</v>
      </c>
      <c r="AM845">
        <v>0</v>
      </c>
      <c r="AN845" t="s">
        <v>2176</v>
      </c>
      <c r="AO845" t="s">
        <v>2176</v>
      </c>
      <c r="AP845" t="s">
        <v>2176</v>
      </c>
      <c r="AQ845">
        <v>4.08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4.5</v>
      </c>
      <c r="AY845">
        <v>4.5</v>
      </c>
      <c r="AZ845">
        <v>3</v>
      </c>
      <c r="BA845">
        <v>1</v>
      </c>
      <c r="BB845">
        <v>30</v>
      </c>
      <c r="BC845">
        <v>27</v>
      </c>
      <c r="BD845">
        <v>25.85</v>
      </c>
      <c r="BE845">
        <v>132</v>
      </c>
      <c r="BF845">
        <v>86.2</v>
      </c>
      <c r="BG845">
        <v>30</v>
      </c>
      <c r="BH845">
        <v>27</v>
      </c>
      <c r="BI845">
        <v>25.85</v>
      </c>
      <c r="BJ845">
        <v>132</v>
      </c>
      <c r="BK845">
        <v>86.2</v>
      </c>
      <c r="BL845">
        <v>132</v>
      </c>
      <c r="BM845">
        <v>3.7587999999999999</v>
      </c>
    </row>
    <row r="846" spans="1:65" x14ac:dyDescent="0.25">
      <c r="A846" t="s">
        <v>909</v>
      </c>
      <c r="B846" t="s">
        <v>1888</v>
      </c>
      <c r="C846" t="s">
        <v>2159</v>
      </c>
      <c r="D846" s="1">
        <v>45473</v>
      </c>
      <c r="E846" s="1">
        <v>45521</v>
      </c>
      <c r="F846" s="1">
        <v>45599</v>
      </c>
      <c r="G846" t="s">
        <v>2161</v>
      </c>
      <c r="I846" t="s">
        <v>2174</v>
      </c>
      <c r="J846">
        <v>15672</v>
      </c>
      <c r="K846">
        <v>470</v>
      </c>
      <c r="L846">
        <v>2.2999999999999998</v>
      </c>
      <c r="M846">
        <v>2.2999999999999998</v>
      </c>
      <c r="N846">
        <v>2</v>
      </c>
      <c r="O846">
        <v>2903</v>
      </c>
      <c r="P846" t="s">
        <v>2176</v>
      </c>
      <c r="Q846">
        <v>8</v>
      </c>
      <c r="R846">
        <v>10</v>
      </c>
      <c r="S846">
        <v>14</v>
      </c>
      <c r="T846">
        <v>489</v>
      </c>
      <c r="U846" t="s">
        <v>2161</v>
      </c>
      <c r="W846" t="s">
        <v>2208</v>
      </c>
      <c r="X846" t="s">
        <v>2210</v>
      </c>
      <c r="Y846" t="s">
        <v>2212</v>
      </c>
      <c r="Z846" s="1">
        <v>45553</v>
      </c>
      <c r="AA846" s="1">
        <v>45567</v>
      </c>
      <c r="AB846" t="s">
        <v>2214</v>
      </c>
      <c r="AC846" t="s">
        <v>2209</v>
      </c>
      <c r="AD846" t="s">
        <v>2216</v>
      </c>
      <c r="AE846" t="s">
        <v>2161</v>
      </c>
      <c r="AG846" t="s">
        <v>2220</v>
      </c>
      <c r="AH846">
        <v>32</v>
      </c>
      <c r="AI846">
        <v>46</v>
      </c>
      <c r="AJ846">
        <v>14</v>
      </c>
      <c r="AK846">
        <v>8</v>
      </c>
      <c r="AL846" t="s">
        <v>2232</v>
      </c>
      <c r="AM846">
        <v>0</v>
      </c>
      <c r="AN846" t="s">
        <v>2176</v>
      </c>
      <c r="AO846" t="s">
        <v>2176</v>
      </c>
      <c r="AP846" t="s">
        <v>2176</v>
      </c>
      <c r="AQ846">
        <v>5.2899999999999991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4.3</v>
      </c>
      <c r="AY846">
        <v>4.3</v>
      </c>
      <c r="AZ846">
        <v>0</v>
      </c>
      <c r="BA846">
        <v>0</v>
      </c>
      <c r="BB846">
        <v>36</v>
      </c>
      <c r="BC846">
        <v>26</v>
      </c>
      <c r="BD846">
        <v>31.65</v>
      </c>
      <c r="BE846">
        <v>152</v>
      </c>
      <c r="BF846">
        <v>87.9</v>
      </c>
      <c r="BG846">
        <v>36</v>
      </c>
      <c r="BH846">
        <v>26</v>
      </c>
      <c r="BI846">
        <v>31.65</v>
      </c>
      <c r="BJ846">
        <v>152</v>
      </c>
      <c r="BK846">
        <v>87.9</v>
      </c>
      <c r="BL846">
        <v>152</v>
      </c>
      <c r="BM846">
        <v>3.9645999999999999</v>
      </c>
    </row>
    <row r="847" spans="1:65" x14ac:dyDescent="0.25">
      <c r="A847" t="s">
        <v>910</v>
      </c>
      <c r="B847" t="s">
        <v>1889</v>
      </c>
      <c r="C847" t="s">
        <v>2160</v>
      </c>
      <c r="D847" s="1">
        <v>45424</v>
      </c>
      <c r="E847" s="1">
        <v>45457</v>
      </c>
      <c r="F847" s="1">
        <v>45498</v>
      </c>
      <c r="G847" t="s">
        <v>2163</v>
      </c>
      <c r="I847" t="s">
        <v>2176</v>
      </c>
      <c r="J847">
        <v>6502</v>
      </c>
      <c r="K847">
        <v>195</v>
      </c>
      <c r="L847">
        <v>7.1</v>
      </c>
      <c r="M847">
        <v>2.7</v>
      </c>
      <c r="N847">
        <v>1</v>
      </c>
      <c r="O847">
        <v>3594</v>
      </c>
      <c r="P847" t="s">
        <v>2176</v>
      </c>
      <c r="Q847">
        <v>4</v>
      </c>
      <c r="R847">
        <v>4</v>
      </c>
      <c r="S847">
        <v>5</v>
      </c>
      <c r="T847">
        <v>500</v>
      </c>
      <c r="U847" t="s">
        <v>2163</v>
      </c>
      <c r="W847" t="s">
        <v>2208</v>
      </c>
      <c r="X847" t="s">
        <v>2210</v>
      </c>
      <c r="Y847" t="s">
        <v>2212</v>
      </c>
      <c r="Z847" s="1">
        <v>45470</v>
      </c>
      <c r="AA847" s="1">
        <v>45484</v>
      </c>
      <c r="AB847" t="s">
        <v>2214</v>
      </c>
      <c r="AC847" t="s">
        <v>2209</v>
      </c>
      <c r="AD847" t="s">
        <v>2216</v>
      </c>
      <c r="AE847" t="s">
        <v>2163</v>
      </c>
      <c r="AG847" t="s">
        <v>2220</v>
      </c>
      <c r="AH847">
        <v>13</v>
      </c>
      <c r="AI847">
        <v>27</v>
      </c>
      <c r="AJ847">
        <v>14</v>
      </c>
      <c r="AK847">
        <v>6</v>
      </c>
      <c r="AL847" t="s">
        <v>2223</v>
      </c>
      <c r="AM847">
        <v>0</v>
      </c>
      <c r="AN847" t="s">
        <v>2176</v>
      </c>
      <c r="AO847" t="s">
        <v>2176</v>
      </c>
      <c r="AP847" t="s">
        <v>2176</v>
      </c>
      <c r="AQ847">
        <v>19.170000000000002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4.4000000000000004</v>
      </c>
      <c r="AY847">
        <v>4.4000000000000004</v>
      </c>
      <c r="AZ847">
        <v>1</v>
      </c>
      <c r="BA847">
        <v>1</v>
      </c>
      <c r="BB847">
        <v>30</v>
      </c>
      <c r="BC847">
        <v>25</v>
      </c>
      <c r="BD847">
        <v>26.48</v>
      </c>
      <c r="BE847">
        <v>121</v>
      </c>
      <c r="BF847">
        <v>88.3</v>
      </c>
      <c r="BG847">
        <v>30</v>
      </c>
      <c r="BH847">
        <v>25</v>
      </c>
      <c r="BI847">
        <v>26.48</v>
      </c>
      <c r="BJ847">
        <v>121</v>
      </c>
      <c r="BK847">
        <v>88.3</v>
      </c>
      <c r="BL847">
        <v>121</v>
      </c>
      <c r="BM847">
        <v>2.1486999999999998</v>
      </c>
    </row>
    <row r="848" spans="1:65" x14ac:dyDescent="0.25">
      <c r="A848" t="s">
        <v>911</v>
      </c>
      <c r="B848" t="s">
        <v>1890</v>
      </c>
      <c r="C848" t="s">
        <v>2157</v>
      </c>
      <c r="D848" s="1">
        <v>45457</v>
      </c>
      <c r="E848" s="1">
        <v>45480</v>
      </c>
      <c r="F848" s="1">
        <v>45541</v>
      </c>
      <c r="G848" t="s">
        <v>2162</v>
      </c>
      <c r="I848" t="s">
        <v>2176</v>
      </c>
      <c r="J848">
        <v>14219</v>
      </c>
      <c r="K848">
        <v>426</v>
      </c>
      <c r="L848">
        <v>2.1</v>
      </c>
      <c r="M848">
        <v>2.2000000000000002</v>
      </c>
      <c r="N848">
        <v>1</v>
      </c>
      <c r="O848">
        <v>5911</v>
      </c>
      <c r="P848" t="s">
        <v>2176</v>
      </c>
      <c r="Q848">
        <v>8</v>
      </c>
      <c r="R848">
        <v>10</v>
      </c>
      <c r="S848">
        <v>12</v>
      </c>
      <c r="T848">
        <v>473</v>
      </c>
      <c r="U848" t="s">
        <v>2162</v>
      </c>
      <c r="W848" t="s">
        <v>2208</v>
      </c>
      <c r="X848" t="s">
        <v>2210</v>
      </c>
      <c r="Y848" t="s">
        <v>2212</v>
      </c>
      <c r="Z848" s="1">
        <v>45510</v>
      </c>
      <c r="AA848" s="1">
        <v>45526</v>
      </c>
      <c r="AB848" t="s">
        <v>2214</v>
      </c>
      <c r="AC848" t="s">
        <v>2209</v>
      </c>
      <c r="AD848" t="s">
        <v>2216</v>
      </c>
      <c r="AE848" t="s">
        <v>2162</v>
      </c>
      <c r="AG848" t="s">
        <v>2220</v>
      </c>
      <c r="AH848">
        <v>30</v>
      </c>
      <c r="AI848">
        <v>46</v>
      </c>
      <c r="AJ848">
        <v>16</v>
      </c>
      <c r="AK848">
        <v>7</v>
      </c>
      <c r="AL848" t="s">
        <v>2226</v>
      </c>
      <c r="AM848">
        <v>0</v>
      </c>
      <c r="AN848" t="s">
        <v>2176</v>
      </c>
      <c r="AO848" t="s">
        <v>2176</v>
      </c>
      <c r="AP848" t="s">
        <v>2176</v>
      </c>
      <c r="AQ848">
        <v>4.620000000000001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4.2</v>
      </c>
      <c r="AY848">
        <v>4.2</v>
      </c>
      <c r="AZ848">
        <v>3</v>
      </c>
      <c r="BA848">
        <v>1</v>
      </c>
      <c r="BB848">
        <v>30</v>
      </c>
      <c r="BC848">
        <v>27</v>
      </c>
      <c r="BD848">
        <v>26.15</v>
      </c>
      <c r="BE848">
        <v>133</v>
      </c>
      <c r="BF848">
        <v>87.2</v>
      </c>
      <c r="BG848">
        <v>30</v>
      </c>
      <c r="BH848">
        <v>27</v>
      </c>
      <c r="BI848">
        <v>26.15</v>
      </c>
      <c r="BJ848">
        <v>133</v>
      </c>
      <c r="BK848">
        <v>87.2</v>
      </c>
      <c r="BL848">
        <v>133</v>
      </c>
      <c r="BM848">
        <v>3.9584999999999999</v>
      </c>
    </row>
    <row r="849" spans="1:65" x14ac:dyDescent="0.25">
      <c r="A849" t="s">
        <v>912</v>
      </c>
      <c r="B849" t="s">
        <v>1891</v>
      </c>
      <c r="C849" t="s">
        <v>2158</v>
      </c>
      <c r="D849" s="1">
        <v>45307</v>
      </c>
      <c r="E849" s="1">
        <v>45333</v>
      </c>
      <c r="F849" s="1">
        <v>45393</v>
      </c>
      <c r="G849" t="s">
        <v>2166</v>
      </c>
      <c r="I849" t="s">
        <v>2174</v>
      </c>
      <c r="J849">
        <v>19336</v>
      </c>
      <c r="K849">
        <v>580</v>
      </c>
      <c r="L849">
        <v>6</v>
      </c>
      <c r="M849">
        <v>1</v>
      </c>
      <c r="N849">
        <v>2</v>
      </c>
      <c r="O849">
        <v>5681</v>
      </c>
      <c r="P849" t="s">
        <v>2176</v>
      </c>
      <c r="Q849">
        <v>10</v>
      </c>
      <c r="R849">
        <v>12</v>
      </c>
      <c r="S849">
        <v>14</v>
      </c>
      <c r="T849">
        <v>537</v>
      </c>
      <c r="U849" t="s">
        <v>2166</v>
      </c>
      <c r="W849" t="s">
        <v>2208</v>
      </c>
      <c r="X849" t="s">
        <v>2210</v>
      </c>
      <c r="Y849" t="s">
        <v>2212</v>
      </c>
      <c r="Z849" s="1">
        <v>45369</v>
      </c>
      <c r="AA849" s="1">
        <v>45382</v>
      </c>
      <c r="AB849" t="s">
        <v>2214</v>
      </c>
      <c r="AC849" t="s">
        <v>2209</v>
      </c>
      <c r="AD849" t="s">
        <v>2216</v>
      </c>
      <c r="AE849" t="s">
        <v>2166</v>
      </c>
      <c r="AG849" t="s">
        <v>2220</v>
      </c>
      <c r="AH849">
        <v>36</v>
      </c>
      <c r="AI849">
        <v>49</v>
      </c>
      <c r="AJ849">
        <v>13</v>
      </c>
      <c r="AK849">
        <v>2</v>
      </c>
      <c r="AL849" t="s">
        <v>2228</v>
      </c>
      <c r="AM849">
        <v>0</v>
      </c>
      <c r="AN849" t="s">
        <v>2176</v>
      </c>
      <c r="AO849" t="s">
        <v>2176</v>
      </c>
      <c r="AP849" t="s">
        <v>2176</v>
      </c>
      <c r="AQ849">
        <v>6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4.8</v>
      </c>
      <c r="AY849">
        <v>4.8</v>
      </c>
      <c r="AZ849">
        <v>2</v>
      </c>
      <c r="BA849">
        <v>0</v>
      </c>
      <c r="BB849">
        <v>40</v>
      </c>
      <c r="BC849">
        <v>24</v>
      </c>
      <c r="BD849">
        <v>35.54</v>
      </c>
      <c r="BE849">
        <v>160</v>
      </c>
      <c r="BF849">
        <v>88.8</v>
      </c>
      <c r="BG849">
        <v>40</v>
      </c>
      <c r="BH849">
        <v>24</v>
      </c>
      <c r="BI849">
        <v>35.54</v>
      </c>
      <c r="BJ849">
        <v>160</v>
      </c>
      <c r="BK849">
        <v>88.8</v>
      </c>
      <c r="BL849">
        <v>160</v>
      </c>
      <c r="BM849">
        <v>5.0340999999999996</v>
      </c>
    </row>
    <row r="850" spans="1:65" x14ac:dyDescent="0.25">
      <c r="A850" t="s">
        <v>913</v>
      </c>
      <c r="B850" t="s">
        <v>1892</v>
      </c>
      <c r="C850" t="s">
        <v>2160</v>
      </c>
      <c r="D850" s="1">
        <v>45485</v>
      </c>
      <c r="E850" s="1">
        <v>45541</v>
      </c>
      <c r="F850" s="1">
        <v>45623</v>
      </c>
      <c r="G850" t="s">
        <v>2166</v>
      </c>
      <c r="I850" t="s">
        <v>2174</v>
      </c>
      <c r="J850">
        <v>22886</v>
      </c>
      <c r="K850">
        <v>686</v>
      </c>
      <c r="L850">
        <v>1.4</v>
      </c>
      <c r="M850">
        <v>5.2</v>
      </c>
      <c r="N850">
        <v>1</v>
      </c>
      <c r="O850">
        <v>1417</v>
      </c>
      <c r="P850" t="s">
        <v>2176</v>
      </c>
      <c r="Q850">
        <v>15</v>
      </c>
      <c r="R850">
        <v>19</v>
      </c>
      <c r="S850">
        <v>27</v>
      </c>
      <c r="T850">
        <v>375</v>
      </c>
      <c r="U850" t="s">
        <v>2166</v>
      </c>
      <c r="W850" t="s">
        <v>2208</v>
      </c>
      <c r="X850" t="s">
        <v>2210</v>
      </c>
      <c r="Y850" t="s">
        <v>2212</v>
      </c>
      <c r="Z850" s="1">
        <v>45602</v>
      </c>
      <c r="AA850" s="1">
        <v>45620</v>
      </c>
      <c r="AB850" t="s">
        <v>2214</v>
      </c>
      <c r="AC850" t="s">
        <v>2209</v>
      </c>
      <c r="AD850" t="s">
        <v>2216</v>
      </c>
      <c r="AE850" t="s">
        <v>2166</v>
      </c>
      <c r="AG850" t="s">
        <v>2220</v>
      </c>
      <c r="AH850">
        <v>61</v>
      </c>
      <c r="AI850">
        <v>79</v>
      </c>
      <c r="AJ850">
        <v>18</v>
      </c>
      <c r="AK850">
        <v>9</v>
      </c>
      <c r="AL850" t="s">
        <v>2234</v>
      </c>
      <c r="AM850">
        <v>0</v>
      </c>
      <c r="AN850" t="s">
        <v>2176</v>
      </c>
      <c r="AO850" t="s">
        <v>2176</v>
      </c>
      <c r="AP850" t="s">
        <v>2176</v>
      </c>
      <c r="AQ850">
        <v>7.2799999999999994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4.8</v>
      </c>
      <c r="AY850">
        <v>4.8</v>
      </c>
      <c r="AZ850">
        <v>1</v>
      </c>
      <c r="BA850">
        <v>0</v>
      </c>
      <c r="BB850">
        <v>48</v>
      </c>
      <c r="BC850">
        <v>26</v>
      </c>
      <c r="BD850">
        <v>42</v>
      </c>
      <c r="BE850">
        <v>204</v>
      </c>
      <c r="BF850">
        <v>87.5</v>
      </c>
      <c r="BG850">
        <v>48</v>
      </c>
      <c r="BH850">
        <v>26</v>
      </c>
      <c r="BI850">
        <v>42</v>
      </c>
      <c r="BJ850">
        <v>204</v>
      </c>
      <c r="BK850">
        <v>87.5</v>
      </c>
      <c r="BL850">
        <v>204</v>
      </c>
      <c r="BM850">
        <v>4.3140000000000001</v>
      </c>
    </row>
    <row r="851" spans="1:65" x14ac:dyDescent="0.25">
      <c r="A851" t="s">
        <v>914</v>
      </c>
      <c r="B851" t="s">
        <v>1893</v>
      </c>
      <c r="C851" t="s">
        <v>2160</v>
      </c>
      <c r="D851" s="1">
        <v>45339</v>
      </c>
      <c r="E851" s="1">
        <v>45397</v>
      </c>
      <c r="F851" s="1">
        <v>45487</v>
      </c>
      <c r="G851" t="s">
        <v>2164</v>
      </c>
      <c r="I851" t="s">
        <v>2176</v>
      </c>
      <c r="J851">
        <v>23645</v>
      </c>
      <c r="K851">
        <v>709</v>
      </c>
      <c r="L851">
        <v>4.4000000000000004</v>
      </c>
      <c r="M851">
        <v>2.5</v>
      </c>
      <c r="N851">
        <v>2</v>
      </c>
      <c r="O851">
        <v>4905</v>
      </c>
      <c r="P851" t="s">
        <v>2176</v>
      </c>
      <c r="Q851">
        <v>18</v>
      </c>
      <c r="R851">
        <v>22</v>
      </c>
      <c r="S851">
        <v>19</v>
      </c>
      <c r="T851">
        <v>400</v>
      </c>
      <c r="U851" t="s">
        <v>2164</v>
      </c>
      <c r="W851" t="s">
        <v>2208</v>
      </c>
      <c r="X851" t="s">
        <v>2210</v>
      </c>
      <c r="Y851" t="s">
        <v>2212</v>
      </c>
      <c r="Z851" s="1">
        <v>45456</v>
      </c>
      <c r="AA851" s="1">
        <v>45472</v>
      </c>
      <c r="AB851" t="s">
        <v>2214</v>
      </c>
      <c r="AC851" t="s">
        <v>2209</v>
      </c>
      <c r="AD851" t="s">
        <v>2216</v>
      </c>
      <c r="AE851" t="s">
        <v>2164</v>
      </c>
      <c r="AG851" t="s">
        <v>2220</v>
      </c>
      <c r="AH851">
        <v>59</v>
      </c>
      <c r="AI851">
        <v>75</v>
      </c>
      <c r="AJ851">
        <v>16</v>
      </c>
      <c r="AK851">
        <v>4</v>
      </c>
      <c r="AL851" t="s">
        <v>2225</v>
      </c>
      <c r="AM851">
        <v>0</v>
      </c>
      <c r="AN851" t="s">
        <v>2176</v>
      </c>
      <c r="AO851" t="s">
        <v>2176</v>
      </c>
      <c r="AP851" t="s">
        <v>2176</v>
      </c>
      <c r="AQ851">
        <v>11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4.5</v>
      </c>
      <c r="AY851">
        <v>4.5</v>
      </c>
      <c r="AZ851">
        <v>1</v>
      </c>
      <c r="BA851">
        <v>1</v>
      </c>
      <c r="BB851">
        <v>30</v>
      </c>
      <c r="BC851">
        <v>26</v>
      </c>
      <c r="BD851">
        <v>26.42</v>
      </c>
      <c r="BE851">
        <v>126</v>
      </c>
      <c r="BF851">
        <v>88.1</v>
      </c>
      <c r="BG851">
        <v>30</v>
      </c>
      <c r="BH851">
        <v>26</v>
      </c>
      <c r="BI851">
        <v>26.42</v>
      </c>
      <c r="BJ851">
        <v>126</v>
      </c>
      <c r="BK851">
        <v>88.1</v>
      </c>
      <c r="BL851">
        <v>126</v>
      </c>
      <c r="BM851">
        <v>7.2153999999999998</v>
      </c>
    </row>
    <row r="852" spans="1:65" x14ac:dyDescent="0.25">
      <c r="A852" t="s">
        <v>915</v>
      </c>
      <c r="B852" t="s">
        <v>1894</v>
      </c>
      <c r="C852" t="s">
        <v>2157</v>
      </c>
      <c r="D852" s="1">
        <v>45256</v>
      </c>
      <c r="E852" s="1">
        <v>45310</v>
      </c>
      <c r="F852" s="1">
        <v>45374</v>
      </c>
      <c r="G852" t="s">
        <v>2166</v>
      </c>
      <c r="I852" t="s">
        <v>2176</v>
      </c>
      <c r="J852">
        <v>10171</v>
      </c>
      <c r="K852">
        <v>305</v>
      </c>
      <c r="L852">
        <v>7.1</v>
      </c>
      <c r="M852">
        <v>7.1</v>
      </c>
      <c r="N852">
        <v>1</v>
      </c>
      <c r="O852">
        <v>3371</v>
      </c>
      <c r="P852" t="s">
        <v>2176</v>
      </c>
      <c r="Q852">
        <v>5</v>
      </c>
      <c r="R852">
        <v>6</v>
      </c>
      <c r="S852">
        <v>10</v>
      </c>
      <c r="T852">
        <v>484</v>
      </c>
      <c r="U852" t="s">
        <v>2166</v>
      </c>
      <c r="W852" t="s">
        <v>2208</v>
      </c>
      <c r="X852" t="s">
        <v>2210</v>
      </c>
      <c r="Y852" t="s">
        <v>2212</v>
      </c>
      <c r="Z852" s="1">
        <v>45331</v>
      </c>
      <c r="AA852" s="1">
        <v>45352</v>
      </c>
      <c r="AB852" t="s">
        <v>2214</v>
      </c>
      <c r="AC852" t="s">
        <v>2209</v>
      </c>
      <c r="AD852" t="s">
        <v>2216</v>
      </c>
      <c r="AE852" t="s">
        <v>2166</v>
      </c>
      <c r="AG852" t="s">
        <v>2220</v>
      </c>
      <c r="AH852">
        <v>21</v>
      </c>
      <c r="AI852">
        <v>42</v>
      </c>
      <c r="AJ852">
        <v>21</v>
      </c>
      <c r="AK852">
        <v>1</v>
      </c>
      <c r="AL852" t="s">
        <v>2233</v>
      </c>
      <c r="AM852">
        <v>0</v>
      </c>
      <c r="AN852" t="s">
        <v>2177</v>
      </c>
      <c r="AO852" t="s">
        <v>2176</v>
      </c>
      <c r="AP852" t="s">
        <v>2176</v>
      </c>
      <c r="AQ852">
        <v>50.41</v>
      </c>
      <c r="AR852">
        <v>1</v>
      </c>
      <c r="AS852">
        <v>2</v>
      </c>
      <c r="AT852">
        <v>1</v>
      </c>
      <c r="AU852">
        <v>1</v>
      </c>
      <c r="AV852">
        <v>1.333333333333333</v>
      </c>
      <c r="AW852">
        <v>4.8</v>
      </c>
      <c r="AY852">
        <v>4.8</v>
      </c>
      <c r="AZ852">
        <v>3</v>
      </c>
      <c r="BA852">
        <v>1</v>
      </c>
      <c r="BB852">
        <v>40</v>
      </c>
      <c r="BC852">
        <v>27</v>
      </c>
      <c r="BD852">
        <v>35.07</v>
      </c>
      <c r="BE852">
        <v>181</v>
      </c>
      <c r="BF852">
        <v>87.7</v>
      </c>
      <c r="BG852">
        <v>40</v>
      </c>
      <c r="BH852">
        <v>27</v>
      </c>
      <c r="BI852">
        <v>35.07</v>
      </c>
      <c r="BJ852">
        <v>181</v>
      </c>
      <c r="BK852">
        <v>87.7</v>
      </c>
      <c r="BL852">
        <v>181</v>
      </c>
      <c r="BM852">
        <v>2.0808</v>
      </c>
    </row>
    <row r="853" spans="1:65" x14ac:dyDescent="0.25">
      <c r="A853" t="s">
        <v>916</v>
      </c>
      <c r="B853" t="s">
        <v>1895</v>
      </c>
      <c r="C853" t="s">
        <v>2158</v>
      </c>
      <c r="D853" s="1">
        <v>45453</v>
      </c>
      <c r="E853" s="1">
        <v>45485</v>
      </c>
      <c r="F853" s="1">
        <v>45576</v>
      </c>
      <c r="G853" t="s">
        <v>2163</v>
      </c>
      <c r="I853" t="s">
        <v>2176</v>
      </c>
      <c r="J853">
        <v>17760</v>
      </c>
      <c r="K853">
        <v>532</v>
      </c>
      <c r="L853">
        <v>5.5</v>
      </c>
      <c r="M853">
        <v>2.2999999999999998</v>
      </c>
      <c r="N853">
        <v>1</v>
      </c>
      <c r="O853">
        <v>2872</v>
      </c>
      <c r="P853" t="s">
        <v>2176</v>
      </c>
      <c r="Q853">
        <v>10</v>
      </c>
      <c r="R853">
        <v>14</v>
      </c>
      <c r="S853">
        <v>21</v>
      </c>
      <c r="T853">
        <v>394</v>
      </c>
      <c r="U853" t="s">
        <v>2163</v>
      </c>
      <c r="W853" t="s">
        <v>2208</v>
      </c>
      <c r="X853" t="s">
        <v>2210</v>
      </c>
      <c r="Y853" t="s">
        <v>2212</v>
      </c>
      <c r="Z853" s="1">
        <v>45530</v>
      </c>
      <c r="AA853" s="1">
        <v>45551</v>
      </c>
      <c r="AB853" t="s">
        <v>2214</v>
      </c>
      <c r="AC853" t="s">
        <v>2209</v>
      </c>
      <c r="AD853" t="s">
        <v>2216</v>
      </c>
      <c r="AE853" t="s">
        <v>2163</v>
      </c>
      <c r="AG853" t="s">
        <v>2220</v>
      </c>
      <c r="AH853">
        <v>45</v>
      </c>
      <c r="AI853">
        <v>66</v>
      </c>
      <c r="AJ853">
        <v>21</v>
      </c>
      <c r="AK853">
        <v>7</v>
      </c>
      <c r="AL853" t="s">
        <v>2226</v>
      </c>
      <c r="AM853">
        <v>0</v>
      </c>
      <c r="AN853" t="s">
        <v>2176</v>
      </c>
      <c r="AO853" t="s">
        <v>2176</v>
      </c>
      <c r="AP853" t="s">
        <v>2176</v>
      </c>
      <c r="AQ853">
        <v>12.65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4.4000000000000004</v>
      </c>
      <c r="AY853">
        <v>4.4000000000000004</v>
      </c>
      <c r="AZ853">
        <v>2</v>
      </c>
      <c r="BA853">
        <v>1</v>
      </c>
      <c r="BB853">
        <v>33</v>
      </c>
      <c r="BC853">
        <v>27</v>
      </c>
      <c r="BD853">
        <v>28.89</v>
      </c>
      <c r="BE853">
        <v>145</v>
      </c>
      <c r="BF853">
        <v>87.5</v>
      </c>
      <c r="BG853">
        <v>33</v>
      </c>
      <c r="BH853">
        <v>27</v>
      </c>
      <c r="BI853">
        <v>28.89</v>
      </c>
      <c r="BJ853">
        <v>145</v>
      </c>
      <c r="BK853">
        <v>87.5</v>
      </c>
      <c r="BL853">
        <v>145</v>
      </c>
      <c r="BM853">
        <v>4.5351999999999997</v>
      </c>
    </row>
    <row r="854" spans="1:65" x14ac:dyDescent="0.25">
      <c r="A854" t="s">
        <v>917</v>
      </c>
      <c r="B854" t="s">
        <v>1896</v>
      </c>
      <c r="C854" t="s">
        <v>2157</v>
      </c>
      <c r="D854" s="1">
        <v>45400</v>
      </c>
      <c r="E854" s="1">
        <v>45431</v>
      </c>
      <c r="F854" s="1">
        <v>45510</v>
      </c>
      <c r="G854" t="s">
        <v>2165</v>
      </c>
      <c r="I854" t="s">
        <v>2174</v>
      </c>
      <c r="J854">
        <v>18107</v>
      </c>
      <c r="K854">
        <v>543</v>
      </c>
      <c r="L854">
        <v>2</v>
      </c>
      <c r="M854">
        <v>7</v>
      </c>
      <c r="N854">
        <v>2</v>
      </c>
      <c r="O854">
        <v>3443</v>
      </c>
      <c r="P854" t="s">
        <v>2176</v>
      </c>
      <c r="Q854">
        <v>13</v>
      </c>
      <c r="R854">
        <v>18</v>
      </c>
      <c r="S854">
        <v>14</v>
      </c>
      <c r="T854">
        <v>402</v>
      </c>
      <c r="U854" t="s">
        <v>2165</v>
      </c>
      <c r="W854" t="s">
        <v>2208</v>
      </c>
      <c r="X854" t="s">
        <v>2210</v>
      </c>
      <c r="Y854" t="s">
        <v>2212</v>
      </c>
      <c r="Z854" s="1">
        <v>45476</v>
      </c>
      <c r="AA854" s="1">
        <v>45496</v>
      </c>
      <c r="AB854" t="s">
        <v>2214</v>
      </c>
      <c r="AC854" t="s">
        <v>2209</v>
      </c>
      <c r="AD854" t="s">
        <v>2216</v>
      </c>
      <c r="AE854" t="s">
        <v>2165</v>
      </c>
      <c r="AG854" t="s">
        <v>2220</v>
      </c>
      <c r="AH854">
        <v>45</v>
      </c>
      <c r="AI854">
        <v>65</v>
      </c>
      <c r="AJ854">
        <v>20</v>
      </c>
      <c r="AK854">
        <v>5</v>
      </c>
      <c r="AL854" t="s">
        <v>2224</v>
      </c>
      <c r="AM854">
        <v>0</v>
      </c>
      <c r="AN854" t="s">
        <v>2176</v>
      </c>
      <c r="AO854" t="s">
        <v>2176</v>
      </c>
      <c r="AP854" t="s">
        <v>2176</v>
      </c>
      <c r="AQ854">
        <v>14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4.5999999999999996</v>
      </c>
      <c r="AY854">
        <v>4.5999999999999996</v>
      </c>
      <c r="AZ854">
        <v>3</v>
      </c>
      <c r="BA854">
        <v>0</v>
      </c>
      <c r="BB854">
        <v>36</v>
      </c>
      <c r="BC854">
        <v>27</v>
      </c>
      <c r="BD854">
        <v>31.37</v>
      </c>
      <c r="BE854">
        <v>158</v>
      </c>
      <c r="BF854">
        <v>87.1</v>
      </c>
      <c r="BG854">
        <v>36</v>
      </c>
      <c r="BH854">
        <v>27</v>
      </c>
      <c r="BI854">
        <v>31.37</v>
      </c>
      <c r="BJ854">
        <v>158</v>
      </c>
      <c r="BK854">
        <v>87.1</v>
      </c>
      <c r="BL854">
        <v>158</v>
      </c>
      <c r="BM854">
        <v>4.2435</v>
      </c>
    </row>
    <row r="855" spans="1:65" x14ac:dyDescent="0.25">
      <c r="A855" t="s">
        <v>918</v>
      </c>
      <c r="B855" t="s">
        <v>1897</v>
      </c>
      <c r="C855" t="s">
        <v>2159</v>
      </c>
      <c r="D855" s="1">
        <v>45494</v>
      </c>
      <c r="E855" s="1">
        <v>45521</v>
      </c>
      <c r="F855" s="1">
        <v>45581</v>
      </c>
      <c r="G855" t="s">
        <v>2165</v>
      </c>
      <c r="I855" t="s">
        <v>2174</v>
      </c>
      <c r="J855">
        <v>8407</v>
      </c>
      <c r="K855">
        <v>252</v>
      </c>
      <c r="L855">
        <v>5.0999999999999996</v>
      </c>
      <c r="M855">
        <v>7.2</v>
      </c>
      <c r="N855">
        <v>2</v>
      </c>
      <c r="O855">
        <v>4945</v>
      </c>
      <c r="P855" t="s">
        <v>2176</v>
      </c>
      <c r="Q855">
        <v>4</v>
      </c>
      <c r="R855">
        <v>5</v>
      </c>
      <c r="S855">
        <v>6</v>
      </c>
      <c r="T855">
        <v>560</v>
      </c>
      <c r="U855" t="s">
        <v>2165</v>
      </c>
      <c r="W855" t="s">
        <v>2208</v>
      </c>
      <c r="X855" t="s">
        <v>2210</v>
      </c>
      <c r="Y855" t="s">
        <v>2212</v>
      </c>
      <c r="Z855" s="1">
        <v>45536</v>
      </c>
      <c r="AA855" s="1">
        <v>45552</v>
      </c>
      <c r="AB855" t="s">
        <v>2214</v>
      </c>
      <c r="AC855" t="s">
        <v>2209</v>
      </c>
      <c r="AD855" t="s">
        <v>2216</v>
      </c>
      <c r="AE855" t="s">
        <v>2165</v>
      </c>
      <c r="AG855" t="s">
        <v>2220</v>
      </c>
      <c r="AH855">
        <v>15</v>
      </c>
      <c r="AI855">
        <v>31</v>
      </c>
      <c r="AJ855">
        <v>16</v>
      </c>
      <c r="AK855">
        <v>8</v>
      </c>
      <c r="AL855" t="s">
        <v>2232</v>
      </c>
      <c r="AM855">
        <v>0</v>
      </c>
      <c r="AN855" t="s">
        <v>2177</v>
      </c>
      <c r="AO855" t="s">
        <v>2176</v>
      </c>
      <c r="AP855" t="s">
        <v>2176</v>
      </c>
      <c r="AQ855">
        <v>36.72</v>
      </c>
      <c r="AR855">
        <v>1</v>
      </c>
      <c r="AS855">
        <v>2</v>
      </c>
      <c r="AT855">
        <v>1</v>
      </c>
      <c r="AU855">
        <v>1</v>
      </c>
      <c r="AV855">
        <v>1.333333333333333</v>
      </c>
      <c r="AW855">
        <v>4.5999999999999996</v>
      </c>
      <c r="AY855">
        <v>4.5999999999999996</v>
      </c>
      <c r="AZ855">
        <v>0</v>
      </c>
      <c r="BA855">
        <v>0</v>
      </c>
      <c r="BB855">
        <v>36</v>
      </c>
      <c r="BC855">
        <v>26</v>
      </c>
      <c r="BD855">
        <v>31.73</v>
      </c>
      <c r="BE855">
        <v>152</v>
      </c>
      <c r="BF855">
        <v>88.1</v>
      </c>
      <c r="BG855">
        <v>36</v>
      </c>
      <c r="BH855">
        <v>26</v>
      </c>
      <c r="BI855">
        <v>31.73</v>
      </c>
      <c r="BJ855">
        <v>152</v>
      </c>
      <c r="BK855">
        <v>88.1</v>
      </c>
      <c r="BL855">
        <v>152</v>
      </c>
      <c r="BM855">
        <v>2.1267</v>
      </c>
    </row>
    <row r="856" spans="1:65" x14ac:dyDescent="0.25">
      <c r="A856" t="s">
        <v>919</v>
      </c>
      <c r="B856" t="s">
        <v>1898</v>
      </c>
      <c r="C856" t="s">
        <v>2158</v>
      </c>
      <c r="D856" s="1">
        <v>45303</v>
      </c>
      <c r="E856" s="1">
        <v>45333</v>
      </c>
      <c r="F856" s="1">
        <v>45428</v>
      </c>
      <c r="G856" t="s">
        <v>2164</v>
      </c>
      <c r="I856" t="s">
        <v>2176</v>
      </c>
      <c r="J856">
        <v>20596</v>
      </c>
      <c r="K856">
        <v>617</v>
      </c>
      <c r="L856">
        <v>3.3</v>
      </c>
      <c r="M856">
        <v>2.8</v>
      </c>
      <c r="N856">
        <v>2</v>
      </c>
      <c r="O856">
        <v>3758</v>
      </c>
      <c r="P856" t="s">
        <v>2176</v>
      </c>
      <c r="Q856">
        <v>16</v>
      </c>
      <c r="R856">
        <v>23</v>
      </c>
      <c r="S856">
        <v>17</v>
      </c>
      <c r="T856">
        <v>367</v>
      </c>
      <c r="U856" t="s">
        <v>2164</v>
      </c>
      <c r="W856" t="s">
        <v>2208</v>
      </c>
      <c r="X856" t="s">
        <v>2210</v>
      </c>
      <c r="Y856" t="s">
        <v>2212</v>
      </c>
      <c r="Z856" s="1">
        <v>45389</v>
      </c>
      <c r="AA856" s="1">
        <v>45408</v>
      </c>
      <c r="AB856" t="s">
        <v>2214</v>
      </c>
      <c r="AC856" t="s">
        <v>2209</v>
      </c>
      <c r="AD856" t="s">
        <v>2216</v>
      </c>
      <c r="AE856" t="s">
        <v>2164</v>
      </c>
      <c r="AG856" t="s">
        <v>2220</v>
      </c>
      <c r="AH856">
        <v>56</v>
      </c>
      <c r="AI856">
        <v>75</v>
      </c>
      <c r="AJ856">
        <v>19</v>
      </c>
      <c r="AK856">
        <v>2</v>
      </c>
      <c r="AL856" t="s">
        <v>2228</v>
      </c>
      <c r="AM856">
        <v>0</v>
      </c>
      <c r="AN856" t="s">
        <v>2176</v>
      </c>
      <c r="AO856" t="s">
        <v>2176</v>
      </c>
      <c r="AP856" t="s">
        <v>2176</v>
      </c>
      <c r="AQ856">
        <v>9.2399999999999984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4.5</v>
      </c>
      <c r="AY856">
        <v>4.5</v>
      </c>
      <c r="AZ856">
        <v>2</v>
      </c>
      <c r="BA856">
        <v>1</v>
      </c>
      <c r="BB856">
        <v>27</v>
      </c>
      <c r="BC856">
        <v>24</v>
      </c>
      <c r="BD856">
        <v>24.04</v>
      </c>
      <c r="BE856">
        <v>106</v>
      </c>
      <c r="BF856">
        <v>89</v>
      </c>
      <c r="BG856">
        <v>27</v>
      </c>
      <c r="BH856">
        <v>24</v>
      </c>
      <c r="BI856">
        <v>24.04</v>
      </c>
      <c r="BJ856">
        <v>106</v>
      </c>
      <c r="BK856">
        <v>89</v>
      </c>
      <c r="BL856">
        <v>106</v>
      </c>
      <c r="BM856">
        <v>8.0927000000000007</v>
      </c>
    </row>
    <row r="857" spans="1:65" x14ac:dyDescent="0.25">
      <c r="A857" t="s">
        <v>920</v>
      </c>
      <c r="B857" t="s">
        <v>1899</v>
      </c>
      <c r="C857" t="s">
        <v>2160</v>
      </c>
      <c r="D857" s="1">
        <v>45365</v>
      </c>
      <c r="E857" s="1">
        <v>45417</v>
      </c>
      <c r="F857" s="1">
        <v>45473</v>
      </c>
      <c r="G857" t="s">
        <v>2161</v>
      </c>
      <c r="I857" t="s">
        <v>2176</v>
      </c>
      <c r="J857">
        <v>8990</v>
      </c>
      <c r="K857">
        <v>269</v>
      </c>
      <c r="L857">
        <v>5.4</v>
      </c>
      <c r="M857">
        <v>4.0999999999999996</v>
      </c>
      <c r="N857">
        <v>1</v>
      </c>
      <c r="O857">
        <v>2607</v>
      </c>
      <c r="P857" t="s">
        <v>2176</v>
      </c>
      <c r="Q857">
        <v>4</v>
      </c>
      <c r="R857">
        <v>5</v>
      </c>
      <c r="S857">
        <v>6</v>
      </c>
      <c r="T857">
        <v>599</v>
      </c>
      <c r="U857" t="s">
        <v>2161</v>
      </c>
      <c r="W857" t="s">
        <v>2208</v>
      </c>
      <c r="X857" t="s">
        <v>2210</v>
      </c>
      <c r="Y857" t="s">
        <v>2212</v>
      </c>
      <c r="Z857" s="1">
        <v>45432</v>
      </c>
      <c r="AA857" s="1">
        <v>45449</v>
      </c>
      <c r="AB857" t="s">
        <v>2214</v>
      </c>
      <c r="AC857" t="s">
        <v>2209</v>
      </c>
      <c r="AD857" t="s">
        <v>2216</v>
      </c>
      <c r="AE857" t="s">
        <v>2161</v>
      </c>
      <c r="AG857" t="s">
        <v>2220</v>
      </c>
      <c r="AH857">
        <v>15</v>
      </c>
      <c r="AI857">
        <v>32</v>
      </c>
      <c r="AJ857">
        <v>17</v>
      </c>
      <c r="AK857">
        <v>5</v>
      </c>
      <c r="AL857" t="s">
        <v>2224</v>
      </c>
      <c r="AM857">
        <v>0</v>
      </c>
      <c r="AN857" t="s">
        <v>2176</v>
      </c>
      <c r="AO857" t="s">
        <v>2176</v>
      </c>
      <c r="AP857" t="s">
        <v>2176</v>
      </c>
      <c r="AQ857">
        <v>22.14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4.3</v>
      </c>
      <c r="AY857">
        <v>4.3</v>
      </c>
      <c r="AZ857">
        <v>1</v>
      </c>
      <c r="BA857">
        <v>1</v>
      </c>
      <c r="BB857">
        <v>33</v>
      </c>
      <c r="BC857">
        <v>27</v>
      </c>
      <c r="BD857">
        <v>28.96</v>
      </c>
      <c r="BE857">
        <v>147</v>
      </c>
      <c r="BF857">
        <v>87.8</v>
      </c>
      <c r="BG857">
        <v>33</v>
      </c>
      <c r="BH857">
        <v>27</v>
      </c>
      <c r="BI857">
        <v>28.96</v>
      </c>
      <c r="BJ857">
        <v>147</v>
      </c>
      <c r="BK857">
        <v>87.8</v>
      </c>
      <c r="BL857">
        <v>147</v>
      </c>
      <c r="BM857">
        <v>2.2645</v>
      </c>
    </row>
    <row r="858" spans="1:65" x14ac:dyDescent="0.25">
      <c r="A858" t="s">
        <v>921</v>
      </c>
      <c r="B858" t="s">
        <v>1900</v>
      </c>
      <c r="C858" t="s">
        <v>2160</v>
      </c>
      <c r="D858" s="1">
        <v>45436</v>
      </c>
      <c r="E858" s="1">
        <v>45488</v>
      </c>
      <c r="F858" s="1">
        <v>45540</v>
      </c>
      <c r="G858" t="s">
        <v>2165</v>
      </c>
      <c r="I858" t="s">
        <v>2174</v>
      </c>
      <c r="J858">
        <v>7833</v>
      </c>
      <c r="K858">
        <v>234</v>
      </c>
      <c r="L858">
        <v>3</v>
      </c>
      <c r="M858">
        <v>4.8</v>
      </c>
      <c r="N858">
        <v>1</v>
      </c>
      <c r="O858">
        <v>3735</v>
      </c>
      <c r="P858" t="s">
        <v>2176</v>
      </c>
      <c r="Q858">
        <v>4</v>
      </c>
      <c r="R858">
        <v>4</v>
      </c>
      <c r="S858">
        <v>6</v>
      </c>
      <c r="T858">
        <v>559</v>
      </c>
      <c r="U858" t="s">
        <v>2165</v>
      </c>
      <c r="W858" t="s">
        <v>2208</v>
      </c>
      <c r="X858" t="s">
        <v>2210</v>
      </c>
      <c r="Y858" t="s">
        <v>2212</v>
      </c>
      <c r="Z858" s="1">
        <v>45502</v>
      </c>
      <c r="AA858" s="1">
        <v>45516</v>
      </c>
      <c r="AB858" t="s">
        <v>2214</v>
      </c>
      <c r="AC858" t="s">
        <v>2209</v>
      </c>
      <c r="AD858" t="s">
        <v>2216</v>
      </c>
      <c r="AE858" t="s">
        <v>2165</v>
      </c>
      <c r="AG858" t="s">
        <v>2220</v>
      </c>
      <c r="AH858">
        <v>14</v>
      </c>
      <c r="AI858">
        <v>28</v>
      </c>
      <c r="AJ858">
        <v>14</v>
      </c>
      <c r="AK858">
        <v>7</v>
      </c>
      <c r="AL858" t="s">
        <v>2226</v>
      </c>
      <c r="AM858">
        <v>0</v>
      </c>
      <c r="AN858" t="s">
        <v>2176</v>
      </c>
      <c r="AO858" t="s">
        <v>2176</v>
      </c>
      <c r="AP858" t="s">
        <v>2176</v>
      </c>
      <c r="AQ858">
        <v>14.4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4.5999999999999996</v>
      </c>
      <c r="AY858">
        <v>4.5999999999999996</v>
      </c>
      <c r="AZ858">
        <v>1</v>
      </c>
      <c r="BA858">
        <v>0</v>
      </c>
      <c r="BB858">
        <v>38</v>
      </c>
      <c r="BC858">
        <v>27</v>
      </c>
      <c r="BD858">
        <v>34</v>
      </c>
      <c r="BE858">
        <v>174</v>
      </c>
      <c r="BF858">
        <v>89.5</v>
      </c>
      <c r="BG858">
        <v>38</v>
      </c>
      <c r="BH858">
        <v>27</v>
      </c>
      <c r="BI858">
        <v>34</v>
      </c>
      <c r="BJ858">
        <v>174</v>
      </c>
      <c r="BK858">
        <v>89.5</v>
      </c>
      <c r="BL858">
        <v>174</v>
      </c>
      <c r="BM858">
        <v>1.667</v>
      </c>
    </row>
    <row r="859" spans="1:65" x14ac:dyDescent="0.25">
      <c r="A859" t="s">
        <v>922</v>
      </c>
      <c r="B859" t="s">
        <v>1901</v>
      </c>
      <c r="C859" t="s">
        <v>2157</v>
      </c>
      <c r="D859" s="1">
        <v>45411</v>
      </c>
      <c r="E859" s="1">
        <v>45457</v>
      </c>
      <c r="F859" s="1">
        <v>45499</v>
      </c>
      <c r="G859" t="s">
        <v>2162</v>
      </c>
      <c r="I859" t="s">
        <v>2176</v>
      </c>
      <c r="J859">
        <v>5162</v>
      </c>
      <c r="K859">
        <v>154</v>
      </c>
      <c r="L859">
        <v>1.7</v>
      </c>
      <c r="M859">
        <v>5.5</v>
      </c>
      <c r="N859">
        <v>1</v>
      </c>
      <c r="O859">
        <v>3707</v>
      </c>
      <c r="P859" t="s">
        <v>2176</v>
      </c>
      <c r="Q859">
        <v>2</v>
      </c>
      <c r="R859">
        <v>2</v>
      </c>
      <c r="S859">
        <v>3</v>
      </c>
      <c r="T859">
        <v>737</v>
      </c>
      <c r="U859" t="s">
        <v>2162</v>
      </c>
      <c r="W859" t="s">
        <v>2208</v>
      </c>
      <c r="X859" t="s">
        <v>2210</v>
      </c>
      <c r="Y859" t="s">
        <v>2212</v>
      </c>
      <c r="Z859" s="1">
        <v>45464</v>
      </c>
      <c r="AA859" s="1">
        <v>45484</v>
      </c>
      <c r="AB859" t="s">
        <v>2214</v>
      </c>
      <c r="AC859" t="s">
        <v>2209</v>
      </c>
      <c r="AD859" t="s">
        <v>2216</v>
      </c>
      <c r="AE859" t="s">
        <v>2162</v>
      </c>
      <c r="AG859" t="s">
        <v>2220</v>
      </c>
      <c r="AH859">
        <v>7</v>
      </c>
      <c r="AI859">
        <v>27</v>
      </c>
      <c r="AJ859">
        <v>20</v>
      </c>
      <c r="AK859">
        <v>6</v>
      </c>
      <c r="AL859" t="s">
        <v>2223</v>
      </c>
      <c r="AM859">
        <v>0</v>
      </c>
      <c r="AN859" t="s">
        <v>2176</v>
      </c>
      <c r="AO859" t="s">
        <v>2176</v>
      </c>
      <c r="AP859" t="s">
        <v>2176</v>
      </c>
      <c r="AQ859">
        <v>9.35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4.2</v>
      </c>
      <c r="AY859">
        <v>4.2</v>
      </c>
      <c r="AZ859">
        <v>3</v>
      </c>
      <c r="BA859">
        <v>1</v>
      </c>
      <c r="BB859">
        <v>29</v>
      </c>
      <c r="BC859">
        <v>25</v>
      </c>
      <c r="BD859">
        <v>25.56</v>
      </c>
      <c r="BE859">
        <v>117</v>
      </c>
      <c r="BF859">
        <v>88.1</v>
      </c>
      <c r="BG859">
        <v>29</v>
      </c>
      <c r="BH859">
        <v>25</v>
      </c>
      <c r="BI859">
        <v>25.56</v>
      </c>
      <c r="BJ859">
        <v>117</v>
      </c>
      <c r="BK859">
        <v>88.1</v>
      </c>
      <c r="BL859">
        <v>117</v>
      </c>
      <c r="BM859">
        <v>1.7642</v>
      </c>
    </row>
    <row r="860" spans="1:65" x14ac:dyDescent="0.25">
      <c r="A860" t="s">
        <v>923</v>
      </c>
      <c r="B860" t="s">
        <v>1902</v>
      </c>
      <c r="C860" t="s">
        <v>2160</v>
      </c>
      <c r="D860" s="1">
        <v>45521</v>
      </c>
      <c r="E860" s="1">
        <v>45579</v>
      </c>
      <c r="F860" s="1">
        <v>45623</v>
      </c>
      <c r="G860" t="s">
        <v>2165</v>
      </c>
      <c r="I860" t="s">
        <v>2176</v>
      </c>
      <c r="J860">
        <v>5564</v>
      </c>
      <c r="K860">
        <v>166</v>
      </c>
      <c r="L860">
        <v>4.2</v>
      </c>
      <c r="M860">
        <v>4.5</v>
      </c>
      <c r="N860">
        <v>1</v>
      </c>
      <c r="O860">
        <v>1348</v>
      </c>
      <c r="P860" t="s">
        <v>2176</v>
      </c>
      <c r="Q860">
        <v>3</v>
      </c>
      <c r="R860">
        <v>3</v>
      </c>
      <c r="S860">
        <v>4</v>
      </c>
      <c r="T860">
        <v>556</v>
      </c>
      <c r="U860" t="s">
        <v>2165</v>
      </c>
      <c r="W860" t="s">
        <v>2208</v>
      </c>
      <c r="X860" t="s">
        <v>2210</v>
      </c>
      <c r="Y860" t="s">
        <v>2212</v>
      </c>
      <c r="Z860" s="1">
        <v>45589</v>
      </c>
      <c r="AA860" s="1">
        <v>45607</v>
      </c>
      <c r="AB860" t="s">
        <v>2214</v>
      </c>
      <c r="AC860" t="s">
        <v>2209</v>
      </c>
      <c r="AD860" t="s">
        <v>2216</v>
      </c>
      <c r="AE860" t="s">
        <v>2165</v>
      </c>
      <c r="AG860" t="s">
        <v>2220</v>
      </c>
      <c r="AH860">
        <v>10</v>
      </c>
      <c r="AI860">
        <v>28</v>
      </c>
      <c r="AJ860">
        <v>18</v>
      </c>
      <c r="AK860">
        <v>10</v>
      </c>
      <c r="AL860" t="s">
        <v>2230</v>
      </c>
      <c r="AM860">
        <v>1</v>
      </c>
      <c r="AN860" t="s">
        <v>2176</v>
      </c>
      <c r="AO860" t="s">
        <v>2176</v>
      </c>
      <c r="AP860" t="s">
        <v>2176</v>
      </c>
      <c r="AQ860">
        <v>18.899999999999999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4.5999999999999996</v>
      </c>
      <c r="AY860">
        <v>4.5999999999999996</v>
      </c>
      <c r="AZ860">
        <v>1</v>
      </c>
      <c r="BA860">
        <v>1</v>
      </c>
      <c r="BB860">
        <v>43</v>
      </c>
      <c r="BC860">
        <v>27</v>
      </c>
      <c r="BD860">
        <v>37.33</v>
      </c>
      <c r="BE860">
        <v>194</v>
      </c>
      <c r="BF860">
        <v>86.8</v>
      </c>
      <c r="BG860">
        <v>43</v>
      </c>
      <c r="BH860">
        <v>27</v>
      </c>
      <c r="BI860">
        <v>37.33</v>
      </c>
      <c r="BJ860">
        <v>194</v>
      </c>
      <c r="BK860">
        <v>86.8</v>
      </c>
      <c r="BL860">
        <v>194</v>
      </c>
      <c r="BM860">
        <v>1.0620000000000001</v>
      </c>
    </row>
    <row r="861" spans="1:65" x14ac:dyDescent="0.25">
      <c r="A861" t="s">
        <v>924</v>
      </c>
      <c r="B861" t="s">
        <v>1903</v>
      </c>
      <c r="C861" t="s">
        <v>2157</v>
      </c>
      <c r="D861" s="1">
        <v>45530</v>
      </c>
      <c r="E861" s="1">
        <v>45567</v>
      </c>
      <c r="F861" s="1">
        <v>45617</v>
      </c>
      <c r="G861" t="s">
        <v>2162</v>
      </c>
      <c r="I861" t="s">
        <v>2176</v>
      </c>
      <c r="J861">
        <v>12170</v>
      </c>
      <c r="K861">
        <v>365</v>
      </c>
      <c r="L861">
        <v>8</v>
      </c>
      <c r="M861">
        <v>1.5</v>
      </c>
      <c r="N861">
        <v>1</v>
      </c>
      <c r="O861">
        <v>2125</v>
      </c>
      <c r="P861" t="s">
        <v>2176</v>
      </c>
      <c r="Q861">
        <v>9</v>
      </c>
      <c r="R861">
        <v>12</v>
      </c>
      <c r="S861">
        <v>9</v>
      </c>
      <c r="T861">
        <v>405</v>
      </c>
      <c r="U861" t="s">
        <v>2162</v>
      </c>
      <c r="W861" t="s">
        <v>2208</v>
      </c>
      <c r="X861" t="s">
        <v>2210</v>
      </c>
      <c r="Y861" t="s">
        <v>2212</v>
      </c>
      <c r="Z861" s="1">
        <v>45597</v>
      </c>
      <c r="AA861" s="1">
        <v>45611</v>
      </c>
      <c r="AB861" t="s">
        <v>2214</v>
      </c>
      <c r="AC861" t="s">
        <v>2209</v>
      </c>
      <c r="AD861" t="s">
        <v>2216</v>
      </c>
      <c r="AE861" t="s">
        <v>2162</v>
      </c>
      <c r="AG861" t="s">
        <v>2220</v>
      </c>
      <c r="AH861">
        <v>30</v>
      </c>
      <c r="AI861">
        <v>44</v>
      </c>
      <c r="AJ861">
        <v>14</v>
      </c>
      <c r="AK861">
        <v>10</v>
      </c>
      <c r="AL861" t="s">
        <v>2230</v>
      </c>
      <c r="AM861">
        <v>1</v>
      </c>
      <c r="AN861" t="s">
        <v>2176</v>
      </c>
      <c r="AO861" t="s">
        <v>2176</v>
      </c>
      <c r="AP861" t="s">
        <v>2176</v>
      </c>
      <c r="AQ861">
        <v>12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4.2</v>
      </c>
      <c r="AY861">
        <v>4.2</v>
      </c>
      <c r="AZ861">
        <v>3</v>
      </c>
      <c r="BA861">
        <v>1</v>
      </c>
      <c r="BB861">
        <v>25</v>
      </c>
      <c r="BC861">
        <v>27</v>
      </c>
      <c r="BD861">
        <v>21.89</v>
      </c>
      <c r="BE861">
        <v>108</v>
      </c>
      <c r="BF861">
        <v>87.6</v>
      </c>
      <c r="BG861">
        <v>25</v>
      </c>
      <c r="BH861">
        <v>27</v>
      </c>
      <c r="BI861">
        <v>21.89</v>
      </c>
      <c r="BJ861">
        <v>108</v>
      </c>
      <c r="BK861">
        <v>87.6</v>
      </c>
      <c r="BL861">
        <v>108</v>
      </c>
      <c r="BM861">
        <v>4.1721000000000004</v>
      </c>
    </row>
    <row r="862" spans="1:65" x14ac:dyDescent="0.25">
      <c r="A862" t="s">
        <v>925</v>
      </c>
      <c r="B862" t="s">
        <v>1904</v>
      </c>
      <c r="C862" t="s">
        <v>2158</v>
      </c>
      <c r="D862" s="1">
        <v>45440</v>
      </c>
      <c r="E862" s="1">
        <v>45461</v>
      </c>
      <c r="F862" s="1">
        <v>45507</v>
      </c>
      <c r="G862" t="s">
        <v>2166</v>
      </c>
      <c r="I862" t="s">
        <v>2176</v>
      </c>
      <c r="J862">
        <v>7658</v>
      </c>
      <c r="K862">
        <v>229</v>
      </c>
      <c r="L862">
        <v>4.0999999999999996</v>
      </c>
      <c r="M862">
        <v>1.3</v>
      </c>
      <c r="N862">
        <v>2</v>
      </c>
      <c r="O862">
        <v>5305</v>
      </c>
      <c r="P862" t="s">
        <v>2176</v>
      </c>
      <c r="Q862">
        <v>4</v>
      </c>
      <c r="R862">
        <v>5</v>
      </c>
      <c r="S862">
        <v>7</v>
      </c>
      <c r="T862">
        <v>478</v>
      </c>
      <c r="U862" t="s">
        <v>2166</v>
      </c>
      <c r="W862" t="s">
        <v>2208</v>
      </c>
      <c r="X862" t="s">
        <v>2210</v>
      </c>
      <c r="Y862" t="s">
        <v>2212</v>
      </c>
      <c r="Z862" s="1">
        <v>45477</v>
      </c>
      <c r="AA862" s="1">
        <v>45494</v>
      </c>
      <c r="AB862" t="s">
        <v>2214</v>
      </c>
      <c r="AC862" t="s">
        <v>2209</v>
      </c>
      <c r="AD862" t="s">
        <v>2216</v>
      </c>
      <c r="AE862" t="s">
        <v>2166</v>
      </c>
      <c r="AG862" t="s">
        <v>2220</v>
      </c>
      <c r="AH862">
        <v>16</v>
      </c>
      <c r="AI862">
        <v>33</v>
      </c>
      <c r="AJ862">
        <v>17</v>
      </c>
      <c r="AK862">
        <v>6</v>
      </c>
      <c r="AL862" t="s">
        <v>2223</v>
      </c>
      <c r="AM862">
        <v>0</v>
      </c>
      <c r="AN862" t="s">
        <v>2176</v>
      </c>
      <c r="AO862" t="s">
        <v>2176</v>
      </c>
      <c r="AP862" t="s">
        <v>2176</v>
      </c>
      <c r="AQ862">
        <v>5.33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4.8</v>
      </c>
      <c r="AY862">
        <v>4.8</v>
      </c>
      <c r="AZ862">
        <v>2</v>
      </c>
      <c r="BA862">
        <v>1</v>
      </c>
      <c r="BB862">
        <v>45</v>
      </c>
      <c r="BC862">
        <v>25</v>
      </c>
      <c r="BD862">
        <v>39.200000000000003</v>
      </c>
      <c r="BE862">
        <v>186</v>
      </c>
      <c r="BF862">
        <v>87.1</v>
      </c>
      <c r="BG862">
        <v>45</v>
      </c>
      <c r="BH862">
        <v>25</v>
      </c>
      <c r="BI862">
        <v>39.200000000000003</v>
      </c>
      <c r="BJ862">
        <v>186</v>
      </c>
      <c r="BK862">
        <v>87.1</v>
      </c>
      <c r="BL862">
        <v>186</v>
      </c>
      <c r="BM862">
        <v>1.6465000000000001</v>
      </c>
    </row>
    <row r="863" spans="1:65" x14ac:dyDescent="0.25">
      <c r="A863" t="s">
        <v>926</v>
      </c>
      <c r="B863" t="s">
        <v>1905</v>
      </c>
      <c r="C863" t="s">
        <v>2160</v>
      </c>
      <c r="D863" s="1">
        <v>45410</v>
      </c>
      <c r="E863" s="1">
        <v>45450</v>
      </c>
      <c r="F863" s="1">
        <v>45503</v>
      </c>
      <c r="G863" t="s">
        <v>2163</v>
      </c>
      <c r="I863" t="s">
        <v>2174</v>
      </c>
      <c r="J863">
        <v>5229</v>
      </c>
      <c r="K863">
        <v>156</v>
      </c>
      <c r="L863">
        <v>7.5</v>
      </c>
      <c r="M863">
        <v>3.4</v>
      </c>
      <c r="N863">
        <v>1</v>
      </c>
      <c r="O863">
        <v>1386</v>
      </c>
      <c r="P863" t="s">
        <v>2176</v>
      </c>
      <c r="Q863">
        <v>4</v>
      </c>
      <c r="R863">
        <v>5</v>
      </c>
      <c r="S863">
        <v>3</v>
      </c>
      <c r="T863">
        <v>435</v>
      </c>
      <c r="U863" t="s">
        <v>2163</v>
      </c>
      <c r="W863" t="s">
        <v>2208</v>
      </c>
      <c r="X863" t="s">
        <v>2210</v>
      </c>
      <c r="Y863" t="s">
        <v>2212</v>
      </c>
      <c r="Z863" s="1">
        <v>45462</v>
      </c>
      <c r="AA863" s="1">
        <v>45479</v>
      </c>
      <c r="AB863" t="s">
        <v>2214</v>
      </c>
      <c r="AC863" t="s">
        <v>2209</v>
      </c>
      <c r="AD863" t="s">
        <v>2216</v>
      </c>
      <c r="AE863" t="s">
        <v>2163</v>
      </c>
      <c r="AG863" t="s">
        <v>2220</v>
      </c>
      <c r="AH863">
        <v>12</v>
      </c>
      <c r="AI863">
        <v>29</v>
      </c>
      <c r="AJ863">
        <v>17</v>
      </c>
      <c r="AK863">
        <v>6</v>
      </c>
      <c r="AL863" t="s">
        <v>2223</v>
      </c>
      <c r="AM863">
        <v>0</v>
      </c>
      <c r="AN863" t="s">
        <v>2176</v>
      </c>
      <c r="AO863" t="s">
        <v>2176</v>
      </c>
      <c r="AP863" t="s">
        <v>2176</v>
      </c>
      <c r="AQ863">
        <v>25.5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4.4000000000000004</v>
      </c>
      <c r="AY863">
        <v>4.4000000000000004</v>
      </c>
      <c r="AZ863">
        <v>1</v>
      </c>
      <c r="BA863">
        <v>0</v>
      </c>
      <c r="BB863">
        <v>30</v>
      </c>
      <c r="BC863">
        <v>25</v>
      </c>
      <c r="BD863">
        <v>26.48</v>
      </c>
      <c r="BE863">
        <v>121</v>
      </c>
      <c r="BF863">
        <v>88.3</v>
      </c>
      <c r="BG863">
        <v>30</v>
      </c>
      <c r="BH863">
        <v>25</v>
      </c>
      <c r="BI863">
        <v>26.48</v>
      </c>
      <c r="BJ863">
        <v>121</v>
      </c>
      <c r="BK863">
        <v>88.3</v>
      </c>
      <c r="BL863">
        <v>121</v>
      </c>
      <c r="BM863">
        <v>1.728</v>
      </c>
    </row>
    <row r="864" spans="1:65" x14ac:dyDescent="0.25">
      <c r="A864" t="s">
        <v>927</v>
      </c>
      <c r="B864" t="s">
        <v>1906</v>
      </c>
      <c r="C864" t="s">
        <v>2159</v>
      </c>
      <c r="D864" s="1">
        <v>45478</v>
      </c>
      <c r="E864" s="1">
        <v>45518</v>
      </c>
      <c r="F864" s="1">
        <v>45582</v>
      </c>
      <c r="G864" t="s">
        <v>2165</v>
      </c>
      <c r="I864" t="s">
        <v>2176</v>
      </c>
      <c r="J864">
        <v>7302</v>
      </c>
      <c r="K864">
        <v>219</v>
      </c>
      <c r="L864">
        <v>1.7</v>
      </c>
      <c r="M864">
        <v>1.1000000000000001</v>
      </c>
      <c r="N864">
        <v>2</v>
      </c>
      <c r="O864">
        <v>5958</v>
      </c>
      <c r="P864" t="s">
        <v>2176</v>
      </c>
      <c r="Q864">
        <v>5</v>
      </c>
      <c r="R864">
        <v>6</v>
      </c>
      <c r="S864">
        <v>7</v>
      </c>
      <c r="T864">
        <v>405</v>
      </c>
      <c r="U864" t="s">
        <v>2165</v>
      </c>
      <c r="W864" t="s">
        <v>2208</v>
      </c>
      <c r="X864" t="s">
        <v>2210</v>
      </c>
      <c r="Y864" t="s">
        <v>2212</v>
      </c>
      <c r="Z864" s="1">
        <v>45536</v>
      </c>
      <c r="AA864" s="1">
        <v>45556</v>
      </c>
      <c r="AB864" t="s">
        <v>2214</v>
      </c>
      <c r="AC864" t="s">
        <v>2209</v>
      </c>
      <c r="AD864" t="s">
        <v>2216</v>
      </c>
      <c r="AE864" t="s">
        <v>2165</v>
      </c>
      <c r="AG864" t="s">
        <v>2220</v>
      </c>
      <c r="AH864">
        <v>18</v>
      </c>
      <c r="AI864">
        <v>38</v>
      </c>
      <c r="AJ864">
        <v>20</v>
      </c>
      <c r="AK864">
        <v>8</v>
      </c>
      <c r="AL864" t="s">
        <v>2232</v>
      </c>
      <c r="AM864">
        <v>0</v>
      </c>
      <c r="AN864" t="s">
        <v>2176</v>
      </c>
      <c r="AO864" t="s">
        <v>2176</v>
      </c>
      <c r="AP864" t="s">
        <v>2176</v>
      </c>
      <c r="AQ864">
        <v>1.87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4.5999999999999996</v>
      </c>
      <c r="AY864">
        <v>4.5999999999999996</v>
      </c>
      <c r="AZ864">
        <v>0</v>
      </c>
      <c r="BA864">
        <v>1</v>
      </c>
      <c r="BB864">
        <v>36</v>
      </c>
      <c r="BC864">
        <v>26</v>
      </c>
      <c r="BD864">
        <v>31.73</v>
      </c>
      <c r="BE864">
        <v>152</v>
      </c>
      <c r="BF864">
        <v>88.1</v>
      </c>
      <c r="BG864">
        <v>36</v>
      </c>
      <c r="BH864">
        <v>26</v>
      </c>
      <c r="BI864">
        <v>31.73</v>
      </c>
      <c r="BJ864">
        <v>152</v>
      </c>
      <c r="BK864">
        <v>88.1</v>
      </c>
      <c r="BL864">
        <v>152</v>
      </c>
      <c r="BM864">
        <v>1.8472</v>
      </c>
    </row>
    <row r="865" spans="1:65" x14ac:dyDescent="0.25">
      <c r="A865" t="s">
        <v>928</v>
      </c>
      <c r="B865" t="s">
        <v>1907</v>
      </c>
      <c r="C865" t="s">
        <v>2160</v>
      </c>
      <c r="D865" s="1">
        <v>45448</v>
      </c>
      <c r="E865" s="1">
        <v>45488</v>
      </c>
      <c r="F865" s="1">
        <v>45560</v>
      </c>
      <c r="G865" t="s">
        <v>2162</v>
      </c>
      <c r="I865" t="s">
        <v>2176</v>
      </c>
      <c r="J865">
        <v>15394</v>
      </c>
      <c r="K865">
        <v>461</v>
      </c>
      <c r="L865">
        <v>7.6</v>
      </c>
      <c r="M865">
        <v>3.5</v>
      </c>
      <c r="N865">
        <v>1</v>
      </c>
      <c r="O865">
        <v>4270</v>
      </c>
      <c r="P865" t="s">
        <v>2176</v>
      </c>
      <c r="Q865">
        <v>11</v>
      </c>
      <c r="R865">
        <v>14</v>
      </c>
      <c r="S865">
        <v>14</v>
      </c>
      <c r="T865">
        <v>394</v>
      </c>
      <c r="U865" t="s">
        <v>2162</v>
      </c>
      <c r="W865" t="s">
        <v>2208</v>
      </c>
      <c r="X865" t="s">
        <v>2210</v>
      </c>
      <c r="Y865" t="s">
        <v>2212</v>
      </c>
      <c r="Z865" s="1">
        <v>45527</v>
      </c>
      <c r="AA865" s="1">
        <v>45545</v>
      </c>
      <c r="AB865" t="s">
        <v>2214</v>
      </c>
      <c r="AC865" t="s">
        <v>2209</v>
      </c>
      <c r="AD865" t="s">
        <v>2216</v>
      </c>
      <c r="AE865" t="s">
        <v>2162</v>
      </c>
      <c r="AG865" t="s">
        <v>2220</v>
      </c>
      <c r="AH865">
        <v>39</v>
      </c>
      <c r="AI865">
        <v>57</v>
      </c>
      <c r="AJ865">
        <v>18</v>
      </c>
      <c r="AK865">
        <v>7</v>
      </c>
      <c r="AL865" t="s">
        <v>2226</v>
      </c>
      <c r="AM865">
        <v>0</v>
      </c>
      <c r="AN865" t="s">
        <v>2176</v>
      </c>
      <c r="AO865" t="s">
        <v>2176</v>
      </c>
      <c r="AP865" t="s">
        <v>2176</v>
      </c>
      <c r="AQ865">
        <v>26.6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4.2</v>
      </c>
      <c r="AY865">
        <v>4.2</v>
      </c>
      <c r="AZ865">
        <v>1</v>
      </c>
      <c r="BA865">
        <v>1</v>
      </c>
      <c r="BB865">
        <v>30</v>
      </c>
      <c r="BC865">
        <v>27</v>
      </c>
      <c r="BD865">
        <v>26.15</v>
      </c>
      <c r="BE865">
        <v>133</v>
      </c>
      <c r="BF865">
        <v>87.2</v>
      </c>
      <c r="BG865">
        <v>30</v>
      </c>
      <c r="BH865">
        <v>27</v>
      </c>
      <c r="BI865">
        <v>26.15</v>
      </c>
      <c r="BJ865">
        <v>133</v>
      </c>
      <c r="BK865">
        <v>87.2</v>
      </c>
      <c r="BL865">
        <v>133</v>
      </c>
      <c r="BM865">
        <v>4.2855999999999996</v>
      </c>
    </row>
    <row r="866" spans="1:65" x14ac:dyDescent="0.25">
      <c r="A866" t="s">
        <v>929</v>
      </c>
      <c r="B866" t="s">
        <v>1908</v>
      </c>
      <c r="C866" t="s">
        <v>2157</v>
      </c>
      <c r="D866" s="1">
        <v>45513</v>
      </c>
      <c r="E866" s="1">
        <v>45569</v>
      </c>
      <c r="F866" s="1">
        <v>45633</v>
      </c>
      <c r="G866" t="s">
        <v>2163</v>
      </c>
      <c r="I866" t="s">
        <v>2174</v>
      </c>
      <c r="J866">
        <v>7311</v>
      </c>
      <c r="K866">
        <v>219</v>
      </c>
      <c r="L866">
        <v>4.8</v>
      </c>
      <c r="M866">
        <v>1.6</v>
      </c>
      <c r="N866">
        <v>2</v>
      </c>
      <c r="O866">
        <v>5597</v>
      </c>
      <c r="P866" t="s">
        <v>2176</v>
      </c>
      <c r="Q866">
        <v>4</v>
      </c>
      <c r="R866">
        <v>5</v>
      </c>
      <c r="S866">
        <v>7</v>
      </c>
      <c r="T866">
        <v>456</v>
      </c>
      <c r="U866" t="s">
        <v>2163</v>
      </c>
      <c r="W866" t="s">
        <v>2208</v>
      </c>
      <c r="X866" t="s">
        <v>2210</v>
      </c>
      <c r="Y866" t="s">
        <v>2212</v>
      </c>
      <c r="Z866" s="1">
        <v>45585</v>
      </c>
      <c r="AA866" s="1">
        <v>45601</v>
      </c>
      <c r="AB866" t="s">
        <v>2214</v>
      </c>
      <c r="AC866" t="s">
        <v>2209</v>
      </c>
      <c r="AD866" t="s">
        <v>2216</v>
      </c>
      <c r="AE866" t="s">
        <v>2163</v>
      </c>
      <c r="AG866" t="s">
        <v>2220</v>
      </c>
      <c r="AH866">
        <v>16</v>
      </c>
      <c r="AI866">
        <v>32</v>
      </c>
      <c r="AJ866">
        <v>16</v>
      </c>
      <c r="AK866">
        <v>10</v>
      </c>
      <c r="AL866" t="s">
        <v>2230</v>
      </c>
      <c r="AM866">
        <v>1</v>
      </c>
      <c r="AN866" t="s">
        <v>2176</v>
      </c>
      <c r="AO866" t="s">
        <v>2176</v>
      </c>
      <c r="AP866" t="s">
        <v>2176</v>
      </c>
      <c r="AQ866">
        <v>7.68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4.4000000000000004</v>
      </c>
      <c r="AY866">
        <v>4.4000000000000004</v>
      </c>
      <c r="AZ866">
        <v>3</v>
      </c>
      <c r="BA866">
        <v>0</v>
      </c>
      <c r="BB866">
        <v>37</v>
      </c>
      <c r="BC866">
        <v>27</v>
      </c>
      <c r="BD866">
        <v>32.81</v>
      </c>
      <c r="BE866">
        <v>165</v>
      </c>
      <c r="BF866">
        <v>88.7</v>
      </c>
      <c r="BG866">
        <v>37</v>
      </c>
      <c r="BH866">
        <v>27</v>
      </c>
      <c r="BI866">
        <v>32.81</v>
      </c>
      <c r="BJ866">
        <v>165</v>
      </c>
      <c r="BK866">
        <v>88.7</v>
      </c>
      <c r="BL866">
        <v>165</v>
      </c>
      <c r="BM866">
        <v>1.6407</v>
      </c>
    </row>
    <row r="867" spans="1:65" x14ac:dyDescent="0.25">
      <c r="A867" t="s">
        <v>930</v>
      </c>
      <c r="B867" t="s">
        <v>1909</v>
      </c>
      <c r="C867" t="s">
        <v>2160</v>
      </c>
      <c r="D867" s="1">
        <v>45371</v>
      </c>
      <c r="E867" s="1">
        <v>45419</v>
      </c>
      <c r="F867" s="1">
        <v>45466</v>
      </c>
      <c r="G867" t="s">
        <v>2166</v>
      </c>
      <c r="I867" t="s">
        <v>2176</v>
      </c>
      <c r="J867">
        <v>8815</v>
      </c>
      <c r="K867">
        <v>264</v>
      </c>
      <c r="L867">
        <v>8</v>
      </c>
      <c r="M867">
        <v>4.8</v>
      </c>
      <c r="N867">
        <v>1</v>
      </c>
      <c r="O867">
        <v>5698</v>
      </c>
      <c r="P867" t="s">
        <v>2176</v>
      </c>
      <c r="Q867">
        <v>4</v>
      </c>
      <c r="R867">
        <v>4</v>
      </c>
      <c r="S867">
        <v>6</v>
      </c>
      <c r="T867">
        <v>629</v>
      </c>
      <c r="U867" t="s">
        <v>2166</v>
      </c>
      <c r="W867" t="s">
        <v>2208</v>
      </c>
      <c r="X867" t="s">
        <v>2210</v>
      </c>
      <c r="Y867" t="s">
        <v>2212</v>
      </c>
      <c r="Z867" s="1">
        <v>45433</v>
      </c>
      <c r="AA867" s="1">
        <v>45453</v>
      </c>
      <c r="AB867" t="s">
        <v>2214</v>
      </c>
      <c r="AC867" t="s">
        <v>2209</v>
      </c>
      <c r="AD867" t="s">
        <v>2216</v>
      </c>
      <c r="AE867" t="s">
        <v>2166</v>
      </c>
      <c r="AG867" t="s">
        <v>2220</v>
      </c>
      <c r="AH867">
        <v>14</v>
      </c>
      <c r="AI867">
        <v>34</v>
      </c>
      <c r="AJ867">
        <v>20</v>
      </c>
      <c r="AK867">
        <v>5</v>
      </c>
      <c r="AL867" t="s">
        <v>2224</v>
      </c>
      <c r="AM867">
        <v>0</v>
      </c>
      <c r="AN867" t="s">
        <v>2176</v>
      </c>
      <c r="AO867" t="s">
        <v>2176</v>
      </c>
      <c r="AP867" t="s">
        <v>2176</v>
      </c>
      <c r="AQ867">
        <v>38.4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4.8</v>
      </c>
      <c r="AY867">
        <v>4.8</v>
      </c>
      <c r="AZ867">
        <v>1</v>
      </c>
      <c r="BA867">
        <v>1</v>
      </c>
      <c r="BB867">
        <v>43</v>
      </c>
      <c r="BC867">
        <v>27</v>
      </c>
      <c r="BD867">
        <v>37.299999999999997</v>
      </c>
      <c r="BE867">
        <v>193</v>
      </c>
      <c r="BF867">
        <v>86.7</v>
      </c>
      <c r="BG867">
        <v>43</v>
      </c>
      <c r="BH867">
        <v>27</v>
      </c>
      <c r="BI867">
        <v>37.299999999999997</v>
      </c>
      <c r="BJ867">
        <v>193</v>
      </c>
      <c r="BK867">
        <v>86.7</v>
      </c>
      <c r="BL867">
        <v>193</v>
      </c>
      <c r="BM867">
        <v>1.6913</v>
      </c>
    </row>
    <row r="868" spans="1:65" x14ac:dyDescent="0.25">
      <c r="A868" t="s">
        <v>931</v>
      </c>
      <c r="B868" t="s">
        <v>1910</v>
      </c>
      <c r="C868" t="s">
        <v>2158</v>
      </c>
      <c r="D868" s="1">
        <v>45411</v>
      </c>
      <c r="E868" s="1">
        <v>45431</v>
      </c>
      <c r="F868" s="1">
        <v>45483</v>
      </c>
      <c r="G868" t="s">
        <v>2166</v>
      </c>
      <c r="I868" t="s">
        <v>2176</v>
      </c>
      <c r="J868">
        <v>11058</v>
      </c>
      <c r="K868">
        <v>331</v>
      </c>
      <c r="L868">
        <v>7.3</v>
      </c>
      <c r="M868">
        <v>5.8</v>
      </c>
      <c r="N868">
        <v>1</v>
      </c>
      <c r="O868">
        <v>2081</v>
      </c>
      <c r="P868" t="s">
        <v>2176</v>
      </c>
      <c r="Q868">
        <v>7</v>
      </c>
      <c r="R868">
        <v>9</v>
      </c>
      <c r="S868">
        <v>12</v>
      </c>
      <c r="T868">
        <v>394</v>
      </c>
      <c r="U868" t="s">
        <v>2166</v>
      </c>
      <c r="W868" t="s">
        <v>2208</v>
      </c>
      <c r="X868" t="s">
        <v>2210</v>
      </c>
      <c r="Y868" t="s">
        <v>2212</v>
      </c>
      <c r="Z868" s="1">
        <v>45459</v>
      </c>
      <c r="AA868" s="1">
        <v>45473</v>
      </c>
      <c r="AB868" t="s">
        <v>2214</v>
      </c>
      <c r="AC868" t="s">
        <v>2209</v>
      </c>
      <c r="AD868" t="s">
        <v>2216</v>
      </c>
      <c r="AE868" t="s">
        <v>2166</v>
      </c>
      <c r="AG868" t="s">
        <v>2220</v>
      </c>
      <c r="AH868">
        <v>28</v>
      </c>
      <c r="AI868">
        <v>42</v>
      </c>
      <c r="AJ868">
        <v>14</v>
      </c>
      <c r="AK868">
        <v>5</v>
      </c>
      <c r="AL868" t="s">
        <v>2224</v>
      </c>
      <c r="AM868">
        <v>0</v>
      </c>
      <c r="AN868" t="s">
        <v>2177</v>
      </c>
      <c r="AO868" t="s">
        <v>2176</v>
      </c>
      <c r="AP868" t="s">
        <v>2176</v>
      </c>
      <c r="AQ868">
        <v>42.34</v>
      </c>
      <c r="AR868">
        <v>1</v>
      </c>
      <c r="AS868">
        <v>2</v>
      </c>
      <c r="AT868">
        <v>1</v>
      </c>
      <c r="AU868">
        <v>1</v>
      </c>
      <c r="AV868">
        <v>1.333333333333333</v>
      </c>
      <c r="AW868">
        <v>4.8</v>
      </c>
      <c r="AY868">
        <v>4.8</v>
      </c>
      <c r="AZ868">
        <v>2</v>
      </c>
      <c r="BA868">
        <v>1</v>
      </c>
      <c r="BB868">
        <v>43</v>
      </c>
      <c r="BC868">
        <v>27</v>
      </c>
      <c r="BD868">
        <v>37.299999999999997</v>
      </c>
      <c r="BE868">
        <v>193</v>
      </c>
      <c r="BF868">
        <v>86.7</v>
      </c>
      <c r="BG868">
        <v>43</v>
      </c>
      <c r="BH868">
        <v>27</v>
      </c>
      <c r="BI868">
        <v>37.299999999999997</v>
      </c>
      <c r="BJ868">
        <v>193</v>
      </c>
      <c r="BK868">
        <v>86.7</v>
      </c>
      <c r="BL868">
        <v>193</v>
      </c>
      <c r="BM868">
        <v>2.1215999999999999</v>
      </c>
    </row>
    <row r="869" spans="1:65" x14ac:dyDescent="0.25">
      <c r="A869" t="s">
        <v>932</v>
      </c>
      <c r="B869" t="s">
        <v>1911</v>
      </c>
      <c r="C869" t="s">
        <v>2158</v>
      </c>
      <c r="D869" s="1">
        <v>45504</v>
      </c>
      <c r="E869" s="1">
        <v>45545</v>
      </c>
      <c r="F869" s="1">
        <v>45608</v>
      </c>
      <c r="G869" t="s">
        <v>2165</v>
      </c>
      <c r="I869" t="s">
        <v>2174</v>
      </c>
      <c r="J869">
        <v>16689</v>
      </c>
      <c r="K869">
        <v>500</v>
      </c>
      <c r="L869">
        <v>5.0999999999999996</v>
      </c>
      <c r="M869">
        <v>5.3</v>
      </c>
      <c r="N869">
        <v>2</v>
      </c>
      <c r="O869">
        <v>6201</v>
      </c>
      <c r="P869" t="s">
        <v>2176</v>
      </c>
      <c r="Q869">
        <v>8</v>
      </c>
      <c r="R869">
        <v>9</v>
      </c>
      <c r="S869">
        <v>21</v>
      </c>
      <c r="T869">
        <v>439</v>
      </c>
      <c r="U869" t="s">
        <v>2165</v>
      </c>
      <c r="W869" t="s">
        <v>2208</v>
      </c>
      <c r="X869" t="s">
        <v>2210</v>
      </c>
      <c r="Y869" t="s">
        <v>2212</v>
      </c>
      <c r="Z869" s="1">
        <v>45583</v>
      </c>
      <c r="AA869" s="1">
        <v>45602</v>
      </c>
      <c r="AB869" t="s">
        <v>2214</v>
      </c>
      <c r="AC869" t="s">
        <v>2209</v>
      </c>
      <c r="AD869" t="s">
        <v>2216</v>
      </c>
      <c r="AE869" t="s">
        <v>2165</v>
      </c>
      <c r="AG869" t="s">
        <v>2220</v>
      </c>
      <c r="AH869">
        <v>38</v>
      </c>
      <c r="AI869">
        <v>57</v>
      </c>
      <c r="AJ869">
        <v>19</v>
      </c>
      <c r="AK869">
        <v>9</v>
      </c>
      <c r="AL869" t="s">
        <v>2234</v>
      </c>
      <c r="AM869">
        <v>0</v>
      </c>
      <c r="AN869" t="s">
        <v>2177</v>
      </c>
      <c r="AO869" t="s">
        <v>2176</v>
      </c>
      <c r="AP869" t="s">
        <v>2176</v>
      </c>
      <c r="AQ869">
        <v>27.03</v>
      </c>
      <c r="AR869">
        <v>1</v>
      </c>
      <c r="AS869">
        <v>2</v>
      </c>
      <c r="AT869">
        <v>1</v>
      </c>
      <c r="AU869">
        <v>1</v>
      </c>
      <c r="AV869">
        <v>1.333333333333333</v>
      </c>
      <c r="AW869">
        <v>4.5999999999999996</v>
      </c>
      <c r="AY869">
        <v>4.5999999999999996</v>
      </c>
      <c r="AZ869">
        <v>2</v>
      </c>
      <c r="BA869">
        <v>0</v>
      </c>
      <c r="BB869">
        <v>45</v>
      </c>
      <c r="BC869">
        <v>26</v>
      </c>
      <c r="BD869">
        <v>39.85</v>
      </c>
      <c r="BE869">
        <v>196</v>
      </c>
      <c r="BF869">
        <v>88.6</v>
      </c>
      <c r="BG869">
        <v>45</v>
      </c>
      <c r="BH869">
        <v>26</v>
      </c>
      <c r="BI869">
        <v>39.85</v>
      </c>
      <c r="BJ869">
        <v>196</v>
      </c>
      <c r="BK869">
        <v>88.6</v>
      </c>
      <c r="BL869">
        <v>196</v>
      </c>
      <c r="BM869">
        <v>3.2743000000000002</v>
      </c>
    </row>
    <row r="870" spans="1:65" x14ac:dyDescent="0.25">
      <c r="A870" t="s">
        <v>933</v>
      </c>
      <c r="B870" t="s">
        <v>1912</v>
      </c>
      <c r="C870" t="s">
        <v>2159</v>
      </c>
      <c r="D870" s="1">
        <v>45347</v>
      </c>
      <c r="E870" s="1">
        <v>45392</v>
      </c>
      <c r="F870" s="1">
        <v>45465</v>
      </c>
      <c r="G870" t="s">
        <v>2163</v>
      </c>
      <c r="I870" t="s">
        <v>2176</v>
      </c>
      <c r="J870">
        <v>14583</v>
      </c>
      <c r="K870">
        <v>437</v>
      </c>
      <c r="L870">
        <v>7.7</v>
      </c>
      <c r="M870">
        <v>2.5</v>
      </c>
      <c r="N870">
        <v>2</v>
      </c>
      <c r="O870">
        <v>2354</v>
      </c>
      <c r="P870" t="s">
        <v>2176</v>
      </c>
      <c r="Q870">
        <v>8</v>
      </c>
      <c r="R870">
        <v>9</v>
      </c>
      <c r="S870">
        <v>17</v>
      </c>
      <c r="T870">
        <v>428</v>
      </c>
      <c r="U870" t="s">
        <v>2163</v>
      </c>
      <c r="W870" t="s">
        <v>2208</v>
      </c>
      <c r="X870" t="s">
        <v>2210</v>
      </c>
      <c r="Y870" t="s">
        <v>2212</v>
      </c>
      <c r="Z870" s="1">
        <v>45426</v>
      </c>
      <c r="AA870" s="1">
        <v>45446</v>
      </c>
      <c r="AB870" t="s">
        <v>2214</v>
      </c>
      <c r="AC870" t="s">
        <v>2209</v>
      </c>
      <c r="AD870" t="s">
        <v>2216</v>
      </c>
      <c r="AE870" t="s">
        <v>2163</v>
      </c>
      <c r="AG870" t="s">
        <v>2220</v>
      </c>
      <c r="AH870">
        <v>34</v>
      </c>
      <c r="AI870">
        <v>54</v>
      </c>
      <c r="AJ870">
        <v>20</v>
      </c>
      <c r="AK870">
        <v>4</v>
      </c>
      <c r="AL870" t="s">
        <v>2225</v>
      </c>
      <c r="AM870">
        <v>0</v>
      </c>
      <c r="AN870" t="s">
        <v>2176</v>
      </c>
      <c r="AO870" t="s">
        <v>2176</v>
      </c>
      <c r="AP870" t="s">
        <v>2176</v>
      </c>
      <c r="AQ870">
        <v>19.25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4.4000000000000004</v>
      </c>
      <c r="AY870">
        <v>4.4000000000000004</v>
      </c>
      <c r="AZ870">
        <v>0</v>
      </c>
      <c r="BA870">
        <v>1</v>
      </c>
      <c r="BB870">
        <v>31</v>
      </c>
      <c r="BC870">
        <v>26</v>
      </c>
      <c r="BD870">
        <v>27.23</v>
      </c>
      <c r="BE870">
        <v>132</v>
      </c>
      <c r="BF870">
        <v>87.8</v>
      </c>
      <c r="BG870">
        <v>31</v>
      </c>
      <c r="BH870">
        <v>26</v>
      </c>
      <c r="BI870">
        <v>27.23</v>
      </c>
      <c r="BJ870">
        <v>132</v>
      </c>
      <c r="BK870">
        <v>87.8</v>
      </c>
      <c r="BL870">
        <v>132</v>
      </c>
      <c r="BM870">
        <v>4.2478999999999996</v>
      </c>
    </row>
    <row r="871" spans="1:65" x14ac:dyDescent="0.25">
      <c r="A871" t="s">
        <v>934</v>
      </c>
      <c r="B871" t="s">
        <v>1913</v>
      </c>
      <c r="C871" t="s">
        <v>2159</v>
      </c>
      <c r="D871" s="1">
        <v>45416</v>
      </c>
      <c r="E871" s="1">
        <v>45461</v>
      </c>
      <c r="F871" s="1">
        <v>45535</v>
      </c>
      <c r="G871" t="s">
        <v>2166</v>
      </c>
      <c r="I871" t="s">
        <v>2174</v>
      </c>
      <c r="J871">
        <v>10577</v>
      </c>
      <c r="K871">
        <v>317</v>
      </c>
      <c r="L871">
        <v>5.5</v>
      </c>
      <c r="M871">
        <v>2.6</v>
      </c>
      <c r="N871">
        <v>1</v>
      </c>
      <c r="O871">
        <v>5065</v>
      </c>
      <c r="P871" t="s">
        <v>2176</v>
      </c>
      <c r="Q871">
        <v>6</v>
      </c>
      <c r="R871">
        <v>8</v>
      </c>
      <c r="S871">
        <v>14</v>
      </c>
      <c r="T871">
        <v>377</v>
      </c>
      <c r="U871" t="s">
        <v>2166</v>
      </c>
      <c r="W871" t="s">
        <v>2208</v>
      </c>
      <c r="X871" t="s">
        <v>2210</v>
      </c>
      <c r="Y871" t="s">
        <v>2212</v>
      </c>
      <c r="Z871" s="1">
        <v>45489</v>
      </c>
      <c r="AA871" s="1">
        <v>45502</v>
      </c>
      <c r="AB871" t="s">
        <v>2214</v>
      </c>
      <c r="AC871" t="s">
        <v>2209</v>
      </c>
      <c r="AD871" t="s">
        <v>2216</v>
      </c>
      <c r="AE871" t="s">
        <v>2166</v>
      </c>
      <c r="AG871" t="s">
        <v>2220</v>
      </c>
      <c r="AH871">
        <v>28</v>
      </c>
      <c r="AI871">
        <v>41</v>
      </c>
      <c r="AJ871">
        <v>13</v>
      </c>
      <c r="AK871">
        <v>6</v>
      </c>
      <c r="AL871" t="s">
        <v>2223</v>
      </c>
      <c r="AM871">
        <v>0</v>
      </c>
      <c r="AN871" t="s">
        <v>2176</v>
      </c>
      <c r="AO871" t="s">
        <v>2176</v>
      </c>
      <c r="AP871" t="s">
        <v>2176</v>
      </c>
      <c r="AQ871">
        <v>14.3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4.8</v>
      </c>
      <c r="AY871">
        <v>4.8</v>
      </c>
      <c r="AZ871">
        <v>0</v>
      </c>
      <c r="BA871">
        <v>0</v>
      </c>
      <c r="BB871">
        <v>45</v>
      </c>
      <c r="BC871">
        <v>25</v>
      </c>
      <c r="BD871">
        <v>39.200000000000003</v>
      </c>
      <c r="BE871">
        <v>186</v>
      </c>
      <c r="BF871">
        <v>87.1</v>
      </c>
      <c r="BG871">
        <v>45</v>
      </c>
      <c r="BH871">
        <v>25</v>
      </c>
      <c r="BI871">
        <v>39.200000000000003</v>
      </c>
      <c r="BJ871">
        <v>186</v>
      </c>
      <c r="BK871">
        <v>87.1</v>
      </c>
      <c r="BL871">
        <v>186</v>
      </c>
      <c r="BM871">
        <v>2.2740999999999998</v>
      </c>
    </row>
    <row r="872" spans="1:65" x14ac:dyDescent="0.25">
      <c r="A872" t="s">
        <v>935</v>
      </c>
      <c r="B872" t="s">
        <v>1914</v>
      </c>
      <c r="C872" t="s">
        <v>2158</v>
      </c>
      <c r="D872" s="1">
        <v>45272</v>
      </c>
      <c r="E872" s="1">
        <v>45298</v>
      </c>
      <c r="F872" s="1">
        <v>45393</v>
      </c>
      <c r="G872" t="s">
        <v>2163</v>
      </c>
      <c r="I872" t="s">
        <v>2174</v>
      </c>
      <c r="J872">
        <v>22706</v>
      </c>
      <c r="K872">
        <v>681</v>
      </c>
      <c r="L872">
        <v>7.9</v>
      </c>
      <c r="M872">
        <v>7.3</v>
      </c>
      <c r="N872">
        <v>1</v>
      </c>
      <c r="O872">
        <v>6158</v>
      </c>
      <c r="P872" t="s">
        <v>2176</v>
      </c>
      <c r="Q872">
        <v>13</v>
      </c>
      <c r="R872">
        <v>16</v>
      </c>
      <c r="S872">
        <v>29</v>
      </c>
      <c r="T872">
        <v>391</v>
      </c>
      <c r="U872" t="s">
        <v>2163</v>
      </c>
      <c r="W872" t="s">
        <v>2208</v>
      </c>
      <c r="X872" t="s">
        <v>2210</v>
      </c>
      <c r="Y872" t="s">
        <v>2212</v>
      </c>
      <c r="Z872" s="1">
        <v>45356</v>
      </c>
      <c r="AA872" s="1">
        <v>45371</v>
      </c>
      <c r="AB872" t="s">
        <v>2214</v>
      </c>
      <c r="AC872" t="s">
        <v>2209</v>
      </c>
      <c r="AD872" t="s">
        <v>2216</v>
      </c>
      <c r="AE872" t="s">
        <v>2163</v>
      </c>
      <c r="AG872" t="s">
        <v>2220</v>
      </c>
      <c r="AH872">
        <v>58</v>
      </c>
      <c r="AI872">
        <v>73</v>
      </c>
      <c r="AJ872">
        <v>15</v>
      </c>
      <c r="AK872">
        <v>1</v>
      </c>
      <c r="AL872" t="s">
        <v>2233</v>
      </c>
      <c r="AM872">
        <v>0</v>
      </c>
      <c r="AN872" t="s">
        <v>2177</v>
      </c>
      <c r="AO872" t="s">
        <v>2176</v>
      </c>
      <c r="AP872" t="s">
        <v>2176</v>
      </c>
      <c r="AQ872">
        <v>57.67</v>
      </c>
      <c r="AR872">
        <v>1</v>
      </c>
      <c r="AS872">
        <v>2</v>
      </c>
      <c r="AT872">
        <v>1</v>
      </c>
      <c r="AU872">
        <v>1</v>
      </c>
      <c r="AV872">
        <v>1.333333333333333</v>
      </c>
      <c r="AW872">
        <v>4.4000000000000004</v>
      </c>
      <c r="AY872">
        <v>4.4000000000000004</v>
      </c>
      <c r="AZ872">
        <v>2</v>
      </c>
      <c r="BA872">
        <v>0</v>
      </c>
      <c r="BB872">
        <v>40</v>
      </c>
      <c r="BC872">
        <v>27</v>
      </c>
      <c r="BD872">
        <v>34.93</v>
      </c>
      <c r="BE872">
        <v>178</v>
      </c>
      <c r="BF872">
        <v>87.3</v>
      </c>
      <c r="BG872">
        <v>40</v>
      </c>
      <c r="BH872">
        <v>27</v>
      </c>
      <c r="BI872">
        <v>34.93</v>
      </c>
      <c r="BJ872">
        <v>178</v>
      </c>
      <c r="BK872">
        <v>87.3</v>
      </c>
      <c r="BL872">
        <v>178</v>
      </c>
      <c r="BM872">
        <v>4.7234999999999996</v>
      </c>
    </row>
    <row r="873" spans="1:65" x14ac:dyDescent="0.25">
      <c r="A873" t="s">
        <v>936</v>
      </c>
      <c r="B873" t="s">
        <v>1915</v>
      </c>
      <c r="C873" t="s">
        <v>2159</v>
      </c>
      <c r="D873" s="1">
        <v>45421</v>
      </c>
      <c r="E873" s="1">
        <v>45475</v>
      </c>
      <c r="F873" s="1">
        <v>45558</v>
      </c>
      <c r="G873" t="s">
        <v>2165</v>
      </c>
      <c r="I873" t="s">
        <v>2174</v>
      </c>
      <c r="J873">
        <v>23592</v>
      </c>
      <c r="K873">
        <v>707</v>
      </c>
      <c r="L873">
        <v>4.8</v>
      </c>
      <c r="M873">
        <v>5.8</v>
      </c>
      <c r="N873">
        <v>2</v>
      </c>
      <c r="O873">
        <v>2356</v>
      </c>
      <c r="P873" t="s">
        <v>2176</v>
      </c>
      <c r="Q873">
        <v>17</v>
      </c>
      <c r="R873">
        <v>23</v>
      </c>
      <c r="S873">
        <v>20</v>
      </c>
      <c r="T873">
        <v>393</v>
      </c>
      <c r="U873" t="s">
        <v>2165</v>
      </c>
      <c r="W873" t="s">
        <v>2208</v>
      </c>
      <c r="X873" t="s">
        <v>2210</v>
      </c>
      <c r="Y873" t="s">
        <v>2212</v>
      </c>
      <c r="Z873" s="1">
        <v>45535</v>
      </c>
      <c r="AA873" s="1">
        <v>45548</v>
      </c>
      <c r="AB873" t="s">
        <v>2214</v>
      </c>
      <c r="AC873" t="s">
        <v>2209</v>
      </c>
      <c r="AD873" t="s">
        <v>2216</v>
      </c>
      <c r="AE873" t="s">
        <v>2165</v>
      </c>
      <c r="AG873" t="s">
        <v>2220</v>
      </c>
      <c r="AH873">
        <v>60</v>
      </c>
      <c r="AI873">
        <v>73</v>
      </c>
      <c r="AJ873">
        <v>13</v>
      </c>
      <c r="AK873">
        <v>7</v>
      </c>
      <c r="AL873" t="s">
        <v>2226</v>
      </c>
      <c r="AM873">
        <v>0</v>
      </c>
      <c r="AN873" t="s">
        <v>2176</v>
      </c>
      <c r="AO873" t="s">
        <v>2176</v>
      </c>
      <c r="AP873" t="s">
        <v>2176</v>
      </c>
      <c r="AQ873">
        <v>27.84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4.5999999999999996</v>
      </c>
      <c r="AY873">
        <v>4.5999999999999996</v>
      </c>
      <c r="AZ873">
        <v>0</v>
      </c>
      <c r="BA873">
        <v>0</v>
      </c>
      <c r="BB873">
        <v>38</v>
      </c>
      <c r="BC873">
        <v>27</v>
      </c>
      <c r="BD873">
        <v>34</v>
      </c>
      <c r="BE873">
        <v>174</v>
      </c>
      <c r="BF873">
        <v>89.5</v>
      </c>
      <c r="BG873">
        <v>38</v>
      </c>
      <c r="BH873">
        <v>27</v>
      </c>
      <c r="BI873">
        <v>34</v>
      </c>
      <c r="BJ873">
        <v>174</v>
      </c>
      <c r="BK873">
        <v>89.5</v>
      </c>
      <c r="BL873">
        <v>174</v>
      </c>
      <c r="BM873">
        <v>5.0206</v>
      </c>
    </row>
    <row r="874" spans="1:65" x14ac:dyDescent="0.25">
      <c r="A874" t="s">
        <v>937</v>
      </c>
      <c r="B874" t="s">
        <v>1916</v>
      </c>
      <c r="C874" t="s">
        <v>2157</v>
      </c>
      <c r="D874" s="1">
        <v>45552</v>
      </c>
      <c r="E874" s="1">
        <v>45575</v>
      </c>
      <c r="F874" s="1">
        <v>45644</v>
      </c>
      <c r="G874" t="s">
        <v>2162</v>
      </c>
      <c r="I874" t="s">
        <v>2174</v>
      </c>
      <c r="J874">
        <v>23467</v>
      </c>
      <c r="K874">
        <v>704</v>
      </c>
      <c r="L874">
        <v>1.8</v>
      </c>
      <c r="M874">
        <v>4</v>
      </c>
      <c r="N874">
        <v>1</v>
      </c>
      <c r="O874">
        <v>2132</v>
      </c>
      <c r="P874" t="s">
        <v>2176</v>
      </c>
      <c r="Q874">
        <v>14</v>
      </c>
      <c r="R874">
        <v>17</v>
      </c>
      <c r="S874">
        <v>18</v>
      </c>
      <c r="T874">
        <v>478</v>
      </c>
      <c r="U874" t="s">
        <v>2162</v>
      </c>
      <c r="W874" t="s">
        <v>2208</v>
      </c>
      <c r="X874" t="s">
        <v>2210</v>
      </c>
      <c r="Y874" t="s">
        <v>2212</v>
      </c>
      <c r="Z874" s="1">
        <v>45624</v>
      </c>
      <c r="AA874" s="1">
        <v>45640</v>
      </c>
      <c r="AB874" t="s">
        <v>2214</v>
      </c>
      <c r="AC874" t="s">
        <v>2209</v>
      </c>
      <c r="AD874" t="s">
        <v>2216</v>
      </c>
      <c r="AE874" t="s">
        <v>2162</v>
      </c>
      <c r="AG874" t="s">
        <v>2220</v>
      </c>
      <c r="AH874">
        <v>49</v>
      </c>
      <c r="AI874">
        <v>65</v>
      </c>
      <c r="AJ874">
        <v>16</v>
      </c>
      <c r="AK874">
        <v>10</v>
      </c>
      <c r="AL874" t="s">
        <v>2230</v>
      </c>
      <c r="AM874">
        <v>1</v>
      </c>
      <c r="AN874" t="s">
        <v>2176</v>
      </c>
      <c r="AO874" t="s">
        <v>2176</v>
      </c>
      <c r="AP874" t="s">
        <v>2176</v>
      </c>
      <c r="AQ874">
        <v>7.2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4.2</v>
      </c>
      <c r="AY874">
        <v>4.2</v>
      </c>
      <c r="AZ874">
        <v>3</v>
      </c>
      <c r="BA874">
        <v>0</v>
      </c>
      <c r="BB874">
        <v>25</v>
      </c>
      <c r="BC874">
        <v>27</v>
      </c>
      <c r="BD874">
        <v>21.89</v>
      </c>
      <c r="BE874">
        <v>108</v>
      </c>
      <c r="BF874">
        <v>87.6</v>
      </c>
      <c r="BG874">
        <v>25</v>
      </c>
      <c r="BH874">
        <v>27</v>
      </c>
      <c r="BI874">
        <v>21.89</v>
      </c>
      <c r="BJ874">
        <v>108</v>
      </c>
      <c r="BK874">
        <v>87.6</v>
      </c>
      <c r="BL874">
        <v>108</v>
      </c>
      <c r="BM874">
        <v>8.0449000000000002</v>
      </c>
    </row>
    <row r="875" spans="1:65" x14ac:dyDescent="0.25">
      <c r="A875" t="s">
        <v>938</v>
      </c>
      <c r="B875" t="s">
        <v>1917</v>
      </c>
      <c r="C875" t="s">
        <v>2157</v>
      </c>
      <c r="D875" s="1">
        <v>45497</v>
      </c>
      <c r="E875" s="1">
        <v>45537</v>
      </c>
      <c r="F875" s="1">
        <v>45584</v>
      </c>
      <c r="G875" t="s">
        <v>2163</v>
      </c>
      <c r="I875" t="s">
        <v>2176</v>
      </c>
      <c r="J875">
        <v>12633</v>
      </c>
      <c r="K875">
        <v>378</v>
      </c>
      <c r="L875">
        <v>5.7</v>
      </c>
      <c r="M875">
        <v>5.8</v>
      </c>
      <c r="N875">
        <v>1</v>
      </c>
      <c r="O875">
        <v>2308</v>
      </c>
      <c r="P875" t="s">
        <v>2176</v>
      </c>
      <c r="Q875">
        <v>7</v>
      </c>
      <c r="R875">
        <v>9</v>
      </c>
      <c r="S875">
        <v>10</v>
      </c>
      <c r="T875">
        <v>485</v>
      </c>
      <c r="U875" t="s">
        <v>2163</v>
      </c>
      <c r="W875" t="s">
        <v>2208</v>
      </c>
      <c r="X875" t="s">
        <v>2210</v>
      </c>
      <c r="Y875" t="s">
        <v>2212</v>
      </c>
      <c r="Z875" s="1">
        <v>45563</v>
      </c>
      <c r="AA875" s="1">
        <v>45581</v>
      </c>
      <c r="AB875" t="s">
        <v>2214</v>
      </c>
      <c r="AC875" t="s">
        <v>2209</v>
      </c>
      <c r="AD875" t="s">
        <v>2216</v>
      </c>
      <c r="AE875" t="s">
        <v>2163</v>
      </c>
      <c r="AG875" t="s">
        <v>2220</v>
      </c>
      <c r="AH875">
        <v>26</v>
      </c>
      <c r="AI875">
        <v>44</v>
      </c>
      <c r="AJ875">
        <v>18</v>
      </c>
      <c r="AK875">
        <v>9</v>
      </c>
      <c r="AL875" t="s">
        <v>2234</v>
      </c>
      <c r="AM875">
        <v>0</v>
      </c>
      <c r="AN875" t="s">
        <v>2177</v>
      </c>
      <c r="AO875" t="s">
        <v>2176</v>
      </c>
      <c r="AP875" t="s">
        <v>2176</v>
      </c>
      <c r="AQ875">
        <v>33.06</v>
      </c>
      <c r="AR875">
        <v>1</v>
      </c>
      <c r="AS875">
        <v>2</v>
      </c>
      <c r="AT875">
        <v>1</v>
      </c>
      <c r="AU875">
        <v>1</v>
      </c>
      <c r="AV875">
        <v>1.333333333333333</v>
      </c>
      <c r="AW875">
        <v>4.4000000000000004</v>
      </c>
      <c r="AY875">
        <v>4.4000000000000004</v>
      </c>
      <c r="AZ875">
        <v>3</v>
      </c>
      <c r="BA875">
        <v>1</v>
      </c>
      <c r="BB875">
        <v>30</v>
      </c>
      <c r="BC875">
        <v>26</v>
      </c>
      <c r="BD875">
        <v>26.15</v>
      </c>
      <c r="BE875">
        <v>126</v>
      </c>
      <c r="BF875">
        <v>87.2</v>
      </c>
      <c r="BG875">
        <v>30</v>
      </c>
      <c r="BH875">
        <v>26</v>
      </c>
      <c r="BI875">
        <v>26.15</v>
      </c>
      <c r="BJ875">
        <v>126</v>
      </c>
      <c r="BK875">
        <v>87.2</v>
      </c>
      <c r="BL875">
        <v>126</v>
      </c>
      <c r="BM875">
        <v>3.8551000000000002</v>
      </c>
    </row>
    <row r="876" spans="1:65" x14ac:dyDescent="0.25">
      <c r="A876" t="s">
        <v>939</v>
      </c>
      <c r="B876" t="s">
        <v>1918</v>
      </c>
      <c r="C876" t="s">
        <v>2159</v>
      </c>
      <c r="D876" s="1">
        <v>45502</v>
      </c>
      <c r="E876" s="1">
        <v>45541</v>
      </c>
      <c r="F876" s="1">
        <v>45588</v>
      </c>
      <c r="G876" t="s">
        <v>2163</v>
      </c>
      <c r="I876" t="s">
        <v>2174</v>
      </c>
      <c r="J876">
        <v>9766</v>
      </c>
      <c r="K876">
        <v>292</v>
      </c>
      <c r="L876">
        <v>2.2999999999999998</v>
      </c>
      <c r="M876">
        <v>1</v>
      </c>
      <c r="N876">
        <v>1</v>
      </c>
      <c r="O876">
        <v>6218</v>
      </c>
      <c r="P876" t="s">
        <v>2176</v>
      </c>
      <c r="Q876">
        <v>7</v>
      </c>
      <c r="R876">
        <v>9</v>
      </c>
      <c r="S876">
        <v>7</v>
      </c>
      <c r="T876">
        <v>424</v>
      </c>
      <c r="U876" t="s">
        <v>2163</v>
      </c>
      <c r="W876" t="s">
        <v>2208</v>
      </c>
      <c r="X876" t="s">
        <v>2210</v>
      </c>
      <c r="Y876" t="s">
        <v>2212</v>
      </c>
      <c r="Z876" s="1">
        <v>45564</v>
      </c>
      <c r="AA876" s="1">
        <v>45583</v>
      </c>
      <c r="AB876" t="s">
        <v>2214</v>
      </c>
      <c r="AC876" t="s">
        <v>2209</v>
      </c>
      <c r="AD876" t="s">
        <v>2216</v>
      </c>
      <c r="AE876" t="s">
        <v>2163</v>
      </c>
      <c r="AG876" t="s">
        <v>2220</v>
      </c>
      <c r="AH876">
        <v>23</v>
      </c>
      <c r="AI876">
        <v>42</v>
      </c>
      <c r="AJ876">
        <v>19</v>
      </c>
      <c r="AK876">
        <v>9</v>
      </c>
      <c r="AL876" t="s">
        <v>2234</v>
      </c>
      <c r="AM876">
        <v>0</v>
      </c>
      <c r="AN876" t="s">
        <v>2176</v>
      </c>
      <c r="AO876" t="s">
        <v>2176</v>
      </c>
      <c r="AP876" t="s">
        <v>2176</v>
      </c>
      <c r="AQ876">
        <v>2.2999999999999998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4.4000000000000004</v>
      </c>
      <c r="AY876">
        <v>4.4000000000000004</v>
      </c>
      <c r="AZ876">
        <v>0</v>
      </c>
      <c r="BA876">
        <v>0</v>
      </c>
      <c r="BB876">
        <v>30</v>
      </c>
      <c r="BC876">
        <v>26</v>
      </c>
      <c r="BD876">
        <v>26.15</v>
      </c>
      <c r="BE876">
        <v>126</v>
      </c>
      <c r="BF876">
        <v>87.2</v>
      </c>
      <c r="BG876">
        <v>30</v>
      </c>
      <c r="BH876">
        <v>26</v>
      </c>
      <c r="BI876">
        <v>26.15</v>
      </c>
      <c r="BJ876">
        <v>126</v>
      </c>
      <c r="BK876">
        <v>87.2</v>
      </c>
      <c r="BL876">
        <v>126</v>
      </c>
      <c r="BM876">
        <v>2.9802</v>
      </c>
    </row>
    <row r="877" spans="1:65" x14ac:dyDescent="0.25">
      <c r="A877" t="s">
        <v>940</v>
      </c>
      <c r="B877" t="s">
        <v>1919</v>
      </c>
      <c r="C877" t="s">
        <v>2160</v>
      </c>
      <c r="D877" s="1">
        <v>45348</v>
      </c>
      <c r="E877" s="1">
        <v>45399</v>
      </c>
      <c r="F877" s="1">
        <v>45463</v>
      </c>
      <c r="G877" t="s">
        <v>2164</v>
      </c>
      <c r="I877" t="s">
        <v>2176</v>
      </c>
      <c r="J877">
        <v>16560</v>
      </c>
      <c r="K877">
        <v>496</v>
      </c>
      <c r="L877">
        <v>5.4</v>
      </c>
      <c r="M877">
        <v>4</v>
      </c>
      <c r="N877">
        <v>2</v>
      </c>
      <c r="O877">
        <v>4460</v>
      </c>
      <c r="P877" t="s">
        <v>2176</v>
      </c>
      <c r="Q877">
        <v>12</v>
      </c>
      <c r="R877">
        <v>17</v>
      </c>
      <c r="S877">
        <v>12</v>
      </c>
      <c r="T877">
        <v>403</v>
      </c>
      <c r="U877" t="s">
        <v>2164</v>
      </c>
      <c r="W877" t="s">
        <v>2208</v>
      </c>
      <c r="X877" t="s">
        <v>2210</v>
      </c>
      <c r="Y877" t="s">
        <v>2212</v>
      </c>
      <c r="Z877" s="1">
        <v>45440</v>
      </c>
      <c r="AA877" s="1">
        <v>45453</v>
      </c>
      <c r="AB877" t="s">
        <v>2214</v>
      </c>
      <c r="AC877" t="s">
        <v>2209</v>
      </c>
      <c r="AD877" t="s">
        <v>2216</v>
      </c>
      <c r="AE877" t="s">
        <v>2164</v>
      </c>
      <c r="AG877" t="s">
        <v>2220</v>
      </c>
      <c r="AH877">
        <v>41</v>
      </c>
      <c r="AI877">
        <v>54</v>
      </c>
      <c r="AJ877">
        <v>13</v>
      </c>
      <c r="AK877">
        <v>4</v>
      </c>
      <c r="AL877" t="s">
        <v>2225</v>
      </c>
      <c r="AM877">
        <v>0</v>
      </c>
      <c r="AN877" t="s">
        <v>2176</v>
      </c>
      <c r="AO877" t="s">
        <v>2176</v>
      </c>
      <c r="AP877" t="s">
        <v>2176</v>
      </c>
      <c r="AQ877">
        <v>21.6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4.5</v>
      </c>
      <c r="AY877">
        <v>4.5</v>
      </c>
      <c r="AZ877">
        <v>1</v>
      </c>
      <c r="BA877">
        <v>1</v>
      </c>
      <c r="BB877">
        <v>30</v>
      </c>
      <c r="BC877">
        <v>26</v>
      </c>
      <c r="BD877">
        <v>26.42</v>
      </c>
      <c r="BE877">
        <v>126</v>
      </c>
      <c r="BF877">
        <v>88.1</v>
      </c>
      <c r="BG877">
        <v>30</v>
      </c>
      <c r="BH877">
        <v>26</v>
      </c>
      <c r="BI877">
        <v>26.42</v>
      </c>
      <c r="BJ877">
        <v>126</v>
      </c>
      <c r="BK877">
        <v>88.1</v>
      </c>
      <c r="BL877">
        <v>126</v>
      </c>
      <c r="BM877">
        <v>5.0533999999999999</v>
      </c>
    </row>
    <row r="878" spans="1:65" x14ac:dyDescent="0.25">
      <c r="A878" t="s">
        <v>941</v>
      </c>
      <c r="B878" t="s">
        <v>1920</v>
      </c>
      <c r="C878" t="s">
        <v>2160</v>
      </c>
      <c r="D878" s="1">
        <v>45440</v>
      </c>
      <c r="E878" s="1">
        <v>45488</v>
      </c>
      <c r="F878" s="1">
        <v>45568</v>
      </c>
      <c r="G878" t="s">
        <v>2164</v>
      </c>
      <c r="I878" t="s">
        <v>2176</v>
      </c>
      <c r="J878">
        <v>18100</v>
      </c>
      <c r="K878">
        <v>543</v>
      </c>
      <c r="L878">
        <v>2.9</v>
      </c>
      <c r="M878">
        <v>7.4</v>
      </c>
      <c r="N878">
        <v>2</v>
      </c>
      <c r="O878">
        <v>3509</v>
      </c>
      <c r="P878" t="s">
        <v>2176</v>
      </c>
      <c r="Q878">
        <v>9</v>
      </c>
      <c r="R878">
        <v>12</v>
      </c>
      <c r="S878">
        <v>22</v>
      </c>
      <c r="T878">
        <v>420</v>
      </c>
      <c r="U878" t="s">
        <v>2164</v>
      </c>
      <c r="W878" t="s">
        <v>2208</v>
      </c>
      <c r="X878" t="s">
        <v>2210</v>
      </c>
      <c r="Y878" t="s">
        <v>2212</v>
      </c>
      <c r="Z878" s="1">
        <v>45531</v>
      </c>
      <c r="AA878" s="1">
        <v>45552</v>
      </c>
      <c r="AB878" t="s">
        <v>2214</v>
      </c>
      <c r="AC878" t="s">
        <v>2209</v>
      </c>
      <c r="AD878" t="s">
        <v>2216</v>
      </c>
      <c r="AE878" t="s">
        <v>2164</v>
      </c>
      <c r="AG878" t="s">
        <v>2220</v>
      </c>
      <c r="AH878">
        <v>43</v>
      </c>
      <c r="AI878">
        <v>64</v>
      </c>
      <c r="AJ878">
        <v>21</v>
      </c>
      <c r="AK878">
        <v>7</v>
      </c>
      <c r="AL878" t="s">
        <v>2226</v>
      </c>
      <c r="AM878">
        <v>0</v>
      </c>
      <c r="AN878" t="s">
        <v>2176</v>
      </c>
      <c r="AO878" t="s">
        <v>2176</v>
      </c>
      <c r="AP878" t="s">
        <v>2176</v>
      </c>
      <c r="AQ878">
        <v>21.46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4.5</v>
      </c>
      <c r="AY878">
        <v>4.5</v>
      </c>
      <c r="AZ878">
        <v>1</v>
      </c>
      <c r="BA878">
        <v>1</v>
      </c>
      <c r="BB878">
        <v>29</v>
      </c>
      <c r="BC878">
        <v>27</v>
      </c>
      <c r="BD878">
        <v>25.96</v>
      </c>
      <c r="BE878">
        <v>130</v>
      </c>
      <c r="BF878">
        <v>89.5</v>
      </c>
      <c r="BG878">
        <v>29</v>
      </c>
      <c r="BH878">
        <v>27</v>
      </c>
      <c r="BI878">
        <v>25.96</v>
      </c>
      <c r="BJ878">
        <v>130</v>
      </c>
      <c r="BK878">
        <v>89.5</v>
      </c>
      <c r="BL878">
        <v>130</v>
      </c>
      <c r="BM878">
        <v>5.1551999999999998</v>
      </c>
    </row>
    <row r="879" spans="1:65" x14ac:dyDescent="0.25">
      <c r="A879" t="s">
        <v>942</v>
      </c>
      <c r="B879" t="s">
        <v>1921</v>
      </c>
      <c r="C879" t="s">
        <v>2158</v>
      </c>
      <c r="D879" s="1">
        <v>45319</v>
      </c>
      <c r="E879" s="1">
        <v>45363</v>
      </c>
      <c r="F879" s="1">
        <v>45433</v>
      </c>
      <c r="G879" t="s">
        <v>2161</v>
      </c>
      <c r="I879" t="s">
        <v>2176</v>
      </c>
      <c r="J879">
        <v>19595</v>
      </c>
      <c r="K879">
        <v>587</v>
      </c>
      <c r="L879">
        <v>2.6</v>
      </c>
      <c r="M879">
        <v>5.6</v>
      </c>
      <c r="N879">
        <v>2</v>
      </c>
      <c r="O879">
        <v>5157</v>
      </c>
      <c r="P879" t="s">
        <v>2176</v>
      </c>
      <c r="Q879">
        <v>10</v>
      </c>
      <c r="R879">
        <v>12</v>
      </c>
      <c r="S879">
        <v>22</v>
      </c>
      <c r="T879">
        <v>445</v>
      </c>
      <c r="U879" t="s">
        <v>2161</v>
      </c>
      <c r="W879" t="s">
        <v>2208</v>
      </c>
      <c r="X879" t="s">
        <v>2210</v>
      </c>
      <c r="Y879" t="s">
        <v>2212</v>
      </c>
      <c r="Z879" s="1">
        <v>45407</v>
      </c>
      <c r="AA879" s="1">
        <v>45425</v>
      </c>
      <c r="AB879" t="s">
        <v>2214</v>
      </c>
      <c r="AC879" t="s">
        <v>2209</v>
      </c>
      <c r="AD879" t="s">
        <v>2216</v>
      </c>
      <c r="AE879" t="s">
        <v>2161</v>
      </c>
      <c r="AG879" t="s">
        <v>2220</v>
      </c>
      <c r="AH879">
        <v>44</v>
      </c>
      <c r="AI879">
        <v>62</v>
      </c>
      <c r="AJ879">
        <v>18</v>
      </c>
      <c r="AK879">
        <v>3</v>
      </c>
      <c r="AL879" t="s">
        <v>2227</v>
      </c>
      <c r="AM879">
        <v>0</v>
      </c>
      <c r="AN879" t="s">
        <v>2176</v>
      </c>
      <c r="AO879" t="s">
        <v>2176</v>
      </c>
      <c r="AP879" t="s">
        <v>2176</v>
      </c>
      <c r="AQ879">
        <v>14.56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4.3</v>
      </c>
      <c r="AY879">
        <v>4.3</v>
      </c>
      <c r="AZ879">
        <v>2</v>
      </c>
      <c r="BA879">
        <v>1</v>
      </c>
      <c r="BB879">
        <v>38</v>
      </c>
      <c r="BC879">
        <v>26</v>
      </c>
      <c r="BD879">
        <v>33.729999999999997</v>
      </c>
      <c r="BE879">
        <v>164</v>
      </c>
      <c r="BF879">
        <v>88.8</v>
      </c>
      <c r="BG879">
        <v>38</v>
      </c>
      <c r="BH879">
        <v>26</v>
      </c>
      <c r="BI879">
        <v>33.729999999999997</v>
      </c>
      <c r="BJ879">
        <v>164</v>
      </c>
      <c r="BK879">
        <v>88.8</v>
      </c>
      <c r="BL879">
        <v>164</v>
      </c>
      <c r="BM879">
        <v>4.5944000000000003</v>
      </c>
    </row>
    <row r="880" spans="1:65" x14ac:dyDescent="0.25">
      <c r="A880" t="s">
        <v>943</v>
      </c>
      <c r="B880" t="s">
        <v>1922</v>
      </c>
      <c r="C880" t="s">
        <v>2159</v>
      </c>
      <c r="D880" s="1">
        <v>45555</v>
      </c>
      <c r="E880" s="1">
        <v>45577</v>
      </c>
      <c r="F880" s="1">
        <v>45655</v>
      </c>
      <c r="G880" t="s">
        <v>2162</v>
      </c>
      <c r="I880" t="s">
        <v>2176</v>
      </c>
      <c r="J880">
        <v>20043</v>
      </c>
      <c r="K880">
        <v>601</v>
      </c>
      <c r="L880">
        <v>1.6</v>
      </c>
      <c r="M880">
        <v>6.4</v>
      </c>
      <c r="N880">
        <v>2</v>
      </c>
      <c r="O880">
        <v>1926</v>
      </c>
      <c r="P880" t="s">
        <v>2176</v>
      </c>
      <c r="Q880">
        <v>12</v>
      </c>
      <c r="R880">
        <v>16</v>
      </c>
      <c r="S880">
        <v>26</v>
      </c>
      <c r="T880">
        <v>371</v>
      </c>
      <c r="U880" t="s">
        <v>2162</v>
      </c>
      <c r="W880" t="s">
        <v>2208</v>
      </c>
      <c r="X880" t="s">
        <v>2210</v>
      </c>
      <c r="Y880" t="s">
        <v>2212</v>
      </c>
      <c r="Z880" s="1">
        <v>45631</v>
      </c>
      <c r="AA880" s="1">
        <v>45652</v>
      </c>
      <c r="AB880" t="s">
        <v>2214</v>
      </c>
      <c r="AC880" t="s">
        <v>2209</v>
      </c>
      <c r="AD880" t="s">
        <v>2216</v>
      </c>
      <c r="AE880" t="s">
        <v>2162</v>
      </c>
      <c r="AG880" t="s">
        <v>2220</v>
      </c>
      <c r="AH880">
        <v>54</v>
      </c>
      <c r="AI880">
        <v>75</v>
      </c>
      <c r="AJ880">
        <v>21</v>
      </c>
      <c r="AK880">
        <v>10</v>
      </c>
      <c r="AL880" t="s">
        <v>2230</v>
      </c>
      <c r="AM880">
        <v>1</v>
      </c>
      <c r="AN880" t="s">
        <v>2176</v>
      </c>
      <c r="AO880" t="s">
        <v>2176</v>
      </c>
      <c r="AP880" t="s">
        <v>2176</v>
      </c>
      <c r="AQ880">
        <v>10.24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4.2</v>
      </c>
      <c r="AY880">
        <v>4.2</v>
      </c>
      <c r="AZ880">
        <v>0</v>
      </c>
      <c r="BA880">
        <v>1</v>
      </c>
      <c r="BB880">
        <v>25</v>
      </c>
      <c r="BC880">
        <v>27</v>
      </c>
      <c r="BD880">
        <v>21.89</v>
      </c>
      <c r="BE880">
        <v>108</v>
      </c>
      <c r="BF880">
        <v>87.6</v>
      </c>
      <c r="BG880">
        <v>25</v>
      </c>
      <c r="BH880">
        <v>27</v>
      </c>
      <c r="BI880">
        <v>21.89</v>
      </c>
      <c r="BJ880">
        <v>108</v>
      </c>
      <c r="BK880">
        <v>87.6</v>
      </c>
      <c r="BL880">
        <v>108</v>
      </c>
      <c r="BM880">
        <v>6.8711000000000002</v>
      </c>
    </row>
    <row r="881" spans="1:65" x14ac:dyDescent="0.25">
      <c r="A881" t="s">
        <v>944</v>
      </c>
      <c r="B881" t="s">
        <v>1923</v>
      </c>
      <c r="C881" t="s">
        <v>2160</v>
      </c>
      <c r="D881" s="1">
        <v>45361</v>
      </c>
      <c r="E881" s="1">
        <v>45419</v>
      </c>
      <c r="F881" s="1">
        <v>45519</v>
      </c>
      <c r="G881" t="s">
        <v>2165</v>
      </c>
      <c r="I881" t="s">
        <v>2176</v>
      </c>
      <c r="J881">
        <v>23635</v>
      </c>
      <c r="K881">
        <v>709</v>
      </c>
      <c r="L881">
        <v>1.6</v>
      </c>
      <c r="M881">
        <v>3.8</v>
      </c>
      <c r="N881">
        <v>2</v>
      </c>
      <c r="O881">
        <v>5675</v>
      </c>
      <c r="P881" t="s">
        <v>2176</v>
      </c>
      <c r="Q881">
        <v>12</v>
      </c>
      <c r="R881">
        <v>15</v>
      </c>
      <c r="S881">
        <v>24</v>
      </c>
      <c r="T881">
        <v>463</v>
      </c>
      <c r="U881" t="s">
        <v>2165</v>
      </c>
      <c r="W881" t="s">
        <v>2208</v>
      </c>
      <c r="X881" t="s">
        <v>2210</v>
      </c>
      <c r="Y881" t="s">
        <v>2212</v>
      </c>
      <c r="Z881" s="1">
        <v>45470</v>
      </c>
      <c r="AA881" s="1">
        <v>45491</v>
      </c>
      <c r="AB881" t="s">
        <v>2214</v>
      </c>
      <c r="AC881" t="s">
        <v>2209</v>
      </c>
      <c r="AD881" t="s">
        <v>2216</v>
      </c>
      <c r="AE881" t="s">
        <v>2165</v>
      </c>
      <c r="AG881" t="s">
        <v>2220</v>
      </c>
      <c r="AH881">
        <v>51</v>
      </c>
      <c r="AI881">
        <v>72</v>
      </c>
      <c r="AJ881">
        <v>21</v>
      </c>
      <c r="AK881">
        <v>5</v>
      </c>
      <c r="AL881" t="s">
        <v>2224</v>
      </c>
      <c r="AM881">
        <v>0</v>
      </c>
      <c r="AN881" t="s">
        <v>2176</v>
      </c>
      <c r="AO881" t="s">
        <v>2176</v>
      </c>
      <c r="AP881" t="s">
        <v>2176</v>
      </c>
      <c r="AQ881">
        <v>6.08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4.5999999999999996</v>
      </c>
      <c r="AY881">
        <v>4.5999999999999996</v>
      </c>
      <c r="AZ881">
        <v>1</v>
      </c>
      <c r="BA881">
        <v>1</v>
      </c>
      <c r="BB881">
        <v>36</v>
      </c>
      <c r="BC881">
        <v>27</v>
      </c>
      <c r="BD881">
        <v>31.37</v>
      </c>
      <c r="BE881">
        <v>158</v>
      </c>
      <c r="BF881">
        <v>87.1</v>
      </c>
      <c r="BG881">
        <v>36</v>
      </c>
      <c r="BH881">
        <v>27</v>
      </c>
      <c r="BI881">
        <v>31.37</v>
      </c>
      <c r="BJ881">
        <v>158</v>
      </c>
      <c r="BK881">
        <v>87.1</v>
      </c>
      <c r="BL881">
        <v>158</v>
      </c>
      <c r="BM881">
        <v>5.5389999999999997</v>
      </c>
    </row>
    <row r="882" spans="1:65" x14ac:dyDescent="0.25">
      <c r="A882" t="s">
        <v>945</v>
      </c>
      <c r="B882" t="s">
        <v>1924</v>
      </c>
      <c r="C882" t="s">
        <v>2157</v>
      </c>
      <c r="D882" s="1">
        <v>45353</v>
      </c>
      <c r="E882" s="1">
        <v>45397</v>
      </c>
      <c r="F882" s="1">
        <v>45468</v>
      </c>
      <c r="G882" t="s">
        <v>2164</v>
      </c>
      <c r="I882" t="s">
        <v>2173</v>
      </c>
      <c r="J882">
        <v>18550</v>
      </c>
      <c r="K882">
        <v>556</v>
      </c>
      <c r="L882">
        <v>11.9</v>
      </c>
      <c r="M882">
        <v>6.4</v>
      </c>
      <c r="N882">
        <v>7</v>
      </c>
      <c r="O882">
        <v>5057</v>
      </c>
      <c r="P882" t="s">
        <v>2177</v>
      </c>
      <c r="Q882">
        <v>13</v>
      </c>
      <c r="R882">
        <v>15</v>
      </c>
      <c r="S882">
        <v>27</v>
      </c>
      <c r="T882">
        <v>337</v>
      </c>
      <c r="U882" t="s">
        <v>2166</v>
      </c>
      <c r="W882" t="s">
        <v>2209</v>
      </c>
      <c r="X882" t="s">
        <v>2211</v>
      </c>
      <c r="Y882" t="s">
        <v>2212</v>
      </c>
      <c r="Z882" s="1">
        <v>45452</v>
      </c>
      <c r="AA882" s="1">
        <v>45472</v>
      </c>
      <c r="AB882" t="s">
        <v>2214</v>
      </c>
      <c r="AC882" t="s">
        <v>2209</v>
      </c>
      <c r="AD882" t="s">
        <v>2218</v>
      </c>
      <c r="AE882" t="s">
        <v>2166</v>
      </c>
      <c r="AG882" t="s">
        <v>2221</v>
      </c>
      <c r="AH882">
        <v>55</v>
      </c>
      <c r="AI882">
        <v>75</v>
      </c>
      <c r="AJ882">
        <v>20</v>
      </c>
      <c r="AK882">
        <v>4</v>
      </c>
      <c r="AL882" t="s">
        <v>2225</v>
      </c>
      <c r="AM882">
        <v>0</v>
      </c>
      <c r="AN882" t="s">
        <v>2177</v>
      </c>
      <c r="AO882" t="s">
        <v>2175</v>
      </c>
      <c r="AP882" t="s">
        <v>2176</v>
      </c>
      <c r="AQ882">
        <v>76.160000000000011</v>
      </c>
      <c r="AR882">
        <v>2</v>
      </c>
      <c r="AS882">
        <v>2</v>
      </c>
      <c r="AT882">
        <v>3</v>
      </c>
      <c r="AU882">
        <v>1</v>
      </c>
      <c r="AV882">
        <v>2</v>
      </c>
      <c r="AW882">
        <v>4.8</v>
      </c>
      <c r="AY882">
        <v>4.5</v>
      </c>
      <c r="AZ882">
        <v>3</v>
      </c>
      <c r="BA882">
        <v>2</v>
      </c>
      <c r="BB882">
        <v>45</v>
      </c>
      <c r="BC882">
        <v>26</v>
      </c>
      <c r="BD882">
        <v>40.270000000000003</v>
      </c>
      <c r="BE882">
        <v>199</v>
      </c>
      <c r="BF882">
        <v>89.5</v>
      </c>
      <c r="BG882">
        <v>30</v>
      </c>
      <c r="BH882">
        <v>26</v>
      </c>
      <c r="BI882">
        <v>26.42</v>
      </c>
      <c r="BJ882">
        <v>126</v>
      </c>
      <c r="BK882">
        <v>88.1</v>
      </c>
      <c r="BL882">
        <v>199</v>
      </c>
      <c r="BM882">
        <v>3.5844999999999998</v>
      </c>
    </row>
    <row r="883" spans="1:65" x14ac:dyDescent="0.25">
      <c r="A883" t="s">
        <v>946</v>
      </c>
      <c r="B883" t="s">
        <v>1925</v>
      </c>
      <c r="C883" t="s">
        <v>2160</v>
      </c>
      <c r="D883" s="1">
        <v>45278</v>
      </c>
      <c r="E883" s="1">
        <v>45333</v>
      </c>
      <c r="F883" s="1">
        <v>45389</v>
      </c>
      <c r="G883" t="s">
        <v>2161</v>
      </c>
      <c r="I883" t="s">
        <v>2175</v>
      </c>
      <c r="J883">
        <v>22621</v>
      </c>
      <c r="K883">
        <v>678</v>
      </c>
      <c r="L883">
        <v>14</v>
      </c>
      <c r="M883">
        <v>8.6999999999999993</v>
      </c>
      <c r="N883">
        <v>7</v>
      </c>
      <c r="O883">
        <v>10317</v>
      </c>
      <c r="P883" t="s">
        <v>2177</v>
      </c>
      <c r="Q883">
        <v>12</v>
      </c>
      <c r="R883">
        <v>16</v>
      </c>
      <c r="S883">
        <v>21</v>
      </c>
      <c r="T883">
        <v>461</v>
      </c>
      <c r="U883" t="s">
        <v>2166</v>
      </c>
      <c r="W883" t="s">
        <v>2209</v>
      </c>
      <c r="X883" t="s">
        <v>2211</v>
      </c>
      <c r="Y883" t="s">
        <v>2212</v>
      </c>
      <c r="Z883" s="1">
        <v>45382</v>
      </c>
      <c r="AA883" s="1">
        <v>45395</v>
      </c>
      <c r="AB883" t="s">
        <v>2215</v>
      </c>
      <c r="AC883" t="s">
        <v>2208</v>
      </c>
      <c r="AD883" t="s">
        <v>2218</v>
      </c>
      <c r="AE883" t="s">
        <v>2166</v>
      </c>
      <c r="AG883" t="s">
        <v>2221</v>
      </c>
      <c r="AH883">
        <v>49</v>
      </c>
      <c r="AI883">
        <v>62</v>
      </c>
      <c r="AJ883">
        <v>13</v>
      </c>
      <c r="AK883">
        <v>2</v>
      </c>
      <c r="AL883" t="s">
        <v>2228</v>
      </c>
      <c r="AM883">
        <v>0</v>
      </c>
      <c r="AN883" t="s">
        <v>2177</v>
      </c>
      <c r="AO883" t="s">
        <v>2175</v>
      </c>
      <c r="AP883" t="s">
        <v>2177</v>
      </c>
      <c r="AQ883">
        <v>121.8</v>
      </c>
      <c r="AR883">
        <v>2</v>
      </c>
      <c r="AS883">
        <v>2</v>
      </c>
      <c r="AT883">
        <v>3</v>
      </c>
      <c r="AU883">
        <v>2</v>
      </c>
      <c r="AV883">
        <v>2.333333333333333</v>
      </c>
      <c r="AW883">
        <v>4.8</v>
      </c>
      <c r="AY883">
        <v>4.3</v>
      </c>
      <c r="AZ883">
        <v>1</v>
      </c>
      <c r="BA883">
        <v>3</v>
      </c>
      <c r="BB883">
        <v>40</v>
      </c>
      <c r="BC883">
        <v>24</v>
      </c>
      <c r="BD883">
        <v>35.54</v>
      </c>
      <c r="BE883">
        <v>160</v>
      </c>
      <c r="BF883">
        <v>88.8</v>
      </c>
      <c r="BG883">
        <v>34</v>
      </c>
      <c r="BH883">
        <v>24</v>
      </c>
      <c r="BI883">
        <v>29.92</v>
      </c>
      <c r="BJ883">
        <v>134</v>
      </c>
      <c r="BK883">
        <v>88</v>
      </c>
      <c r="BL883">
        <v>160</v>
      </c>
      <c r="BM883">
        <v>5.8894000000000002</v>
      </c>
    </row>
    <row r="884" spans="1:65" x14ac:dyDescent="0.25">
      <c r="A884" t="s">
        <v>947</v>
      </c>
      <c r="B884" t="s">
        <v>1926</v>
      </c>
      <c r="C884" t="s">
        <v>2160</v>
      </c>
      <c r="D884" s="1">
        <v>45429</v>
      </c>
      <c r="E884" s="1">
        <v>45457</v>
      </c>
      <c r="F884" s="1">
        <v>45556</v>
      </c>
      <c r="G884" t="s">
        <v>2164</v>
      </c>
      <c r="I884" t="s">
        <v>2173</v>
      </c>
      <c r="J884">
        <v>34470</v>
      </c>
      <c r="K884">
        <v>1034</v>
      </c>
      <c r="L884">
        <v>4.2</v>
      </c>
      <c r="M884">
        <v>12.7</v>
      </c>
      <c r="N884">
        <v>4</v>
      </c>
      <c r="O884">
        <v>5490</v>
      </c>
      <c r="P884" t="s">
        <v>2177</v>
      </c>
      <c r="Q884">
        <v>20</v>
      </c>
      <c r="R884">
        <v>25</v>
      </c>
      <c r="S884">
        <v>30</v>
      </c>
      <c r="T884">
        <v>459</v>
      </c>
      <c r="U884" t="s">
        <v>2166</v>
      </c>
      <c r="W884" t="s">
        <v>2209</v>
      </c>
      <c r="X884" t="s">
        <v>2211</v>
      </c>
      <c r="Y884" t="s">
        <v>2212</v>
      </c>
      <c r="Z884" s="1">
        <v>45532</v>
      </c>
      <c r="AA884" s="1">
        <v>45552</v>
      </c>
      <c r="AB884" t="s">
        <v>2214</v>
      </c>
      <c r="AC884" t="s">
        <v>2209</v>
      </c>
      <c r="AD884" t="s">
        <v>2218</v>
      </c>
      <c r="AE884" t="s">
        <v>2166</v>
      </c>
      <c r="AG884" t="s">
        <v>2221</v>
      </c>
      <c r="AH884">
        <v>75</v>
      </c>
      <c r="AI884">
        <v>95</v>
      </c>
      <c r="AJ884">
        <v>20</v>
      </c>
      <c r="AK884">
        <v>6</v>
      </c>
      <c r="AL884" t="s">
        <v>2223</v>
      </c>
      <c r="AM884">
        <v>0</v>
      </c>
      <c r="AN884" t="s">
        <v>2177</v>
      </c>
      <c r="AO884" t="s">
        <v>2177</v>
      </c>
      <c r="AP884" t="s">
        <v>2176</v>
      </c>
      <c r="AQ884">
        <v>53.34</v>
      </c>
      <c r="AR884">
        <v>2</v>
      </c>
      <c r="AS884">
        <v>2</v>
      </c>
      <c r="AT884">
        <v>2</v>
      </c>
      <c r="AU884">
        <v>1</v>
      </c>
      <c r="AV884">
        <v>1.666666666666667</v>
      </c>
      <c r="AW884">
        <v>4.8</v>
      </c>
      <c r="AY884">
        <v>4.5</v>
      </c>
      <c r="AZ884">
        <v>1</v>
      </c>
      <c r="BA884">
        <v>2</v>
      </c>
      <c r="BB884">
        <v>45</v>
      </c>
      <c r="BC884">
        <v>25</v>
      </c>
      <c r="BD884">
        <v>39.200000000000003</v>
      </c>
      <c r="BE884">
        <v>186</v>
      </c>
      <c r="BF884">
        <v>87.1</v>
      </c>
      <c r="BG884">
        <v>33</v>
      </c>
      <c r="BH884">
        <v>25</v>
      </c>
      <c r="BI884">
        <v>28.64</v>
      </c>
      <c r="BJ884">
        <v>133</v>
      </c>
      <c r="BK884">
        <v>86.8</v>
      </c>
      <c r="BL884">
        <v>186</v>
      </c>
      <c r="BM884">
        <v>7.4112999999999998</v>
      </c>
    </row>
    <row r="885" spans="1:65" x14ac:dyDescent="0.25">
      <c r="A885" t="s">
        <v>948</v>
      </c>
      <c r="B885" t="s">
        <v>1927</v>
      </c>
      <c r="C885" t="s">
        <v>2158</v>
      </c>
      <c r="D885" s="1">
        <v>45376</v>
      </c>
      <c r="E885" s="1">
        <v>45424</v>
      </c>
      <c r="F885" s="1">
        <v>45518</v>
      </c>
      <c r="G885" t="s">
        <v>2163</v>
      </c>
      <c r="I885" t="s">
        <v>2175</v>
      </c>
      <c r="J885">
        <v>23847</v>
      </c>
      <c r="K885">
        <v>715</v>
      </c>
      <c r="L885">
        <v>4.0999999999999996</v>
      </c>
      <c r="M885">
        <v>4.2</v>
      </c>
      <c r="N885">
        <v>5</v>
      </c>
      <c r="O885">
        <v>5701</v>
      </c>
      <c r="P885" t="s">
        <v>2176</v>
      </c>
      <c r="Q885">
        <v>18</v>
      </c>
      <c r="R885">
        <v>25</v>
      </c>
      <c r="S885">
        <v>28</v>
      </c>
      <c r="T885">
        <v>335</v>
      </c>
      <c r="U885" t="s">
        <v>2166</v>
      </c>
      <c r="W885" t="s">
        <v>2209</v>
      </c>
      <c r="X885" t="s">
        <v>2211</v>
      </c>
      <c r="Y885" t="s">
        <v>2212</v>
      </c>
      <c r="Z885" s="1">
        <v>45495</v>
      </c>
      <c r="AA885" s="1">
        <v>45510</v>
      </c>
      <c r="AB885" t="s">
        <v>2214</v>
      </c>
      <c r="AC885" t="s">
        <v>2209</v>
      </c>
      <c r="AD885" t="s">
        <v>2218</v>
      </c>
      <c r="AE885" t="s">
        <v>2166</v>
      </c>
      <c r="AG885" t="s">
        <v>2221</v>
      </c>
      <c r="AH885">
        <v>71</v>
      </c>
      <c r="AI885">
        <v>86</v>
      </c>
      <c r="AJ885">
        <v>15</v>
      </c>
      <c r="AK885">
        <v>5</v>
      </c>
      <c r="AL885" t="s">
        <v>2224</v>
      </c>
      <c r="AM885">
        <v>0</v>
      </c>
      <c r="AN885" t="s">
        <v>2176</v>
      </c>
      <c r="AO885" t="s">
        <v>2177</v>
      </c>
      <c r="AP885" t="s">
        <v>2176</v>
      </c>
      <c r="AQ885">
        <v>17.22</v>
      </c>
      <c r="AR885">
        <v>1</v>
      </c>
      <c r="AS885">
        <v>1</v>
      </c>
      <c r="AT885">
        <v>2</v>
      </c>
      <c r="AU885">
        <v>1</v>
      </c>
      <c r="AV885">
        <v>1.333333333333333</v>
      </c>
      <c r="AW885">
        <v>4.8</v>
      </c>
      <c r="AY885">
        <v>4.4000000000000004</v>
      </c>
      <c r="AZ885">
        <v>2</v>
      </c>
      <c r="BA885">
        <v>3</v>
      </c>
      <c r="BB885">
        <v>43</v>
      </c>
      <c r="BC885">
        <v>27</v>
      </c>
      <c r="BD885">
        <v>37.299999999999997</v>
      </c>
      <c r="BE885">
        <v>193</v>
      </c>
      <c r="BF885">
        <v>86.7</v>
      </c>
      <c r="BG885">
        <v>38</v>
      </c>
      <c r="BH885">
        <v>27</v>
      </c>
      <c r="BI885">
        <v>33.33</v>
      </c>
      <c r="BJ885">
        <v>171</v>
      </c>
      <c r="BK885">
        <v>87.7</v>
      </c>
      <c r="BL885">
        <v>193</v>
      </c>
      <c r="BM885">
        <v>4.5754000000000001</v>
      </c>
    </row>
    <row r="886" spans="1:65" x14ac:dyDescent="0.25">
      <c r="A886" t="s">
        <v>949</v>
      </c>
      <c r="B886" t="s">
        <v>1928</v>
      </c>
      <c r="C886" t="s">
        <v>2158</v>
      </c>
      <c r="D886" s="1">
        <v>45402</v>
      </c>
      <c r="E886" s="1">
        <v>45447</v>
      </c>
      <c r="F886" s="1">
        <v>45559</v>
      </c>
      <c r="G886" t="s">
        <v>2163</v>
      </c>
      <c r="I886" t="s">
        <v>2175</v>
      </c>
      <c r="J886">
        <v>28648</v>
      </c>
      <c r="K886">
        <v>859</v>
      </c>
      <c r="L886">
        <v>12.1</v>
      </c>
      <c r="M886">
        <v>9.9</v>
      </c>
      <c r="N886">
        <v>7</v>
      </c>
      <c r="O886">
        <v>7153</v>
      </c>
      <c r="P886" t="s">
        <v>2177</v>
      </c>
      <c r="Q886">
        <v>23</v>
      </c>
      <c r="R886">
        <v>36</v>
      </c>
      <c r="S886">
        <v>33</v>
      </c>
      <c r="T886">
        <v>311</v>
      </c>
      <c r="U886" t="s">
        <v>2166</v>
      </c>
      <c r="W886" t="s">
        <v>2209</v>
      </c>
      <c r="X886" t="s">
        <v>2211</v>
      </c>
      <c r="Y886" t="s">
        <v>2212</v>
      </c>
      <c r="Z886" s="1">
        <v>45539</v>
      </c>
      <c r="AA886" s="1">
        <v>45556</v>
      </c>
      <c r="AB886" t="s">
        <v>2214</v>
      </c>
      <c r="AC886" t="s">
        <v>2209</v>
      </c>
      <c r="AD886" t="s">
        <v>2218</v>
      </c>
      <c r="AE886" t="s">
        <v>2166</v>
      </c>
      <c r="AG886" t="s">
        <v>2221</v>
      </c>
      <c r="AH886">
        <v>92</v>
      </c>
      <c r="AI886">
        <v>109</v>
      </c>
      <c r="AJ886">
        <v>17</v>
      </c>
      <c r="AK886">
        <v>6</v>
      </c>
      <c r="AL886" t="s">
        <v>2223</v>
      </c>
      <c r="AM886">
        <v>0</v>
      </c>
      <c r="AN886" t="s">
        <v>2177</v>
      </c>
      <c r="AO886" t="s">
        <v>2175</v>
      </c>
      <c r="AP886" t="s">
        <v>2177</v>
      </c>
      <c r="AQ886">
        <v>119.79</v>
      </c>
      <c r="AR886">
        <v>2</v>
      </c>
      <c r="AS886">
        <v>2</v>
      </c>
      <c r="AT886">
        <v>3</v>
      </c>
      <c r="AU886">
        <v>2</v>
      </c>
      <c r="AV886">
        <v>2.333333333333333</v>
      </c>
      <c r="AW886">
        <v>4.8</v>
      </c>
      <c r="AY886">
        <v>4.4000000000000004</v>
      </c>
      <c r="AZ886">
        <v>2</v>
      </c>
      <c r="BA886">
        <v>3</v>
      </c>
      <c r="BB886">
        <v>45</v>
      </c>
      <c r="BC886">
        <v>25</v>
      </c>
      <c r="BD886">
        <v>39.200000000000003</v>
      </c>
      <c r="BE886">
        <v>186</v>
      </c>
      <c r="BF886">
        <v>87.1</v>
      </c>
      <c r="BG886">
        <v>30</v>
      </c>
      <c r="BH886">
        <v>25</v>
      </c>
      <c r="BI886">
        <v>26.48</v>
      </c>
      <c r="BJ886">
        <v>121</v>
      </c>
      <c r="BK886">
        <v>88.3</v>
      </c>
      <c r="BL886">
        <v>186</v>
      </c>
      <c r="BM886">
        <v>6.1595000000000004</v>
      </c>
    </row>
    <row r="887" spans="1:65" x14ac:dyDescent="0.25">
      <c r="A887" t="s">
        <v>950</v>
      </c>
      <c r="B887" t="s">
        <v>1929</v>
      </c>
      <c r="C887" t="s">
        <v>2159</v>
      </c>
      <c r="D887" s="1">
        <v>45306</v>
      </c>
      <c r="E887" s="1">
        <v>45363</v>
      </c>
      <c r="F887" s="1">
        <v>45423</v>
      </c>
      <c r="G887" t="s">
        <v>2162</v>
      </c>
      <c r="I887" t="s">
        <v>2173</v>
      </c>
      <c r="J887">
        <v>11022</v>
      </c>
      <c r="K887">
        <v>330</v>
      </c>
      <c r="L887">
        <v>4.5999999999999996</v>
      </c>
      <c r="M887">
        <v>13.1</v>
      </c>
      <c r="N887">
        <v>3</v>
      </c>
      <c r="O887">
        <v>8737</v>
      </c>
      <c r="P887" t="s">
        <v>2177</v>
      </c>
      <c r="Q887">
        <v>7</v>
      </c>
      <c r="R887">
        <v>10</v>
      </c>
      <c r="S887">
        <v>21</v>
      </c>
      <c r="T887">
        <v>290</v>
      </c>
      <c r="U887" t="s">
        <v>2166</v>
      </c>
      <c r="W887" t="s">
        <v>2209</v>
      </c>
      <c r="X887" t="s">
        <v>2211</v>
      </c>
      <c r="Y887" t="s">
        <v>2212</v>
      </c>
      <c r="Z887" s="1">
        <v>45401</v>
      </c>
      <c r="AA887" s="1">
        <v>45414</v>
      </c>
      <c r="AB887" t="s">
        <v>2214</v>
      </c>
      <c r="AC887" t="s">
        <v>2209</v>
      </c>
      <c r="AD887" t="s">
        <v>2218</v>
      </c>
      <c r="AE887" t="s">
        <v>2166</v>
      </c>
      <c r="AG887" t="s">
        <v>2221</v>
      </c>
      <c r="AH887">
        <v>38</v>
      </c>
      <c r="AI887">
        <v>51</v>
      </c>
      <c r="AJ887">
        <v>13</v>
      </c>
      <c r="AK887">
        <v>3</v>
      </c>
      <c r="AL887" t="s">
        <v>2227</v>
      </c>
      <c r="AM887">
        <v>0</v>
      </c>
      <c r="AN887" t="s">
        <v>2177</v>
      </c>
      <c r="AO887" t="s">
        <v>2176</v>
      </c>
      <c r="AP887" t="s">
        <v>2177</v>
      </c>
      <c r="AQ887">
        <v>60.259999999999991</v>
      </c>
      <c r="AR887">
        <v>2</v>
      </c>
      <c r="AS887">
        <v>2</v>
      </c>
      <c r="AT887">
        <v>1</v>
      </c>
      <c r="AU887">
        <v>2</v>
      </c>
      <c r="AV887">
        <v>1.666666666666667</v>
      </c>
      <c r="AW887">
        <v>4.8</v>
      </c>
      <c r="AY887">
        <v>4.2</v>
      </c>
      <c r="AZ887">
        <v>0</v>
      </c>
      <c r="BA887">
        <v>2</v>
      </c>
      <c r="BB887">
        <v>49</v>
      </c>
      <c r="BC887">
        <v>26</v>
      </c>
      <c r="BD887">
        <v>43.12</v>
      </c>
      <c r="BE887">
        <v>216</v>
      </c>
      <c r="BF887">
        <v>88</v>
      </c>
      <c r="BG887">
        <v>31</v>
      </c>
      <c r="BH887">
        <v>26</v>
      </c>
      <c r="BI887">
        <v>27.27</v>
      </c>
      <c r="BJ887">
        <v>130</v>
      </c>
      <c r="BK887">
        <v>88</v>
      </c>
      <c r="BL887">
        <v>216</v>
      </c>
      <c r="BM887">
        <v>1.9622999999999999</v>
      </c>
    </row>
    <row r="888" spans="1:65" x14ac:dyDescent="0.25">
      <c r="A888" t="s">
        <v>951</v>
      </c>
      <c r="B888" t="s">
        <v>1930</v>
      </c>
      <c r="C888" t="s">
        <v>2160</v>
      </c>
      <c r="D888" s="1">
        <v>45463</v>
      </c>
      <c r="E888" s="1">
        <v>45508</v>
      </c>
      <c r="F888" s="1">
        <v>45583</v>
      </c>
      <c r="G888" t="s">
        <v>2166</v>
      </c>
      <c r="I888" t="s">
        <v>2175</v>
      </c>
      <c r="J888">
        <v>14789</v>
      </c>
      <c r="K888">
        <v>443</v>
      </c>
      <c r="L888">
        <v>9.9</v>
      </c>
      <c r="M888">
        <v>8.9</v>
      </c>
      <c r="N888">
        <v>3</v>
      </c>
      <c r="O888">
        <v>6782</v>
      </c>
      <c r="P888" t="s">
        <v>2177</v>
      </c>
      <c r="Q888">
        <v>14</v>
      </c>
      <c r="R888">
        <v>19</v>
      </c>
      <c r="S888">
        <v>20</v>
      </c>
      <c r="T888">
        <v>279</v>
      </c>
      <c r="U888" t="s">
        <v>2165</v>
      </c>
      <c r="W888" t="s">
        <v>2209</v>
      </c>
      <c r="X888" t="s">
        <v>2211</v>
      </c>
      <c r="Y888" t="s">
        <v>2212</v>
      </c>
      <c r="Z888" s="1">
        <v>45561</v>
      </c>
      <c r="AA888" s="1">
        <v>45579</v>
      </c>
      <c r="AB888" t="s">
        <v>2214</v>
      </c>
      <c r="AC888" t="s">
        <v>2209</v>
      </c>
      <c r="AD888" t="s">
        <v>2218</v>
      </c>
      <c r="AE888" t="s">
        <v>2165</v>
      </c>
      <c r="AG888" t="s">
        <v>2221</v>
      </c>
      <c r="AH888">
        <v>53</v>
      </c>
      <c r="AI888">
        <v>71</v>
      </c>
      <c r="AJ888">
        <v>18</v>
      </c>
      <c r="AK888">
        <v>8</v>
      </c>
      <c r="AL888" t="s">
        <v>2232</v>
      </c>
      <c r="AM888">
        <v>0</v>
      </c>
      <c r="AN888" t="s">
        <v>2177</v>
      </c>
      <c r="AO888" t="s">
        <v>2176</v>
      </c>
      <c r="AP888" t="s">
        <v>2176</v>
      </c>
      <c r="AQ888">
        <v>88.110000000000014</v>
      </c>
      <c r="AR888">
        <v>2</v>
      </c>
      <c r="AS888">
        <v>2</v>
      </c>
      <c r="AT888">
        <v>1</v>
      </c>
      <c r="AU888">
        <v>1</v>
      </c>
      <c r="AV888">
        <v>1.333333333333333</v>
      </c>
      <c r="AW888">
        <v>4.5999999999999996</v>
      </c>
      <c r="AY888">
        <v>4.8</v>
      </c>
      <c r="AZ888">
        <v>1</v>
      </c>
      <c r="BA888">
        <v>3</v>
      </c>
      <c r="BB888">
        <v>36</v>
      </c>
      <c r="BC888">
        <v>26</v>
      </c>
      <c r="BD888">
        <v>31.73</v>
      </c>
      <c r="BE888">
        <v>152</v>
      </c>
      <c r="BF888">
        <v>88.1</v>
      </c>
      <c r="BG888">
        <v>41</v>
      </c>
      <c r="BH888">
        <v>26</v>
      </c>
      <c r="BI888">
        <v>36.15</v>
      </c>
      <c r="BJ888">
        <v>176</v>
      </c>
      <c r="BK888">
        <v>88.2</v>
      </c>
      <c r="BL888">
        <v>152</v>
      </c>
      <c r="BM888">
        <v>3.7412000000000001</v>
      </c>
    </row>
    <row r="889" spans="1:65" x14ac:dyDescent="0.25">
      <c r="A889" t="s">
        <v>952</v>
      </c>
      <c r="B889" t="s">
        <v>1931</v>
      </c>
      <c r="C889" t="s">
        <v>2158</v>
      </c>
      <c r="D889" s="1">
        <v>45329</v>
      </c>
      <c r="E889" s="1">
        <v>45357</v>
      </c>
      <c r="F889" s="1">
        <v>45472</v>
      </c>
      <c r="G889" t="s">
        <v>2163</v>
      </c>
      <c r="I889" t="s">
        <v>2173</v>
      </c>
      <c r="J889">
        <v>33698</v>
      </c>
      <c r="K889">
        <v>1010</v>
      </c>
      <c r="L889">
        <v>5</v>
      </c>
      <c r="M889">
        <v>10.199999999999999</v>
      </c>
      <c r="N889">
        <v>4</v>
      </c>
      <c r="O889">
        <v>6524</v>
      </c>
      <c r="P889" t="s">
        <v>2177</v>
      </c>
      <c r="Q889">
        <v>26</v>
      </c>
      <c r="R889">
        <v>42</v>
      </c>
      <c r="S889">
        <v>35</v>
      </c>
      <c r="T889">
        <v>327</v>
      </c>
      <c r="U889" t="s">
        <v>2166</v>
      </c>
      <c r="W889" t="s">
        <v>2209</v>
      </c>
      <c r="X889" t="s">
        <v>2211</v>
      </c>
      <c r="Y889" t="s">
        <v>2212</v>
      </c>
      <c r="Z889" s="1">
        <v>45460</v>
      </c>
      <c r="AA889" s="1">
        <v>45479</v>
      </c>
      <c r="AB889" t="s">
        <v>2215</v>
      </c>
      <c r="AC889" t="s">
        <v>2208</v>
      </c>
      <c r="AD889" t="s">
        <v>2218</v>
      </c>
      <c r="AE889" t="s">
        <v>2166</v>
      </c>
      <c r="AG889" t="s">
        <v>2221</v>
      </c>
      <c r="AH889">
        <v>103</v>
      </c>
      <c r="AI889">
        <v>122</v>
      </c>
      <c r="AJ889">
        <v>19</v>
      </c>
      <c r="AK889">
        <v>3</v>
      </c>
      <c r="AL889" t="s">
        <v>2227</v>
      </c>
      <c r="AM889">
        <v>0</v>
      </c>
      <c r="AN889" t="s">
        <v>2177</v>
      </c>
      <c r="AO889" t="s">
        <v>2177</v>
      </c>
      <c r="AP889" t="s">
        <v>2176</v>
      </c>
      <c r="AQ889">
        <v>51</v>
      </c>
      <c r="AR889">
        <v>2</v>
      </c>
      <c r="AS889">
        <v>2</v>
      </c>
      <c r="AT889">
        <v>2</v>
      </c>
      <c r="AU889">
        <v>1</v>
      </c>
      <c r="AV889">
        <v>1.666666666666667</v>
      </c>
      <c r="AW889">
        <v>4.8</v>
      </c>
      <c r="AY889">
        <v>4.4000000000000004</v>
      </c>
      <c r="AZ889">
        <v>2</v>
      </c>
      <c r="BA889">
        <v>2</v>
      </c>
      <c r="BB889">
        <v>49</v>
      </c>
      <c r="BC889">
        <v>26</v>
      </c>
      <c r="BD889">
        <v>43.12</v>
      </c>
      <c r="BE889">
        <v>216</v>
      </c>
      <c r="BF889">
        <v>88</v>
      </c>
      <c r="BG889">
        <v>35</v>
      </c>
      <c r="BH889">
        <v>26</v>
      </c>
      <c r="BI889">
        <v>31.08</v>
      </c>
      <c r="BJ889">
        <v>149</v>
      </c>
      <c r="BK889">
        <v>88.8</v>
      </c>
      <c r="BL889">
        <v>216</v>
      </c>
      <c r="BM889">
        <v>5.9992999999999999</v>
      </c>
    </row>
    <row r="890" spans="1:65" x14ac:dyDescent="0.25">
      <c r="A890" t="s">
        <v>953</v>
      </c>
      <c r="B890" t="s">
        <v>1932</v>
      </c>
      <c r="C890" t="s">
        <v>2158</v>
      </c>
      <c r="D890" s="1">
        <v>45386</v>
      </c>
      <c r="E890" s="1">
        <v>45424</v>
      </c>
      <c r="F890" s="1">
        <v>45526</v>
      </c>
      <c r="G890" t="s">
        <v>2163</v>
      </c>
      <c r="I890" t="s">
        <v>2175</v>
      </c>
      <c r="J890">
        <v>33473</v>
      </c>
      <c r="K890">
        <v>1004</v>
      </c>
      <c r="L890">
        <v>5.3</v>
      </c>
      <c r="M890">
        <v>7.8</v>
      </c>
      <c r="N890">
        <v>5</v>
      </c>
      <c r="O890">
        <v>7885</v>
      </c>
      <c r="P890" t="s">
        <v>2177</v>
      </c>
      <c r="Q890">
        <v>18</v>
      </c>
      <c r="R890">
        <v>30</v>
      </c>
      <c r="S890">
        <v>48</v>
      </c>
      <c r="T890">
        <v>348</v>
      </c>
      <c r="U890" t="s">
        <v>2166</v>
      </c>
      <c r="W890" t="s">
        <v>2209</v>
      </c>
      <c r="X890" t="s">
        <v>2211</v>
      </c>
      <c r="Y890" t="s">
        <v>2212</v>
      </c>
      <c r="Z890" s="1">
        <v>45520</v>
      </c>
      <c r="AA890" s="1">
        <v>45539</v>
      </c>
      <c r="AB890" t="s">
        <v>2215</v>
      </c>
      <c r="AC890" t="s">
        <v>2208</v>
      </c>
      <c r="AD890" t="s">
        <v>2218</v>
      </c>
      <c r="AE890" t="s">
        <v>2166</v>
      </c>
      <c r="AG890" t="s">
        <v>2221</v>
      </c>
      <c r="AH890">
        <v>96</v>
      </c>
      <c r="AI890">
        <v>115</v>
      </c>
      <c r="AJ890">
        <v>19</v>
      </c>
      <c r="AK890">
        <v>5</v>
      </c>
      <c r="AL890" t="s">
        <v>2224</v>
      </c>
      <c r="AM890">
        <v>0</v>
      </c>
      <c r="AN890" t="s">
        <v>2177</v>
      </c>
      <c r="AO890" t="s">
        <v>2177</v>
      </c>
      <c r="AP890" t="s">
        <v>2177</v>
      </c>
      <c r="AQ890">
        <v>41.34</v>
      </c>
      <c r="AR890">
        <v>2</v>
      </c>
      <c r="AS890">
        <v>2</v>
      </c>
      <c r="AT890">
        <v>2</v>
      </c>
      <c r="AU890">
        <v>2</v>
      </c>
      <c r="AV890">
        <v>2</v>
      </c>
      <c r="AW890">
        <v>4.8</v>
      </c>
      <c r="AY890">
        <v>4.4000000000000004</v>
      </c>
      <c r="AZ890">
        <v>2</v>
      </c>
      <c r="BA890">
        <v>3</v>
      </c>
      <c r="BB890">
        <v>43</v>
      </c>
      <c r="BC890">
        <v>27</v>
      </c>
      <c r="BD890">
        <v>37.299999999999997</v>
      </c>
      <c r="BE890">
        <v>193</v>
      </c>
      <c r="BF890">
        <v>86.7</v>
      </c>
      <c r="BG890">
        <v>38</v>
      </c>
      <c r="BH890">
        <v>27</v>
      </c>
      <c r="BI890">
        <v>33.33</v>
      </c>
      <c r="BJ890">
        <v>171</v>
      </c>
      <c r="BK890">
        <v>87.7</v>
      </c>
      <c r="BL890">
        <v>193</v>
      </c>
      <c r="BM890">
        <v>6.4222999999999999</v>
      </c>
    </row>
    <row r="891" spans="1:65" x14ac:dyDescent="0.25">
      <c r="A891" t="s">
        <v>954</v>
      </c>
      <c r="B891" t="s">
        <v>1933</v>
      </c>
      <c r="C891" t="s">
        <v>2158</v>
      </c>
      <c r="D891" s="1">
        <v>45270</v>
      </c>
      <c r="E891" s="1">
        <v>45326</v>
      </c>
      <c r="F891" s="1">
        <v>45369</v>
      </c>
      <c r="G891" t="s">
        <v>2165</v>
      </c>
      <c r="I891" t="s">
        <v>2173</v>
      </c>
      <c r="J891">
        <v>12710</v>
      </c>
      <c r="K891">
        <v>381</v>
      </c>
      <c r="L891">
        <v>11.8</v>
      </c>
      <c r="M891">
        <v>10.7</v>
      </c>
      <c r="N891">
        <v>7</v>
      </c>
      <c r="O891">
        <v>11865</v>
      </c>
      <c r="P891" t="s">
        <v>2175</v>
      </c>
      <c r="Q891">
        <v>9</v>
      </c>
      <c r="R891">
        <v>15</v>
      </c>
      <c r="S891">
        <v>11</v>
      </c>
      <c r="T891">
        <v>363</v>
      </c>
      <c r="U891" t="s">
        <v>2166</v>
      </c>
      <c r="W891" t="s">
        <v>2209</v>
      </c>
      <c r="X891" t="s">
        <v>2211</v>
      </c>
      <c r="Y891" t="s">
        <v>2212</v>
      </c>
      <c r="Z891" s="1">
        <v>45361</v>
      </c>
      <c r="AA891" s="1">
        <v>45382</v>
      </c>
      <c r="AB891" t="s">
        <v>2215</v>
      </c>
      <c r="AC891" t="s">
        <v>2208</v>
      </c>
      <c r="AD891" t="s">
        <v>2218</v>
      </c>
      <c r="AE891" t="s">
        <v>2166</v>
      </c>
      <c r="AG891" t="s">
        <v>2221</v>
      </c>
      <c r="AH891">
        <v>35</v>
      </c>
      <c r="AI891">
        <v>56</v>
      </c>
      <c r="AJ891">
        <v>21</v>
      </c>
      <c r="AK891">
        <v>2</v>
      </c>
      <c r="AL891" t="s">
        <v>2228</v>
      </c>
      <c r="AM891">
        <v>0</v>
      </c>
      <c r="AN891" t="s">
        <v>2175</v>
      </c>
      <c r="AO891" t="s">
        <v>2175</v>
      </c>
      <c r="AP891" t="s">
        <v>2177</v>
      </c>
      <c r="AQ891">
        <v>126.26</v>
      </c>
      <c r="AR891">
        <v>3</v>
      </c>
      <c r="AS891">
        <v>3</v>
      </c>
      <c r="AT891">
        <v>3</v>
      </c>
      <c r="AU891">
        <v>2</v>
      </c>
      <c r="AV891">
        <v>2.666666666666667</v>
      </c>
      <c r="AW891">
        <v>4.8</v>
      </c>
      <c r="AY891">
        <v>4.5999999999999996</v>
      </c>
      <c r="AZ891">
        <v>2</v>
      </c>
      <c r="BA891">
        <v>2</v>
      </c>
      <c r="BB891">
        <v>40</v>
      </c>
      <c r="BC891">
        <v>24</v>
      </c>
      <c r="BD891">
        <v>35.54</v>
      </c>
      <c r="BE891">
        <v>160</v>
      </c>
      <c r="BF891">
        <v>88.8</v>
      </c>
      <c r="BG891">
        <v>36</v>
      </c>
      <c r="BH891">
        <v>24</v>
      </c>
      <c r="BI891">
        <v>31.79</v>
      </c>
      <c r="BJ891">
        <v>142</v>
      </c>
      <c r="BK891">
        <v>88.3</v>
      </c>
      <c r="BL891">
        <v>160</v>
      </c>
      <c r="BM891">
        <v>3.3090000000000002</v>
      </c>
    </row>
    <row r="892" spans="1:65" x14ac:dyDescent="0.25">
      <c r="A892" t="s">
        <v>955</v>
      </c>
      <c r="B892" t="s">
        <v>1452</v>
      </c>
      <c r="C892" t="s">
        <v>2159</v>
      </c>
      <c r="D892" s="1">
        <v>45431</v>
      </c>
      <c r="E892" s="1">
        <v>45452</v>
      </c>
      <c r="F892" s="1">
        <v>45582</v>
      </c>
      <c r="G892" t="s">
        <v>2164</v>
      </c>
      <c r="I892" t="s">
        <v>2173</v>
      </c>
      <c r="J892">
        <v>34005</v>
      </c>
      <c r="K892">
        <v>1020</v>
      </c>
      <c r="L892">
        <v>10.4</v>
      </c>
      <c r="M892">
        <v>4.4000000000000004</v>
      </c>
      <c r="N892">
        <v>4</v>
      </c>
      <c r="O892">
        <v>7024</v>
      </c>
      <c r="P892" t="s">
        <v>2177</v>
      </c>
      <c r="Q892">
        <v>29</v>
      </c>
      <c r="R892">
        <v>44</v>
      </c>
      <c r="S892">
        <v>50</v>
      </c>
      <c r="T892">
        <v>276</v>
      </c>
      <c r="U892" t="s">
        <v>2166</v>
      </c>
      <c r="W892" t="s">
        <v>2209</v>
      </c>
      <c r="X892" t="s">
        <v>2211</v>
      </c>
      <c r="Y892" t="s">
        <v>2212</v>
      </c>
      <c r="Z892" s="1">
        <v>45575</v>
      </c>
      <c r="AA892" s="1">
        <v>45588</v>
      </c>
      <c r="AB892" t="s">
        <v>2215</v>
      </c>
      <c r="AC892" t="s">
        <v>2208</v>
      </c>
      <c r="AD892" t="s">
        <v>2218</v>
      </c>
      <c r="AE892" t="s">
        <v>2166</v>
      </c>
      <c r="AG892" t="s">
        <v>2221</v>
      </c>
      <c r="AH892">
        <v>123</v>
      </c>
      <c r="AI892">
        <v>136</v>
      </c>
      <c r="AJ892">
        <v>13</v>
      </c>
      <c r="AK892">
        <v>6</v>
      </c>
      <c r="AL892" t="s">
        <v>2223</v>
      </c>
      <c r="AM892">
        <v>0</v>
      </c>
      <c r="AN892" t="s">
        <v>2177</v>
      </c>
      <c r="AO892" t="s">
        <v>2177</v>
      </c>
      <c r="AP892" t="s">
        <v>2177</v>
      </c>
      <c r="AQ892">
        <v>45.760000000000012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4.8</v>
      </c>
      <c r="AY892">
        <v>4.5</v>
      </c>
      <c r="AZ892">
        <v>0</v>
      </c>
      <c r="BA892">
        <v>2</v>
      </c>
      <c r="BB892">
        <v>45</v>
      </c>
      <c r="BC892">
        <v>25</v>
      </c>
      <c r="BD892">
        <v>39.200000000000003</v>
      </c>
      <c r="BE892">
        <v>186</v>
      </c>
      <c r="BF892">
        <v>87.1</v>
      </c>
      <c r="BG892">
        <v>33</v>
      </c>
      <c r="BH892">
        <v>25</v>
      </c>
      <c r="BI892">
        <v>28.64</v>
      </c>
      <c r="BJ892">
        <v>133</v>
      </c>
      <c r="BK892">
        <v>86.8</v>
      </c>
      <c r="BL892">
        <v>186</v>
      </c>
      <c r="BM892">
        <v>7.3113000000000001</v>
      </c>
    </row>
    <row r="893" spans="1:65" x14ac:dyDescent="0.25">
      <c r="A893" t="s">
        <v>956</v>
      </c>
      <c r="B893" t="s">
        <v>1934</v>
      </c>
      <c r="C893" t="s">
        <v>2157</v>
      </c>
      <c r="D893" s="1">
        <v>45393</v>
      </c>
      <c r="E893" s="1">
        <v>45450</v>
      </c>
      <c r="F893" s="1">
        <v>45581</v>
      </c>
      <c r="G893" t="s">
        <v>2165</v>
      </c>
      <c r="I893" t="s">
        <v>2173</v>
      </c>
      <c r="J893">
        <v>34789</v>
      </c>
      <c r="K893">
        <v>1043</v>
      </c>
      <c r="L893">
        <v>11.4</v>
      </c>
      <c r="M893">
        <v>4.3</v>
      </c>
      <c r="N893">
        <v>5</v>
      </c>
      <c r="O893">
        <v>12669</v>
      </c>
      <c r="P893" t="s">
        <v>2177</v>
      </c>
      <c r="Q893">
        <v>28</v>
      </c>
      <c r="R893">
        <v>35</v>
      </c>
      <c r="S893">
        <v>50</v>
      </c>
      <c r="T893">
        <v>307</v>
      </c>
      <c r="U893" t="s">
        <v>2166</v>
      </c>
      <c r="W893" t="s">
        <v>2209</v>
      </c>
      <c r="X893" t="s">
        <v>2211</v>
      </c>
      <c r="Y893" t="s">
        <v>2212</v>
      </c>
      <c r="Z893" s="1">
        <v>45563</v>
      </c>
      <c r="AA893" s="1">
        <v>45577</v>
      </c>
      <c r="AB893" t="s">
        <v>2214</v>
      </c>
      <c r="AC893" t="s">
        <v>2209</v>
      </c>
      <c r="AD893" t="s">
        <v>2218</v>
      </c>
      <c r="AE893" t="s">
        <v>2166</v>
      </c>
      <c r="AG893" t="s">
        <v>2221</v>
      </c>
      <c r="AH893">
        <v>113</v>
      </c>
      <c r="AI893">
        <v>127</v>
      </c>
      <c r="AJ893">
        <v>14</v>
      </c>
      <c r="AK893">
        <v>6</v>
      </c>
      <c r="AL893" t="s">
        <v>2223</v>
      </c>
      <c r="AM893">
        <v>0</v>
      </c>
      <c r="AN893" t="s">
        <v>2177</v>
      </c>
      <c r="AO893" t="s">
        <v>2177</v>
      </c>
      <c r="AP893" t="s">
        <v>2177</v>
      </c>
      <c r="AQ893">
        <v>49.02</v>
      </c>
      <c r="AR893">
        <v>2</v>
      </c>
      <c r="AS893">
        <v>2</v>
      </c>
      <c r="AT893">
        <v>2</v>
      </c>
      <c r="AU893">
        <v>2</v>
      </c>
      <c r="AV893">
        <v>2</v>
      </c>
      <c r="AW893">
        <v>4.8</v>
      </c>
      <c r="AY893">
        <v>4.5999999999999996</v>
      </c>
      <c r="AZ893">
        <v>3</v>
      </c>
      <c r="BA893">
        <v>2</v>
      </c>
      <c r="BB893">
        <v>45</v>
      </c>
      <c r="BC893">
        <v>25</v>
      </c>
      <c r="BD893">
        <v>39.200000000000003</v>
      </c>
      <c r="BE893">
        <v>186</v>
      </c>
      <c r="BF893">
        <v>87.1</v>
      </c>
      <c r="BG893">
        <v>40</v>
      </c>
      <c r="BH893">
        <v>25</v>
      </c>
      <c r="BI893">
        <v>34.72</v>
      </c>
      <c r="BJ893">
        <v>161</v>
      </c>
      <c r="BK893">
        <v>86.8</v>
      </c>
      <c r="BL893">
        <v>186</v>
      </c>
      <c r="BM893">
        <v>7.4798999999999998</v>
      </c>
    </row>
    <row r="894" spans="1:65" x14ac:dyDescent="0.25">
      <c r="A894" t="s">
        <v>957</v>
      </c>
      <c r="B894" t="s">
        <v>1935</v>
      </c>
      <c r="C894" t="s">
        <v>2158</v>
      </c>
      <c r="D894" s="1">
        <v>45359</v>
      </c>
      <c r="E894" s="1">
        <v>45417</v>
      </c>
      <c r="F894" s="1">
        <v>45489</v>
      </c>
      <c r="G894" t="s">
        <v>2161</v>
      </c>
      <c r="I894" t="s">
        <v>2173</v>
      </c>
      <c r="J894">
        <v>25812</v>
      </c>
      <c r="K894">
        <v>774</v>
      </c>
      <c r="L894">
        <v>4.8</v>
      </c>
      <c r="M894">
        <v>10.7</v>
      </c>
      <c r="N894">
        <v>4</v>
      </c>
      <c r="O894">
        <v>6779</v>
      </c>
      <c r="P894" t="s">
        <v>2177</v>
      </c>
      <c r="Q894">
        <v>18</v>
      </c>
      <c r="R894">
        <v>22</v>
      </c>
      <c r="S894">
        <v>24</v>
      </c>
      <c r="T894">
        <v>403</v>
      </c>
      <c r="U894" t="s">
        <v>2166</v>
      </c>
      <c r="W894" t="s">
        <v>2209</v>
      </c>
      <c r="X894" t="s">
        <v>2211</v>
      </c>
      <c r="Y894" t="s">
        <v>2212</v>
      </c>
      <c r="Z894" s="1">
        <v>45481</v>
      </c>
      <c r="AA894" s="1">
        <v>45496</v>
      </c>
      <c r="AB894" t="s">
        <v>2215</v>
      </c>
      <c r="AC894" t="s">
        <v>2208</v>
      </c>
      <c r="AD894" t="s">
        <v>2218</v>
      </c>
      <c r="AE894" t="s">
        <v>2166</v>
      </c>
      <c r="AG894" t="s">
        <v>2221</v>
      </c>
      <c r="AH894">
        <v>64</v>
      </c>
      <c r="AI894">
        <v>79</v>
      </c>
      <c r="AJ894">
        <v>15</v>
      </c>
      <c r="AK894">
        <v>5</v>
      </c>
      <c r="AL894" t="s">
        <v>2224</v>
      </c>
      <c r="AM894">
        <v>0</v>
      </c>
      <c r="AN894" t="s">
        <v>2177</v>
      </c>
      <c r="AO894" t="s">
        <v>2177</v>
      </c>
      <c r="AP894" t="s">
        <v>2176</v>
      </c>
      <c r="AQ894">
        <v>51.359999999999992</v>
      </c>
      <c r="AR894">
        <v>2</v>
      </c>
      <c r="AS894">
        <v>2</v>
      </c>
      <c r="AT894">
        <v>2</v>
      </c>
      <c r="AU894">
        <v>1</v>
      </c>
      <c r="AV894">
        <v>1.666666666666667</v>
      </c>
      <c r="AW894">
        <v>4.8</v>
      </c>
      <c r="AY894">
        <v>4.3</v>
      </c>
      <c r="AZ894">
        <v>2</v>
      </c>
      <c r="BA894">
        <v>2</v>
      </c>
      <c r="BB894">
        <v>43</v>
      </c>
      <c r="BC894">
        <v>27</v>
      </c>
      <c r="BD894">
        <v>37.299999999999997</v>
      </c>
      <c r="BE894">
        <v>193</v>
      </c>
      <c r="BF894">
        <v>86.7</v>
      </c>
      <c r="BG894">
        <v>33</v>
      </c>
      <c r="BH894">
        <v>27</v>
      </c>
      <c r="BI894">
        <v>28.96</v>
      </c>
      <c r="BJ894">
        <v>147</v>
      </c>
      <c r="BK894">
        <v>87.8</v>
      </c>
      <c r="BL894">
        <v>193</v>
      </c>
      <c r="BM894">
        <v>4.9523999999999999</v>
      </c>
    </row>
    <row r="895" spans="1:65" x14ac:dyDescent="0.25">
      <c r="A895" t="s">
        <v>958</v>
      </c>
      <c r="B895" t="s">
        <v>1936</v>
      </c>
      <c r="C895" t="s">
        <v>2157</v>
      </c>
      <c r="D895" s="1">
        <v>45347</v>
      </c>
      <c r="E895" s="1">
        <v>45397</v>
      </c>
      <c r="F895" s="1">
        <v>45498</v>
      </c>
      <c r="G895" t="s">
        <v>2165</v>
      </c>
      <c r="I895" t="s">
        <v>2175</v>
      </c>
      <c r="J895">
        <v>26733</v>
      </c>
      <c r="K895">
        <v>801</v>
      </c>
      <c r="L895">
        <v>5.8</v>
      </c>
      <c r="M895">
        <v>9.6999999999999993</v>
      </c>
      <c r="N895">
        <v>3</v>
      </c>
      <c r="O895">
        <v>11566</v>
      </c>
      <c r="P895" t="s">
        <v>2177</v>
      </c>
      <c r="Q895">
        <v>22</v>
      </c>
      <c r="R895">
        <v>35</v>
      </c>
      <c r="S895">
        <v>29</v>
      </c>
      <c r="T895">
        <v>310</v>
      </c>
      <c r="U895" t="s">
        <v>2166</v>
      </c>
      <c r="W895" t="s">
        <v>2209</v>
      </c>
      <c r="X895" t="s">
        <v>2211</v>
      </c>
      <c r="Y895" t="s">
        <v>2212</v>
      </c>
      <c r="Z895" s="1">
        <v>45483</v>
      </c>
      <c r="AA895" s="1">
        <v>45500</v>
      </c>
      <c r="AB895" t="s">
        <v>2214</v>
      </c>
      <c r="AC895" t="s">
        <v>2209</v>
      </c>
      <c r="AD895" t="s">
        <v>2218</v>
      </c>
      <c r="AE895" t="s">
        <v>2166</v>
      </c>
      <c r="AG895" t="s">
        <v>2221</v>
      </c>
      <c r="AH895">
        <v>86</v>
      </c>
      <c r="AI895">
        <v>103</v>
      </c>
      <c r="AJ895">
        <v>17</v>
      </c>
      <c r="AK895">
        <v>4</v>
      </c>
      <c r="AL895" t="s">
        <v>2225</v>
      </c>
      <c r="AM895">
        <v>0</v>
      </c>
      <c r="AN895" t="s">
        <v>2177</v>
      </c>
      <c r="AO895" t="s">
        <v>2176</v>
      </c>
      <c r="AP895" t="s">
        <v>2177</v>
      </c>
      <c r="AQ895">
        <v>56.259999999999991</v>
      </c>
      <c r="AR895">
        <v>2</v>
      </c>
      <c r="AS895">
        <v>2</v>
      </c>
      <c r="AT895">
        <v>1</v>
      </c>
      <c r="AU895">
        <v>2</v>
      </c>
      <c r="AV895">
        <v>1.666666666666667</v>
      </c>
      <c r="AW895">
        <v>4.8</v>
      </c>
      <c r="AY895">
        <v>4.5999999999999996</v>
      </c>
      <c r="AZ895">
        <v>3</v>
      </c>
      <c r="BA895">
        <v>3</v>
      </c>
      <c r="BB895">
        <v>45</v>
      </c>
      <c r="BC895">
        <v>26</v>
      </c>
      <c r="BD895">
        <v>40.270000000000003</v>
      </c>
      <c r="BE895">
        <v>199</v>
      </c>
      <c r="BF895">
        <v>89.5</v>
      </c>
      <c r="BG895">
        <v>46</v>
      </c>
      <c r="BH895">
        <v>26</v>
      </c>
      <c r="BI895">
        <v>40.729999999999997</v>
      </c>
      <c r="BJ895">
        <v>203</v>
      </c>
      <c r="BK895">
        <v>88.5</v>
      </c>
      <c r="BL895">
        <v>199</v>
      </c>
      <c r="BM895">
        <v>5.1657999999999999</v>
      </c>
    </row>
    <row r="896" spans="1:65" x14ac:dyDescent="0.25">
      <c r="A896" t="s">
        <v>959</v>
      </c>
      <c r="B896" t="s">
        <v>1937</v>
      </c>
      <c r="C896" t="s">
        <v>2158</v>
      </c>
      <c r="D896" s="1">
        <v>45430</v>
      </c>
      <c r="E896" s="1">
        <v>45481</v>
      </c>
      <c r="F896" s="1">
        <v>45528</v>
      </c>
      <c r="G896" t="s">
        <v>2166</v>
      </c>
      <c r="I896" t="s">
        <v>2175</v>
      </c>
      <c r="J896">
        <v>12071</v>
      </c>
      <c r="K896">
        <v>362</v>
      </c>
      <c r="L896">
        <v>13.5</v>
      </c>
      <c r="M896">
        <v>13</v>
      </c>
      <c r="N896">
        <v>7</v>
      </c>
      <c r="O896">
        <v>9133</v>
      </c>
      <c r="P896" t="s">
        <v>2175</v>
      </c>
      <c r="Q896">
        <v>7</v>
      </c>
      <c r="R896">
        <v>11</v>
      </c>
      <c r="S896">
        <v>20</v>
      </c>
      <c r="T896">
        <v>317</v>
      </c>
      <c r="U896" t="s">
        <v>2165</v>
      </c>
      <c r="W896" t="s">
        <v>2209</v>
      </c>
      <c r="X896" t="s">
        <v>2211</v>
      </c>
      <c r="Y896" t="s">
        <v>2212</v>
      </c>
      <c r="Z896" s="1">
        <v>45519</v>
      </c>
      <c r="AA896" s="1">
        <v>45535</v>
      </c>
      <c r="AB896" t="s">
        <v>2215</v>
      </c>
      <c r="AC896" t="s">
        <v>2208</v>
      </c>
      <c r="AD896" t="s">
        <v>2218</v>
      </c>
      <c r="AE896" t="s">
        <v>2165</v>
      </c>
      <c r="AG896" t="s">
        <v>2221</v>
      </c>
      <c r="AH896">
        <v>38</v>
      </c>
      <c r="AI896">
        <v>54</v>
      </c>
      <c r="AJ896">
        <v>16</v>
      </c>
      <c r="AK896">
        <v>7</v>
      </c>
      <c r="AL896" t="s">
        <v>2226</v>
      </c>
      <c r="AM896">
        <v>0</v>
      </c>
      <c r="AN896" t="s">
        <v>2175</v>
      </c>
      <c r="AO896" t="s">
        <v>2175</v>
      </c>
      <c r="AP896" t="s">
        <v>2177</v>
      </c>
      <c r="AQ896">
        <v>175.5</v>
      </c>
      <c r="AR896">
        <v>3</v>
      </c>
      <c r="AS896">
        <v>3</v>
      </c>
      <c r="AT896">
        <v>3</v>
      </c>
      <c r="AU896">
        <v>2</v>
      </c>
      <c r="AV896">
        <v>2.666666666666667</v>
      </c>
      <c r="AW896">
        <v>4.5999999999999996</v>
      </c>
      <c r="AY896">
        <v>4.8</v>
      </c>
      <c r="AZ896">
        <v>2</v>
      </c>
      <c r="BA896">
        <v>3</v>
      </c>
      <c r="BB896">
        <v>38</v>
      </c>
      <c r="BC896">
        <v>27</v>
      </c>
      <c r="BD896">
        <v>34</v>
      </c>
      <c r="BE896">
        <v>174</v>
      </c>
      <c r="BF896">
        <v>89.5</v>
      </c>
      <c r="BG896">
        <v>48</v>
      </c>
      <c r="BH896">
        <v>27</v>
      </c>
      <c r="BI896">
        <v>42.33</v>
      </c>
      <c r="BJ896">
        <v>216</v>
      </c>
      <c r="BK896">
        <v>88.2</v>
      </c>
      <c r="BL896">
        <v>174</v>
      </c>
      <c r="BM896">
        <v>2.5688</v>
      </c>
    </row>
    <row r="897" spans="1:65" x14ac:dyDescent="0.25">
      <c r="A897" t="s">
        <v>960</v>
      </c>
      <c r="B897" t="s">
        <v>1938</v>
      </c>
      <c r="C897" t="s">
        <v>2160</v>
      </c>
      <c r="D897" s="1">
        <v>45534</v>
      </c>
      <c r="E897" s="1">
        <v>45575</v>
      </c>
      <c r="F897" s="1">
        <v>45664</v>
      </c>
      <c r="G897" t="s">
        <v>2162</v>
      </c>
      <c r="I897" t="s">
        <v>2173</v>
      </c>
      <c r="J897">
        <v>17896</v>
      </c>
      <c r="K897">
        <v>536</v>
      </c>
      <c r="L897">
        <v>10.1</v>
      </c>
      <c r="M897">
        <v>5.6</v>
      </c>
      <c r="N897">
        <v>5</v>
      </c>
      <c r="O897">
        <v>11475</v>
      </c>
      <c r="P897" t="s">
        <v>2177</v>
      </c>
      <c r="Q897">
        <v>13</v>
      </c>
      <c r="R897">
        <v>19</v>
      </c>
      <c r="S897">
        <v>34</v>
      </c>
      <c r="T897">
        <v>271</v>
      </c>
      <c r="U897" t="s">
        <v>2166</v>
      </c>
      <c r="W897" t="s">
        <v>2209</v>
      </c>
      <c r="X897" t="s">
        <v>2211</v>
      </c>
      <c r="Y897" t="s">
        <v>2212</v>
      </c>
      <c r="Z897" s="1">
        <v>45641</v>
      </c>
      <c r="AA897" s="1">
        <v>45658</v>
      </c>
      <c r="AB897" t="s">
        <v>2214</v>
      </c>
      <c r="AC897" t="s">
        <v>2209</v>
      </c>
      <c r="AD897" t="s">
        <v>2218</v>
      </c>
      <c r="AE897" t="s">
        <v>2166</v>
      </c>
      <c r="AG897" t="s">
        <v>2221</v>
      </c>
      <c r="AH897">
        <v>66</v>
      </c>
      <c r="AI897">
        <v>83</v>
      </c>
      <c r="AJ897">
        <v>17</v>
      </c>
      <c r="AK897">
        <v>10</v>
      </c>
      <c r="AL897" t="s">
        <v>2230</v>
      </c>
      <c r="AM897">
        <v>1</v>
      </c>
      <c r="AN897" t="s">
        <v>2177</v>
      </c>
      <c r="AO897" t="s">
        <v>2177</v>
      </c>
      <c r="AP897" t="s">
        <v>2177</v>
      </c>
      <c r="AQ897">
        <v>56.56</v>
      </c>
      <c r="AR897">
        <v>2</v>
      </c>
      <c r="AS897">
        <v>2</v>
      </c>
      <c r="AT897">
        <v>2</v>
      </c>
      <c r="AU897">
        <v>2</v>
      </c>
      <c r="AV897">
        <v>2</v>
      </c>
      <c r="AW897">
        <v>4.8</v>
      </c>
      <c r="AY897">
        <v>4.2</v>
      </c>
      <c r="AZ897">
        <v>1</v>
      </c>
      <c r="BA897">
        <v>2</v>
      </c>
      <c r="BB897">
        <v>50</v>
      </c>
      <c r="BC897">
        <v>27</v>
      </c>
      <c r="BD897">
        <v>42.44</v>
      </c>
      <c r="BE897">
        <v>220</v>
      </c>
      <c r="BF897">
        <v>84.9</v>
      </c>
      <c r="BG897">
        <v>25</v>
      </c>
      <c r="BH897">
        <v>27</v>
      </c>
      <c r="BI897">
        <v>21.89</v>
      </c>
      <c r="BJ897">
        <v>108</v>
      </c>
      <c r="BK897">
        <v>87.6</v>
      </c>
      <c r="BL897">
        <v>220</v>
      </c>
      <c r="BM897">
        <v>3.0123000000000002</v>
      </c>
    </row>
    <row r="898" spans="1:65" x14ac:dyDescent="0.25">
      <c r="A898" t="s">
        <v>961</v>
      </c>
      <c r="B898" t="s">
        <v>1939</v>
      </c>
      <c r="C898" t="s">
        <v>2158</v>
      </c>
      <c r="D898" s="1">
        <v>45491</v>
      </c>
      <c r="E898" s="1">
        <v>45522</v>
      </c>
      <c r="F898" s="1">
        <v>45566</v>
      </c>
      <c r="G898" t="s">
        <v>2161</v>
      </c>
      <c r="I898" t="s">
        <v>2175</v>
      </c>
      <c r="J898">
        <v>12792</v>
      </c>
      <c r="K898">
        <v>383</v>
      </c>
      <c r="L898">
        <v>8.5</v>
      </c>
      <c r="M898">
        <v>11.5</v>
      </c>
      <c r="N898">
        <v>4</v>
      </c>
      <c r="O898">
        <v>5211</v>
      </c>
      <c r="P898" t="s">
        <v>2177</v>
      </c>
      <c r="Q898">
        <v>9</v>
      </c>
      <c r="R898">
        <v>13</v>
      </c>
      <c r="S898">
        <v>13</v>
      </c>
      <c r="T898">
        <v>365</v>
      </c>
      <c r="U898" t="s">
        <v>2166</v>
      </c>
      <c r="W898" t="s">
        <v>2209</v>
      </c>
      <c r="X898" t="s">
        <v>2211</v>
      </c>
      <c r="Y898" t="s">
        <v>2212</v>
      </c>
      <c r="Z898" s="1">
        <v>45557</v>
      </c>
      <c r="AA898" s="1">
        <v>45571</v>
      </c>
      <c r="AB898" t="s">
        <v>2215</v>
      </c>
      <c r="AC898" t="s">
        <v>2208</v>
      </c>
      <c r="AD898" t="s">
        <v>2218</v>
      </c>
      <c r="AE898" t="s">
        <v>2166</v>
      </c>
      <c r="AG898" t="s">
        <v>2221</v>
      </c>
      <c r="AH898">
        <v>35</v>
      </c>
      <c r="AI898">
        <v>49</v>
      </c>
      <c r="AJ898">
        <v>14</v>
      </c>
      <c r="AK898">
        <v>8</v>
      </c>
      <c r="AL898" t="s">
        <v>2232</v>
      </c>
      <c r="AM898">
        <v>0</v>
      </c>
      <c r="AN898" t="s">
        <v>2177</v>
      </c>
      <c r="AO898" t="s">
        <v>2177</v>
      </c>
      <c r="AP898" t="s">
        <v>2176</v>
      </c>
      <c r="AQ898">
        <v>97.75</v>
      </c>
      <c r="AR898">
        <v>2</v>
      </c>
      <c r="AS898">
        <v>2</v>
      </c>
      <c r="AT898">
        <v>2</v>
      </c>
      <c r="AU898">
        <v>1</v>
      </c>
      <c r="AV898">
        <v>1.666666666666667</v>
      </c>
      <c r="AW898">
        <v>4.8</v>
      </c>
      <c r="AY898">
        <v>4.3</v>
      </c>
      <c r="AZ898">
        <v>2</v>
      </c>
      <c r="BA898">
        <v>3</v>
      </c>
      <c r="BB898">
        <v>41</v>
      </c>
      <c r="BC898">
        <v>26</v>
      </c>
      <c r="BD898">
        <v>36.15</v>
      </c>
      <c r="BE898">
        <v>176</v>
      </c>
      <c r="BF898">
        <v>88.2</v>
      </c>
      <c r="BG898">
        <v>36</v>
      </c>
      <c r="BH898">
        <v>26</v>
      </c>
      <c r="BI898">
        <v>31.65</v>
      </c>
      <c r="BJ898">
        <v>152</v>
      </c>
      <c r="BK898">
        <v>87.9</v>
      </c>
      <c r="BL898">
        <v>176</v>
      </c>
      <c r="BM898">
        <v>2.7948</v>
      </c>
    </row>
    <row r="899" spans="1:65" x14ac:dyDescent="0.25">
      <c r="A899" t="s">
        <v>962</v>
      </c>
      <c r="B899" t="s">
        <v>1940</v>
      </c>
      <c r="C899" t="s">
        <v>2159</v>
      </c>
      <c r="D899" s="1">
        <v>45425</v>
      </c>
      <c r="E899" s="1">
        <v>45480</v>
      </c>
      <c r="F899" s="1">
        <v>45539</v>
      </c>
      <c r="G899" t="s">
        <v>2161</v>
      </c>
      <c r="I899" t="s">
        <v>2175</v>
      </c>
      <c r="J899">
        <v>16169</v>
      </c>
      <c r="K899">
        <v>485</v>
      </c>
      <c r="L899">
        <v>5</v>
      </c>
      <c r="M899">
        <v>4.2</v>
      </c>
      <c r="N899">
        <v>7</v>
      </c>
      <c r="O899">
        <v>7747</v>
      </c>
      <c r="P899" t="s">
        <v>2176</v>
      </c>
      <c r="Q899">
        <v>10</v>
      </c>
      <c r="R899">
        <v>12</v>
      </c>
      <c r="S899">
        <v>24</v>
      </c>
      <c r="T899">
        <v>351</v>
      </c>
      <c r="U899" t="s">
        <v>2166</v>
      </c>
      <c r="W899" t="s">
        <v>2209</v>
      </c>
      <c r="X899" t="s">
        <v>2211</v>
      </c>
      <c r="Y899" t="s">
        <v>2212</v>
      </c>
      <c r="Z899" s="1">
        <v>45526</v>
      </c>
      <c r="AA899" s="1">
        <v>45540</v>
      </c>
      <c r="AB899" t="s">
        <v>2214</v>
      </c>
      <c r="AC899" t="s">
        <v>2209</v>
      </c>
      <c r="AD899" t="s">
        <v>2218</v>
      </c>
      <c r="AE899" t="s">
        <v>2166</v>
      </c>
      <c r="AG899" t="s">
        <v>2221</v>
      </c>
      <c r="AH899">
        <v>46</v>
      </c>
      <c r="AI899">
        <v>60</v>
      </c>
      <c r="AJ899">
        <v>14</v>
      </c>
      <c r="AK899">
        <v>7</v>
      </c>
      <c r="AL899" t="s">
        <v>2226</v>
      </c>
      <c r="AM899">
        <v>0</v>
      </c>
      <c r="AN899" t="s">
        <v>2176</v>
      </c>
      <c r="AO899" t="s">
        <v>2175</v>
      </c>
      <c r="AP899" t="s">
        <v>2177</v>
      </c>
      <c r="AQ899">
        <v>21</v>
      </c>
      <c r="AR899">
        <v>1</v>
      </c>
      <c r="AS899">
        <v>1</v>
      </c>
      <c r="AT899">
        <v>3</v>
      </c>
      <c r="AU899">
        <v>2</v>
      </c>
      <c r="AV899">
        <v>2</v>
      </c>
      <c r="AW899">
        <v>4.8</v>
      </c>
      <c r="AY899">
        <v>4.3</v>
      </c>
      <c r="AZ899">
        <v>0</v>
      </c>
      <c r="BA899">
        <v>3</v>
      </c>
      <c r="BB899">
        <v>48</v>
      </c>
      <c r="BC899">
        <v>27</v>
      </c>
      <c r="BD899">
        <v>42.33</v>
      </c>
      <c r="BE899">
        <v>216</v>
      </c>
      <c r="BF899">
        <v>88.2</v>
      </c>
      <c r="BG899">
        <v>28</v>
      </c>
      <c r="BH899">
        <v>27</v>
      </c>
      <c r="BI899">
        <v>25.26</v>
      </c>
      <c r="BJ899">
        <v>129</v>
      </c>
      <c r="BK899">
        <v>90.2</v>
      </c>
      <c r="BL899">
        <v>216</v>
      </c>
      <c r="BM899">
        <v>2.7719999999999998</v>
      </c>
    </row>
    <row r="900" spans="1:65" x14ac:dyDescent="0.25">
      <c r="A900" t="s">
        <v>963</v>
      </c>
      <c r="B900" t="s">
        <v>1941</v>
      </c>
      <c r="C900" t="s">
        <v>2159</v>
      </c>
      <c r="D900" s="1">
        <v>45310</v>
      </c>
      <c r="E900" s="1">
        <v>45352</v>
      </c>
      <c r="F900" s="1">
        <v>45442</v>
      </c>
      <c r="G900" t="s">
        <v>2161</v>
      </c>
      <c r="I900" t="s">
        <v>2175</v>
      </c>
      <c r="J900">
        <v>20501</v>
      </c>
      <c r="K900">
        <v>615</v>
      </c>
      <c r="L900">
        <v>12.7</v>
      </c>
      <c r="M900">
        <v>9.9</v>
      </c>
      <c r="N900">
        <v>5</v>
      </c>
      <c r="O900">
        <v>6023</v>
      </c>
      <c r="P900" t="s">
        <v>2177</v>
      </c>
      <c r="Q900">
        <v>17</v>
      </c>
      <c r="R900">
        <v>26</v>
      </c>
      <c r="S900">
        <v>25</v>
      </c>
      <c r="T900">
        <v>301</v>
      </c>
      <c r="U900" t="s">
        <v>2166</v>
      </c>
      <c r="W900" t="s">
        <v>2209</v>
      </c>
      <c r="X900" t="s">
        <v>2211</v>
      </c>
      <c r="Y900" t="s">
        <v>2212</v>
      </c>
      <c r="Z900" s="1">
        <v>45420</v>
      </c>
      <c r="AA900" s="1">
        <v>45434</v>
      </c>
      <c r="AB900" t="s">
        <v>2214</v>
      </c>
      <c r="AC900" t="s">
        <v>2209</v>
      </c>
      <c r="AD900" t="s">
        <v>2218</v>
      </c>
      <c r="AE900" t="s">
        <v>2166</v>
      </c>
      <c r="AG900" t="s">
        <v>2221</v>
      </c>
      <c r="AH900">
        <v>68</v>
      </c>
      <c r="AI900">
        <v>82</v>
      </c>
      <c r="AJ900">
        <v>14</v>
      </c>
      <c r="AK900">
        <v>3</v>
      </c>
      <c r="AL900" t="s">
        <v>2227</v>
      </c>
      <c r="AM900">
        <v>0</v>
      </c>
      <c r="AN900" t="s">
        <v>2177</v>
      </c>
      <c r="AO900" t="s">
        <v>2177</v>
      </c>
      <c r="AP900" t="s">
        <v>2176</v>
      </c>
      <c r="AQ900">
        <v>125.73</v>
      </c>
      <c r="AR900">
        <v>2</v>
      </c>
      <c r="AS900">
        <v>2</v>
      </c>
      <c r="AT900">
        <v>2</v>
      </c>
      <c r="AU900">
        <v>1</v>
      </c>
      <c r="AV900">
        <v>1.666666666666667</v>
      </c>
      <c r="AW900">
        <v>4.8</v>
      </c>
      <c r="AY900">
        <v>4.3</v>
      </c>
      <c r="AZ900">
        <v>0</v>
      </c>
      <c r="BA900">
        <v>3</v>
      </c>
      <c r="BB900">
        <v>49</v>
      </c>
      <c r="BC900">
        <v>26</v>
      </c>
      <c r="BD900">
        <v>43.12</v>
      </c>
      <c r="BE900">
        <v>216</v>
      </c>
      <c r="BF900">
        <v>88</v>
      </c>
      <c r="BG900">
        <v>38</v>
      </c>
      <c r="BH900">
        <v>26</v>
      </c>
      <c r="BI900">
        <v>33.729999999999997</v>
      </c>
      <c r="BJ900">
        <v>164</v>
      </c>
      <c r="BK900">
        <v>88.8</v>
      </c>
      <c r="BL900">
        <v>216</v>
      </c>
      <c r="BM900">
        <v>3.6497999999999999</v>
      </c>
    </row>
    <row r="901" spans="1:65" x14ac:dyDescent="0.25">
      <c r="A901" t="s">
        <v>964</v>
      </c>
      <c r="B901" t="s">
        <v>1942</v>
      </c>
      <c r="C901" t="s">
        <v>2159</v>
      </c>
      <c r="D901" s="1">
        <v>45415</v>
      </c>
      <c r="E901" s="1">
        <v>45447</v>
      </c>
      <c r="F901" s="1">
        <v>45568</v>
      </c>
      <c r="G901" t="s">
        <v>2162</v>
      </c>
      <c r="I901" t="s">
        <v>2175</v>
      </c>
      <c r="J901">
        <v>33008</v>
      </c>
      <c r="K901">
        <v>990</v>
      </c>
      <c r="L901">
        <v>13.5</v>
      </c>
      <c r="M901">
        <v>9.4</v>
      </c>
      <c r="N901">
        <v>5</v>
      </c>
      <c r="O901">
        <v>12860</v>
      </c>
      <c r="P901" t="s">
        <v>2177</v>
      </c>
      <c r="Q901">
        <v>28</v>
      </c>
      <c r="R901">
        <v>36</v>
      </c>
      <c r="S901">
        <v>42</v>
      </c>
      <c r="T901">
        <v>311</v>
      </c>
      <c r="U901" t="s">
        <v>2166</v>
      </c>
      <c r="W901" t="s">
        <v>2209</v>
      </c>
      <c r="X901" t="s">
        <v>2211</v>
      </c>
      <c r="Y901" t="s">
        <v>2212</v>
      </c>
      <c r="Z901" s="1">
        <v>45553</v>
      </c>
      <c r="AA901" s="1">
        <v>45572</v>
      </c>
      <c r="AB901" t="s">
        <v>2214</v>
      </c>
      <c r="AC901" t="s">
        <v>2209</v>
      </c>
      <c r="AD901" t="s">
        <v>2218</v>
      </c>
      <c r="AE901" t="s">
        <v>2166</v>
      </c>
      <c r="AG901" t="s">
        <v>2221</v>
      </c>
      <c r="AH901">
        <v>106</v>
      </c>
      <c r="AI901">
        <v>125</v>
      </c>
      <c r="AJ901">
        <v>19</v>
      </c>
      <c r="AK901">
        <v>6</v>
      </c>
      <c r="AL901" t="s">
        <v>2223</v>
      </c>
      <c r="AM901">
        <v>0</v>
      </c>
      <c r="AN901" t="s">
        <v>2177</v>
      </c>
      <c r="AO901" t="s">
        <v>2177</v>
      </c>
      <c r="AP901" t="s">
        <v>2177</v>
      </c>
      <c r="AQ901">
        <v>126.9</v>
      </c>
      <c r="AR901">
        <v>2</v>
      </c>
      <c r="AS901">
        <v>2</v>
      </c>
      <c r="AT901">
        <v>2</v>
      </c>
      <c r="AU901">
        <v>2</v>
      </c>
      <c r="AV901">
        <v>2</v>
      </c>
      <c r="AW901">
        <v>4.8</v>
      </c>
      <c r="AY901">
        <v>4.2</v>
      </c>
      <c r="AZ901">
        <v>0</v>
      </c>
      <c r="BA901">
        <v>3</v>
      </c>
      <c r="BB901">
        <v>45</v>
      </c>
      <c r="BC901">
        <v>25</v>
      </c>
      <c r="BD901">
        <v>39.200000000000003</v>
      </c>
      <c r="BE901">
        <v>186</v>
      </c>
      <c r="BF901">
        <v>87.1</v>
      </c>
      <c r="BG901">
        <v>29</v>
      </c>
      <c r="BH901">
        <v>25</v>
      </c>
      <c r="BI901">
        <v>25.56</v>
      </c>
      <c r="BJ901">
        <v>117</v>
      </c>
      <c r="BK901">
        <v>88.1</v>
      </c>
      <c r="BL901">
        <v>186</v>
      </c>
      <c r="BM901">
        <v>7.0970000000000004</v>
      </c>
    </row>
    <row r="902" spans="1:65" x14ac:dyDescent="0.25">
      <c r="A902" t="s">
        <v>965</v>
      </c>
      <c r="B902" t="s">
        <v>1943</v>
      </c>
      <c r="C902" t="s">
        <v>2160</v>
      </c>
      <c r="D902" s="1">
        <v>45391</v>
      </c>
      <c r="E902" s="1">
        <v>45447</v>
      </c>
      <c r="F902" s="1">
        <v>45559</v>
      </c>
      <c r="G902" t="s">
        <v>2162</v>
      </c>
      <c r="I902" t="s">
        <v>2173</v>
      </c>
      <c r="J902">
        <v>34349</v>
      </c>
      <c r="K902">
        <v>1030</v>
      </c>
      <c r="L902">
        <v>13.3</v>
      </c>
      <c r="M902">
        <v>11.3</v>
      </c>
      <c r="N902">
        <v>5</v>
      </c>
      <c r="O902">
        <v>9421</v>
      </c>
      <c r="P902" t="s">
        <v>2175</v>
      </c>
      <c r="Q902">
        <v>19</v>
      </c>
      <c r="R902">
        <v>28</v>
      </c>
      <c r="S902">
        <v>60</v>
      </c>
      <c r="T902">
        <v>321</v>
      </c>
      <c r="U902" t="s">
        <v>2166</v>
      </c>
      <c r="W902" t="s">
        <v>2209</v>
      </c>
      <c r="X902" t="s">
        <v>2211</v>
      </c>
      <c r="Y902" t="s">
        <v>2212</v>
      </c>
      <c r="Z902" s="1">
        <v>45554</v>
      </c>
      <c r="AA902" s="1">
        <v>45569</v>
      </c>
      <c r="AB902" t="s">
        <v>2215</v>
      </c>
      <c r="AC902" t="s">
        <v>2208</v>
      </c>
      <c r="AD902" t="s">
        <v>2218</v>
      </c>
      <c r="AE902" t="s">
        <v>2166</v>
      </c>
      <c r="AG902" t="s">
        <v>2221</v>
      </c>
      <c r="AH902">
        <v>107</v>
      </c>
      <c r="AI902">
        <v>122</v>
      </c>
      <c r="AJ902">
        <v>15</v>
      </c>
      <c r="AK902">
        <v>6</v>
      </c>
      <c r="AL902" t="s">
        <v>2223</v>
      </c>
      <c r="AM902">
        <v>0</v>
      </c>
      <c r="AN902" t="s">
        <v>2175</v>
      </c>
      <c r="AO902" t="s">
        <v>2177</v>
      </c>
      <c r="AP902" t="s">
        <v>2177</v>
      </c>
      <c r="AQ902">
        <v>150.29</v>
      </c>
      <c r="AR902">
        <v>3</v>
      </c>
      <c r="AS902">
        <v>3</v>
      </c>
      <c r="AT902">
        <v>2</v>
      </c>
      <c r="AU902">
        <v>2</v>
      </c>
      <c r="AV902">
        <v>2.333333333333333</v>
      </c>
      <c r="AW902">
        <v>4.8</v>
      </c>
      <c r="AY902">
        <v>4.2</v>
      </c>
      <c r="AZ902">
        <v>1</v>
      </c>
      <c r="BA902">
        <v>2</v>
      </c>
      <c r="BB902">
        <v>45</v>
      </c>
      <c r="BC902">
        <v>25</v>
      </c>
      <c r="BD902">
        <v>39.200000000000003</v>
      </c>
      <c r="BE902">
        <v>186</v>
      </c>
      <c r="BF902">
        <v>87.1</v>
      </c>
      <c r="BG902">
        <v>29</v>
      </c>
      <c r="BH902">
        <v>25</v>
      </c>
      <c r="BI902">
        <v>25.56</v>
      </c>
      <c r="BJ902">
        <v>117</v>
      </c>
      <c r="BK902">
        <v>88.1</v>
      </c>
      <c r="BL902">
        <v>186</v>
      </c>
      <c r="BM902">
        <v>7.3853</v>
      </c>
    </row>
    <row r="903" spans="1:65" x14ac:dyDescent="0.25">
      <c r="A903" t="s">
        <v>966</v>
      </c>
      <c r="B903" t="s">
        <v>1944</v>
      </c>
      <c r="C903" t="s">
        <v>2160</v>
      </c>
      <c r="D903" s="1">
        <v>45295</v>
      </c>
      <c r="E903" s="1">
        <v>45330</v>
      </c>
      <c r="F903" s="1">
        <v>45398</v>
      </c>
      <c r="G903" t="s">
        <v>2163</v>
      </c>
      <c r="I903" t="s">
        <v>2173</v>
      </c>
      <c r="J903">
        <v>15875</v>
      </c>
      <c r="K903">
        <v>476</v>
      </c>
      <c r="L903">
        <v>5.7</v>
      </c>
      <c r="M903">
        <v>8.6</v>
      </c>
      <c r="N903">
        <v>3</v>
      </c>
      <c r="O903">
        <v>9687</v>
      </c>
      <c r="P903" t="s">
        <v>2177</v>
      </c>
      <c r="Q903">
        <v>13</v>
      </c>
      <c r="R903">
        <v>20</v>
      </c>
      <c r="S903">
        <v>15</v>
      </c>
      <c r="T903">
        <v>330</v>
      </c>
      <c r="U903" t="s">
        <v>2166</v>
      </c>
      <c r="W903" t="s">
        <v>2209</v>
      </c>
      <c r="X903" t="s">
        <v>2211</v>
      </c>
      <c r="Y903" t="s">
        <v>2212</v>
      </c>
      <c r="Z903" s="1">
        <v>45378</v>
      </c>
      <c r="AA903" s="1">
        <v>45397</v>
      </c>
      <c r="AB903" t="s">
        <v>2214</v>
      </c>
      <c r="AC903" t="s">
        <v>2209</v>
      </c>
      <c r="AD903" t="s">
        <v>2218</v>
      </c>
      <c r="AE903" t="s">
        <v>2166</v>
      </c>
      <c r="AG903" t="s">
        <v>2221</v>
      </c>
      <c r="AH903">
        <v>48</v>
      </c>
      <c r="AI903">
        <v>67</v>
      </c>
      <c r="AJ903">
        <v>19</v>
      </c>
      <c r="AK903">
        <v>2</v>
      </c>
      <c r="AL903" t="s">
        <v>2228</v>
      </c>
      <c r="AM903">
        <v>0</v>
      </c>
      <c r="AN903" t="s">
        <v>2177</v>
      </c>
      <c r="AO903" t="s">
        <v>2176</v>
      </c>
      <c r="AP903" t="s">
        <v>2177</v>
      </c>
      <c r="AQ903">
        <v>49.02</v>
      </c>
      <c r="AR903">
        <v>2</v>
      </c>
      <c r="AS903">
        <v>2</v>
      </c>
      <c r="AT903">
        <v>1</v>
      </c>
      <c r="AU903">
        <v>2</v>
      </c>
      <c r="AV903">
        <v>1.666666666666667</v>
      </c>
      <c r="AW903">
        <v>4.8</v>
      </c>
      <c r="AY903">
        <v>4.4000000000000004</v>
      </c>
      <c r="AZ903">
        <v>1</v>
      </c>
      <c r="BA903">
        <v>2</v>
      </c>
      <c r="BB903">
        <v>40</v>
      </c>
      <c r="BC903">
        <v>24</v>
      </c>
      <c r="BD903">
        <v>35.54</v>
      </c>
      <c r="BE903">
        <v>160</v>
      </c>
      <c r="BF903">
        <v>88.8</v>
      </c>
      <c r="BG903">
        <v>30</v>
      </c>
      <c r="BH903">
        <v>24</v>
      </c>
      <c r="BI903">
        <v>26.21</v>
      </c>
      <c r="BJ903">
        <v>116</v>
      </c>
      <c r="BK903">
        <v>87.4</v>
      </c>
      <c r="BL903">
        <v>160</v>
      </c>
      <c r="BM903">
        <v>4.133</v>
      </c>
    </row>
    <row r="904" spans="1:65" x14ac:dyDescent="0.25">
      <c r="A904" t="s">
        <v>967</v>
      </c>
      <c r="B904" t="s">
        <v>1945</v>
      </c>
      <c r="C904" t="s">
        <v>2157</v>
      </c>
      <c r="D904" s="1">
        <v>45492</v>
      </c>
      <c r="E904" s="1">
        <v>45539</v>
      </c>
      <c r="F904" s="1">
        <v>45599</v>
      </c>
      <c r="G904" t="s">
        <v>2162</v>
      </c>
      <c r="I904" t="s">
        <v>2175</v>
      </c>
      <c r="J904">
        <v>10850</v>
      </c>
      <c r="K904">
        <v>325</v>
      </c>
      <c r="L904">
        <v>6.6</v>
      </c>
      <c r="M904">
        <v>6.4</v>
      </c>
      <c r="N904">
        <v>5</v>
      </c>
      <c r="O904">
        <v>7451</v>
      </c>
      <c r="P904" t="s">
        <v>2177</v>
      </c>
      <c r="Q904">
        <v>10</v>
      </c>
      <c r="R904">
        <v>16</v>
      </c>
      <c r="S904">
        <v>14</v>
      </c>
      <c r="T904">
        <v>271</v>
      </c>
      <c r="U904" t="s">
        <v>2166</v>
      </c>
      <c r="W904" t="s">
        <v>2209</v>
      </c>
      <c r="X904" t="s">
        <v>2211</v>
      </c>
      <c r="Y904" t="s">
        <v>2212</v>
      </c>
      <c r="Z904" s="1">
        <v>45579</v>
      </c>
      <c r="AA904" s="1">
        <v>45600</v>
      </c>
      <c r="AB904" t="s">
        <v>2214</v>
      </c>
      <c r="AC904" t="s">
        <v>2209</v>
      </c>
      <c r="AD904" t="s">
        <v>2218</v>
      </c>
      <c r="AE904" t="s">
        <v>2166</v>
      </c>
      <c r="AG904" t="s">
        <v>2221</v>
      </c>
      <c r="AH904">
        <v>40</v>
      </c>
      <c r="AI904">
        <v>61</v>
      </c>
      <c r="AJ904">
        <v>21</v>
      </c>
      <c r="AK904">
        <v>9</v>
      </c>
      <c r="AL904" t="s">
        <v>2234</v>
      </c>
      <c r="AM904">
        <v>0</v>
      </c>
      <c r="AN904" t="s">
        <v>2177</v>
      </c>
      <c r="AO904" t="s">
        <v>2177</v>
      </c>
      <c r="AP904" t="s">
        <v>2177</v>
      </c>
      <c r="AQ904">
        <v>42.24</v>
      </c>
      <c r="AR904">
        <v>2</v>
      </c>
      <c r="AS904">
        <v>2</v>
      </c>
      <c r="AT904">
        <v>2</v>
      </c>
      <c r="AU904">
        <v>2</v>
      </c>
      <c r="AV904">
        <v>2</v>
      </c>
      <c r="AW904">
        <v>4.8</v>
      </c>
      <c r="AY904">
        <v>4.2</v>
      </c>
      <c r="AZ904">
        <v>3</v>
      </c>
      <c r="BA904">
        <v>3</v>
      </c>
      <c r="BB904">
        <v>48</v>
      </c>
      <c r="BC904">
        <v>26</v>
      </c>
      <c r="BD904">
        <v>42</v>
      </c>
      <c r="BE904">
        <v>204</v>
      </c>
      <c r="BF904">
        <v>87.5</v>
      </c>
      <c r="BG904">
        <v>30</v>
      </c>
      <c r="BH904">
        <v>26</v>
      </c>
      <c r="BI904">
        <v>26.54</v>
      </c>
      <c r="BJ904">
        <v>129</v>
      </c>
      <c r="BK904">
        <v>88.5</v>
      </c>
      <c r="BL904">
        <v>204</v>
      </c>
      <c r="BM904">
        <v>2.0451999999999999</v>
      </c>
    </row>
    <row r="905" spans="1:65" x14ac:dyDescent="0.25">
      <c r="A905" t="s">
        <v>968</v>
      </c>
      <c r="B905" t="s">
        <v>1946</v>
      </c>
      <c r="C905" t="s">
        <v>2159</v>
      </c>
      <c r="D905" s="1">
        <v>45252</v>
      </c>
      <c r="E905" s="1">
        <v>45302</v>
      </c>
      <c r="F905" s="1">
        <v>45399</v>
      </c>
      <c r="G905" t="s">
        <v>2161</v>
      </c>
      <c r="I905" t="s">
        <v>2173</v>
      </c>
      <c r="J905">
        <v>23269</v>
      </c>
      <c r="K905">
        <v>698</v>
      </c>
      <c r="L905">
        <v>13.2</v>
      </c>
      <c r="M905">
        <v>9.8000000000000007</v>
      </c>
      <c r="N905">
        <v>4</v>
      </c>
      <c r="O905">
        <v>6144</v>
      </c>
      <c r="P905" t="s">
        <v>2177</v>
      </c>
      <c r="Q905">
        <v>21</v>
      </c>
      <c r="R905">
        <v>28</v>
      </c>
      <c r="S905">
        <v>38</v>
      </c>
      <c r="T905">
        <v>267</v>
      </c>
      <c r="U905" t="s">
        <v>2166</v>
      </c>
      <c r="W905" t="s">
        <v>2209</v>
      </c>
      <c r="X905" t="s">
        <v>2211</v>
      </c>
      <c r="Y905" t="s">
        <v>2212</v>
      </c>
      <c r="Z905" s="1">
        <v>45389</v>
      </c>
      <c r="AA905" s="1">
        <v>45407</v>
      </c>
      <c r="AB905" t="s">
        <v>2215</v>
      </c>
      <c r="AC905" t="s">
        <v>2208</v>
      </c>
      <c r="AD905" t="s">
        <v>2218</v>
      </c>
      <c r="AE905" t="s">
        <v>2166</v>
      </c>
      <c r="AG905" t="s">
        <v>2221</v>
      </c>
      <c r="AH905">
        <v>87</v>
      </c>
      <c r="AI905">
        <v>105</v>
      </c>
      <c r="AJ905">
        <v>18</v>
      </c>
      <c r="AK905">
        <v>1</v>
      </c>
      <c r="AL905" t="s">
        <v>2233</v>
      </c>
      <c r="AM905">
        <v>0</v>
      </c>
      <c r="AN905" t="s">
        <v>2177</v>
      </c>
      <c r="AO905" t="s">
        <v>2177</v>
      </c>
      <c r="AP905" t="s">
        <v>2176</v>
      </c>
      <c r="AQ905">
        <v>129.36000000000001</v>
      </c>
      <c r="AR905">
        <v>2</v>
      </c>
      <c r="AS905">
        <v>2</v>
      </c>
      <c r="AT905">
        <v>2</v>
      </c>
      <c r="AU905">
        <v>1</v>
      </c>
      <c r="AV905">
        <v>1.666666666666667</v>
      </c>
      <c r="AW905">
        <v>4.8</v>
      </c>
      <c r="AY905">
        <v>4.3</v>
      </c>
      <c r="AZ905">
        <v>0</v>
      </c>
      <c r="BA905">
        <v>2</v>
      </c>
      <c r="BB905">
        <v>40</v>
      </c>
      <c r="BC905">
        <v>27</v>
      </c>
      <c r="BD905">
        <v>35.07</v>
      </c>
      <c r="BE905">
        <v>181</v>
      </c>
      <c r="BF905">
        <v>87.7</v>
      </c>
      <c r="BG905">
        <v>33</v>
      </c>
      <c r="BH905">
        <v>27</v>
      </c>
      <c r="BI905">
        <v>28.81</v>
      </c>
      <c r="BJ905">
        <v>146</v>
      </c>
      <c r="BK905">
        <v>87.3</v>
      </c>
      <c r="BL905">
        <v>181</v>
      </c>
      <c r="BM905">
        <v>4.7603999999999997</v>
      </c>
    </row>
    <row r="906" spans="1:65" x14ac:dyDescent="0.25">
      <c r="A906" t="s">
        <v>969</v>
      </c>
      <c r="B906" t="s">
        <v>1947</v>
      </c>
      <c r="C906" t="s">
        <v>2157</v>
      </c>
      <c r="D906" s="1">
        <v>45382</v>
      </c>
      <c r="E906" s="1">
        <v>45419</v>
      </c>
      <c r="F906" s="1">
        <v>45509</v>
      </c>
      <c r="G906" t="s">
        <v>2164</v>
      </c>
      <c r="I906" t="s">
        <v>2173</v>
      </c>
      <c r="J906">
        <v>29470</v>
      </c>
      <c r="K906">
        <v>884</v>
      </c>
      <c r="L906">
        <v>4.8</v>
      </c>
      <c r="M906">
        <v>6</v>
      </c>
      <c r="N906">
        <v>5</v>
      </c>
      <c r="O906">
        <v>7072</v>
      </c>
      <c r="P906" t="s">
        <v>2176</v>
      </c>
      <c r="Q906">
        <v>18</v>
      </c>
      <c r="R906">
        <v>24</v>
      </c>
      <c r="S906">
        <v>40</v>
      </c>
      <c r="T906">
        <v>359</v>
      </c>
      <c r="U906" t="s">
        <v>2166</v>
      </c>
      <c r="W906" t="s">
        <v>2209</v>
      </c>
      <c r="X906" t="s">
        <v>2211</v>
      </c>
      <c r="Y906" t="s">
        <v>2212</v>
      </c>
      <c r="Z906" s="1">
        <v>45501</v>
      </c>
      <c r="AA906" s="1">
        <v>45517</v>
      </c>
      <c r="AB906" t="s">
        <v>2215</v>
      </c>
      <c r="AC906" t="s">
        <v>2208</v>
      </c>
      <c r="AD906" t="s">
        <v>2218</v>
      </c>
      <c r="AE906" t="s">
        <v>2166</v>
      </c>
      <c r="AG906" t="s">
        <v>2221</v>
      </c>
      <c r="AH906">
        <v>82</v>
      </c>
      <c r="AI906">
        <v>98</v>
      </c>
      <c r="AJ906">
        <v>16</v>
      </c>
      <c r="AK906">
        <v>5</v>
      </c>
      <c r="AL906" t="s">
        <v>2224</v>
      </c>
      <c r="AM906">
        <v>0</v>
      </c>
      <c r="AN906" t="s">
        <v>2176</v>
      </c>
      <c r="AO906" t="s">
        <v>2177</v>
      </c>
      <c r="AP906" t="s">
        <v>2177</v>
      </c>
      <c r="AQ906">
        <v>28.8</v>
      </c>
      <c r="AR906">
        <v>1</v>
      </c>
      <c r="AS906">
        <v>1</v>
      </c>
      <c r="AT906">
        <v>2</v>
      </c>
      <c r="AU906">
        <v>2</v>
      </c>
      <c r="AV906">
        <v>1.666666666666667</v>
      </c>
      <c r="AW906">
        <v>4.8</v>
      </c>
      <c r="AY906">
        <v>4.5</v>
      </c>
      <c r="AZ906">
        <v>3</v>
      </c>
      <c r="BA906">
        <v>2</v>
      </c>
      <c r="BB906">
        <v>43</v>
      </c>
      <c r="BC906">
        <v>27</v>
      </c>
      <c r="BD906">
        <v>37.299999999999997</v>
      </c>
      <c r="BE906">
        <v>193</v>
      </c>
      <c r="BF906">
        <v>86.7</v>
      </c>
      <c r="BG906">
        <v>35</v>
      </c>
      <c r="BH906">
        <v>27</v>
      </c>
      <c r="BI906">
        <v>30.96</v>
      </c>
      <c r="BJ906">
        <v>158</v>
      </c>
      <c r="BK906">
        <v>88.5</v>
      </c>
      <c r="BL906">
        <v>193</v>
      </c>
      <c r="BM906">
        <v>5.6543000000000001</v>
      </c>
    </row>
    <row r="907" spans="1:65" x14ac:dyDescent="0.25">
      <c r="A907" t="s">
        <v>970</v>
      </c>
      <c r="B907" t="s">
        <v>1948</v>
      </c>
      <c r="C907" t="s">
        <v>2159</v>
      </c>
      <c r="D907" s="1">
        <v>45539</v>
      </c>
      <c r="E907" s="1">
        <v>45581</v>
      </c>
      <c r="F907" s="1">
        <v>45713</v>
      </c>
      <c r="G907" t="s">
        <v>2165</v>
      </c>
      <c r="I907" t="s">
        <v>2175</v>
      </c>
      <c r="J907">
        <v>32712</v>
      </c>
      <c r="K907">
        <v>981</v>
      </c>
      <c r="L907">
        <v>9.3000000000000007</v>
      </c>
      <c r="M907">
        <v>6</v>
      </c>
      <c r="N907">
        <v>5</v>
      </c>
      <c r="O907">
        <v>10354</v>
      </c>
      <c r="P907" t="s">
        <v>2177</v>
      </c>
      <c r="Q907">
        <v>26</v>
      </c>
      <c r="R907">
        <v>44</v>
      </c>
      <c r="S907">
        <v>48</v>
      </c>
      <c r="T907">
        <v>277</v>
      </c>
      <c r="U907" t="s">
        <v>2166</v>
      </c>
      <c r="W907" t="s">
        <v>2209</v>
      </c>
      <c r="X907" t="s">
        <v>2211</v>
      </c>
      <c r="Y907" t="s">
        <v>2212</v>
      </c>
      <c r="Z907" s="1">
        <v>45699</v>
      </c>
      <c r="AA907" s="1">
        <v>45712</v>
      </c>
      <c r="AB907" t="s">
        <v>2214</v>
      </c>
      <c r="AC907" t="s">
        <v>2209</v>
      </c>
      <c r="AD907" t="s">
        <v>2218</v>
      </c>
      <c r="AE907" t="s">
        <v>2166</v>
      </c>
      <c r="AG907" t="s">
        <v>2221</v>
      </c>
      <c r="AH907">
        <v>118</v>
      </c>
      <c r="AI907">
        <v>131</v>
      </c>
      <c r="AJ907">
        <v>13</v>
      </c>
      <c r="AK907">
        <v>10</v>
      </c>
      <c r="AL907" t="s">
        <v>2230</v>
      </c>
      <c r="AM907">
        <v>1</v>
      </c>
      <c r="AN907" t="s">
        <v>2177</v>
      </c>
      <c r="AO907" t="s">
        <v>2177</v>
      </c>
      <c r="AP907" t="s">
        <v>2177</v>
      </c>
      <c r="AQ907">
        <v>55.8</v>
      </c>
      <c r="AR907">
        <v>2</v>
      </c>
      <c r="AS907">
        <v>2</v>
      </c>
      <c r="AT907">
        <v>2</v>
      </c>
      <c r="AU907">
        <v>2</v>
      </c>
      <c r="AV907">
        <v>2</v>
      </c>
      <c r="AW907">
        <v>4.8</v>
      </c>
      <c r="AY907">
        <v>4.5999999999999996</v>
      </c>
      <c r="AZ907">
        <v>0</v>
      </c>
      <c r="BA907">
        <v>3</v>
      </c>
      <c r="BB907">
        <v>50</v>
      </c>
      <c r="BC907">
        <v>27</v>
      </c>
      <c r="BD907">
        <v>42.44</v>
      </c>
      <c r="BE907">
        <v>220</v>
      </c>
      <c r="BF907">
        <v>84.9</v>
      </c>
      <c r="BG907">
        <v>43</v>
      </c>
      <c r="BH907">
        <v>27</v>
      </c>
      <c r="BI907">
        <v>37.33</v>
      </c>
      <c r="BJ907">
        <v>194</v>
      </c>
      <c r="BK907">
        <v>86.8</v>
      </c>
      <c r="BL907">
        <v>220</v>
      </c>
      <c r="BM907">
        <v>5.5061</v>
      </c>
    </row>
    <row r="908" spans="1:65" x14ac:dyDescent="0.25">
      <c r="A908" t="s">
        <v>971</v>
      </c>
      <c r="B908" t="s">
        <v>1949</v>
      </c>
      <c r="C908" t="s">
        <v>2158</v>
      </c>
      <c r="D908" s="1">
        <v>45433</v>
      </c>
      <c r="E908" s="1">
        <v>45475</v>
      </c>
      <c r="F908" s="1">
        <v>45550</v>
      </c>
      <c r="G908" t="s">
        <v>2163</v>
      </c>
      <c r="I908" t="s">
        <v>2173</v>
      </c>
      <c r="J908">
        <v>25322</v>
      </c>
      <c r="K908">
        <v>759</v>
      </c>
      <c r="L908">
        <v>4.8</v>
      </c>
      <c r="M908">
        <v>4.2</v>
      </c>
      <c r="N908">
        <v>6</v>
      </c>
      <c r="O908">
        <v>9483</v>
      </c>
      <c r="P908" t="s">
        <v>2176</v>
      </c>
      <c r="Q908">
        <v>15</v>
      </c>
      <c r="R908">
        <v>23</v>
      </c>
      <c r="S908">
        <v>22</v>
      </c>
      <c r="T908">
        <v>422</v>
      </c>
      <c r="U908" t="s">
        <v>2166</v>
      </c>
      <c r="W908" t="s">
        <v>2209</v>
      </c>
      <c r="X908" t="s">
        <v>2211</v>
      </c>
      <c r="Y908" t="s">
        <v>2212</v>
      </c>
      <c r="Z908" s="1">
        <v>45535</v>
      </c>
      <c r="AA908" s="1">
        <v>45553</v>
      </c>
      <c r="AB908" t="s">
        <v>2214</v>
      </c>
      <c r="AC908" t="s">
        <v>2209</v>
      </c>
      <c r="AD908" t="s">
        <v>2218</v>
      </c>
      <c r="AE908" t="s">
        <v>2166</v>
      </c>
      <c r="AG908" t="s">
        <v>2221</v>
      </c>
      <c r="AH908">
        <v>60</v>
      </c>
      <c r="AI908">
        <v>78</v>
      </c>
      <c r="AJ908">
        <v>18</v>
      </c>
      <c r="AK908">
        <v>7</v>
      </c>
      <c r="AL908" t="s">
        <v>2226</v>
      </c>
      <c r="AM908">
        <v>0</v>
      </c>
      <c r="AN908" t="s">
        <v>2176</v>
      </c>
      <c r="AO908" t="s">
        <v>2177</v>
      </c>
      <c r="AP908" t="s">
        <v>2177</v>
      </c>
      <c r="AQ908">
        <v>20.16</v>
      </c>
      <c r="AR908">
        <v>1</v>
      </c>
      <c r="AS908">
        <v>1</v>
      </c>
      <c r="AT908">
        <v>2</v>
      </c>
      <c r="AU908">
        <v>2</v>
      </c>
      <c r="AV908">
        <v>1.666666666666667</v>
      </c>
      <c r="AW908">
        <v>4.8</v>
      </c>
      <c r="AY908">
        <v>4.4000000000000004</v>
      </c>
      <c r="AZ908">
        <v>2</v>
      </c>
      <c r="BA908">
        <v>2</v>
      </c>
      <c r="BB908">
        <v>48</v>
      </c>
      <c r="BC908">
        <v>27</v>
      </c>
      <c r="BD908">
        <v>42.33</v>
      </c>
      <c r="BE908">
        <v>216</v>
      </c>
      <c r="BF908">
        <v>88.2</v>
      </c>
      <c r="BG908">
        <v>33</v>
      </c>
      <c r="BH908">
        <v>27</v>
      </c>
      <c r="BI908">
        <v>28.89</v>
      </c>
      <c r="BJ908">
        <v>145</v>
      </c>
      <c r="BK908">
        <v>87.5</v>
      </c>
      <c r="BL908">
        <v>216</v>
      </c>
      <c r="BM908">
        <v>4.3411999999999997</v>
      </c>
    </row>
    <row r="909" spans="1:65" x14ac:dyDescent="0.25">
      <c r="A909" t="s">
        <v>972</v>
      </c>
      <c r="B909" t="s">
        <v>1950</v>
      </c>
      <c r="C909" t="s">
        <v>2158</v>
      </c>
      <c r="D909" s="1">
        <v>45278</v>
      </c>
      <c r="E909" s="1">
        <v>45325</v>
      </c>
      <c r="F909" s="1">
        <v>45388</v>
      </c>
      <c r="G909" t="s">
        <v>2165</v>
      </c>
      <c r="I909" t="s">
        <v>2175</v>
      </c>
      <c r="J909">
        <v>19122</v>
      </c>
      <c r="K909">
        <v>573</v>
      </c>
      <c r="L909">
        <v>11.8</v>
      </c>
      <c r="M909">
        <v>5.7</v>
      </c>
      <c r="N909">
        <v>4</v>
      </c>
      <c r="O909">
        <v>5904</v>
      </c>
      <c r="P909" t="s">
        <v>2177</v>
      </c>
      <c r="Q909">
        <v>12</v>
      </c>
      <c r="R909">
        <v>20</v>
      </c>
      <c r="S909">
        <v>16</v>
      </c>
      <c r="T909">
        <v>398</v>
      </c>
      <c r="U909" t="s">
        <v>2166</v>
      </c>
      <c r="W909" t="s">
        <v>2209</v>
      </c>
      <c r="X909" t="s">
        <v>2211</v>
      </c>
      <c r="Y909" t="s">
        <v>2212</v>
      </c>
      <c r="Z909" s="1">
        <v>45373</v>
      </c>
      <c r="AA909" s="1">
        <v>45388</v>
      </c>
      <c r="AB909" t="s">
        <v>2214</v>
      </c>
      <c r="AC909" t="s">
        <v>2209</v>
      </c>
      <c r="AD909" t="s">
        <v>2218</v>
      </c>
      <c r="AE909" t="s">
        <v>2166</v>
      </c>
      <c r="AG909" t="s">
        <v>2221</v>
      </c>
      <c r="AH909">
        <v>48</v>
      </c>
      <c r="AI909">
        <v>63</v>
      </c>
      <c r="AJ909">
        <v>15</v>
      </c>
      <c r="AK909">
        <v>2</v>
      </c>
      <c r="AL909" t="s">
        <v>2228</v>
      </c>
      <c r="AM909">
        <v>0</v>
      </c>
      <c r="AN909" t="s">
        <v>2177</v>
      </c>
      <c r="AO909" t="s">
        <v>2177</v>
      </c>
      <c r="AP909" t="s">
        <v>2176</v>
      </c>
      <c r="AQ909">
        <v>67.260000000000005</v>
      </c>
      <c r="AR909">
        <v>2</v>
      </c>
      <c r="AS909">
        <v>2</v>
      </c>
      <c r="AT909">
        <v>2</v>
      </c>
      <c r="AU909">
        <v>1</v>
      </c>
      <c r="AV909">
        <v>1.666666666666667</v>
      </c>
      <c r="AW909">
        <v>4.8</v>
      </c>
      <c r="AY909">
        <v>4.5999999999999996</v>
      </c>
      <c r="AZ909">
        <v>2</v>
      </c>
      <c r="BA909">
        <v>3</v>
      </c>
      <c r="BB909">
        <v>40</v>
      </c>
      <c r="BC909">
        <v>24</v>
      </c>
      <c r="BD909">
        <v>35.54</v>
      </c>
      <c r="BE909">
        <v>160</v>
      </c>
      <c r="BF909">
        <v>88.8</v>
      </c>
      <c r="BG909">
        <v>36</v>
      </c>
      <c r="BH909">
        <v>24</v>
      </c>
      <c r="BI909">
        <v>31.79</v>
      </c>
      <c r="BJ909">
        <v>142</v>
      </c>
      <c r="BK909">
        <v>88.3</v>
      </c>
      <c r="BL909">
        <v>160</v>
      </c>
      <c r="BM909">
        <v>4.9783999999999997</v>
      </c>
    </row>
    <row r="910" spans="1:65" x14ac:dyDescent="0.25">
      <c r="A910" t="s">
        <v>973</v>
      </c>
      <c r="B910" t="s">
        <v>1951</v>
      </c>
      <c r="C910" t="s">
        <v>2158</v>
      </c>
      <c r="D910" s="1">
        <v>45276</v>
      </c>
      <c r="E910" s="1">
        <v>45330</v>
      </c>
      <c r="F910" s="1">
        <v>45456</v>
      </c>
      <c r="G910" t="s">
        <v>2166</v>
      </c>
      <c r="I910" t="s">
        <v>2173</v>
      </c>
      <c r="J910">
        <v>32596</v>
      </c>
      <c r="K910">
        <v>977</v>
      </c>
      <c r="L910">
        <v>7</v>
      </c>
      <c r="M910">
        <v>6.5</v>
      </c>
      <c r="N910">
        <v>7</v>
      </c>
      <c r="O910">
        <v>6283</v>
      </c>
      <c r="P910" t="s">
        <v>2177</v>
      </c>
      <c r="Q910">
        <v>27</v>
      </c>
      <c r="R910">
        <v>45</v>
      </c>
      <c r="S910">
        <v>30</v>
      </c>
      <c r="T910">
        <v>319</v>
      </c>
      <c r="U910" t="s">
        <v>2165</v>
      </c>
      <c r="W910" t="s">
        <v>2209</v>
      </c>
      <c r="X910" t="s">
        <v>2211</v>
      </c>
      <c r="Y910" t="s">
        <v>2212</v>
      </c>
      <c r="Z910" s="1">
        <v>45432</v>
      </c>
      <c r="AA910" s="1">
        <v>45452</v>
      </c>
      <c r="AB910" t="s">
        <v>2214</v>
      </c>
      <c r="AC910" t="s">
        <v>2209</v>
      </c>
      <c r="AD910" t="s">
        <v>2218</v>
      </c>
      <c r="AE910" t="s">
        <v>2165</v>
      </c>
      <c r="AG910" t="s">
        <v>2221</v>
      </c>
      <c r="AH910">
        <v>102</v>
      </c>
      <c r="AI910">
        <v>122</v>
      </c>
      <c r="AJ910">
        <v>20</v>
      </c>
      <c r="AK910">
        <v>2</v>
      </c>
      <c r="AL910" t="s">
        <v>2228</v>
      </c>
      <c r="AM910">
        <v>0</v>
      </c>
      <c r="AN910" t="s">
        <v>2177</v>
      </c>
      <c r="AO910" t="s">
        <v>2175</v>
      </c>
      <c r="AP910" t="s">
        <v>2176</v>
      </c>
      <c r="AQ910">
        <v>45.5</v>
      </c>
      <c r="AR910">
        <v>2</v>
      </c>
      <c r="AS910">
        <v>2</v>
      </c>
      <c r="AT910">
        <v>3</v>
      </c>
      <c r="AU910">
        <v>1</v>
      </c>
      <c r="AV910">
        <v>2</v>
      </c>
      <c r="AW910">
        <v>4.5999999999999996</v>
      </c>
      <c r="AY910">
        <v>4.8</v>
      </c>
      <c r="AZ910">
        <v>2</v>
      </c>
      <c r="BA910">
        <v>2</v>
      </c>
      <c r="BB910">
        <v>36</v>
      </c>
      <c r="BC910">
        <v>24</v>
      </c>
      <c r="BD910">
        <v>31.79</v>
      </c>
      <c r="BE910">
        <v>142</v>
      </c>
      <c r="BF910">
        <v>88.3</v>
      </c>
      <c r="BG910">
        <v>40</v>
      </c>
      <c r="BH910">
        <v>24</v>
      </c>
      <c r="BI910">
        <v>35.54</v>
      </c>
      <c r="BJ910">
        <v>160</v>
      </c>
      <c r="BK910">
        <v>88.8</v>
      </c>
      <c r="BL910">
        <v>142</v>
      </c>
      <c r="BM910">
        <v>9.5617000000000001</v>
      </c>
    </row>
    <row r="911" spans="1:65" x14ac:dyDescent="0.25">
      <c r="A911" t="s">
        <v>974</v>
      </c>
      <c r="B911" t="s">
        <v>1952</v>
      </c>
      <c r="C911" t="s">
        <v>2159</v>
      </c>
      <c r="D911" s="1">
        <v>45413</v>
      </c>
      <c r="E911" s="1">
        <v>45447</v>
      </c>
      <c r="F911" s="1">
        <v>45512</v>
      </c>
      <c r="G911" t="s">
        <v>2161</v>
      </c>
      <c r="I911" t="s">
        <v>2175</v>
      </c>
      <c r="J911">
        <v>21969</v>
      </c>
      <c r="K911">
        <v>659</v>
      </c>
      <c r="L911">
        <v>12.9</v>
      </c>
      <c r="M911">
        <v>4.0999999999999996</v>
      </c>
      <c r="N911">
        <v>6</v>
      </c>
      <c r="O911">
        <v>8083</v>
      </c>
      <c r="P911" t="s">
        <v>2177</v>
      </c>
      <c r="Q911">
        <v>17</v>
      </c>
      <c r="R911">
        <v>22</v>
      </c>
      <c r="S911">
        <v>20</v>
      </c>
      <c r="T911">
        <v>372</v>
      </c>
      <c r="U911" t="s">
        <v>2166</v>
      </c>
      <c r="W911" t="s">
        <v>2209</v>
      </c>
      <c r="X911" t="s">
        <v>2211</v>
      </c>
      <c r="Y911" t="s">
        <v>2212</v>
      </c>
      <c r="Z911" s="1">
        <v>45506</v>
      </c>
      <c r="AA911" s="1">
        <v>45520</v>
      </c>
      <c r="AB911" t="s">
        <v>2215</v>
      </c>
      <c r="AC911" t="s">
        <v>2208</v>
      </c>
      <c r="AD911" t="s">
        <v>2218</v>
      </c>
      <c r="AE911" t="s">
        <v>2166</v>
      </c>
      <c r="AG911" t="s">
        <v>2221</v>
      </c>
      <c r="AH911">
        <v>59</v>
      </c>
      <c r="AI911">
        <v>73</v>
      </c>
      <c r="AJ911">
        <v>14</v>
      </c>
      <c r="AK911">
        <v>6</v>
      </c>
      <c r="AL911" t="s">
        <v>2223</v>
      </c>
      <c r="AM911">
        <v>0</v>
      </c>
      <c r="AN911" t="s">
        <v>2177</v>
      </c>
      <c r="AO911" t="s">
        <v>2177</v>
      </c>
      <c r="AP911" t="s">
        <v>2177</v>
      </c>
      <c r="AQ911">
        <v>52.889999999999993</v>
      </c>
      <c r="AR911">
        <v>2</v>
      </c>
      <c r="AS911">
        <v>2</v>
      </c>
      <c r="AT911">
        <v>2</v>
      </c>
      <c r="AU911">
        <v>2</v>
      </c>
      <c r="AV911">
        <v>2</v>
      </c>
      <c r="AW911">
        <v>4.8</v>
      </c>
      <c r="AY911">
        <v>4.3</v>
      </c>
      <c r="AZ911">
        <v>0</v>
      </c>
      <c r="BA911">
        <v>3</v>
      </c>
      <c r="BB911">
        <v>45</v>
      </c>
      <c r="BC911">
        <v>25</v>
      </c>
      <c r="BD911">
        <v>39.200000000000003</v>
      </c>
      <c r="BE911">
        <v>186</v>
      </c>
      <c r="BF911">
        <v>87.1</v>
      </c>
      <c r="BG911">
        <v>36</v>
      </c>
      <c r="BH911">
        <v>25</v>
      </c>
      <c r="BI911">
        <v>31.92</v>
      </c>
      <c r="BJ911">
        <v>149</v>
      </c>
      <c r="BK911">
        <v>88.7</v>
      </c>
      <c r="BL911">
        <v>186</v>
      </c>
      <c r="BM911">
        <v>4.7234999999999996</v>
      </c>
    </row>
    <row r="912" spans="1:65" x14ac:dyDescent="0.25">
      <c r="A912" t="s">
        <v>975</v>
      </c>
      <c r="B912" t="s">
        <v>1953</v>
      </c>
      <c r="C912" t="s">
        <v>2158</v>
      </c>
      <c r="D912" s="1">
        <v>45424</v>
      </c>
      <c r="E912" s="1">
        <v>45461</v>
      </c>
      <c r="F912" s="1">
        <v>45532</v>
      </c>
      <c r="G912" t="s">
        <v>2161</v>
      </c>
      <c r="I912" t="s">
        <v>2175</v>
      </c>
      <c r="J912">
        <v>26256</v>
      </c>
      <c r="K912">
        <v>787</v>
      </c>
      <c r="L912">
        <v>6.4</v>
      </c>
      <c r="M912">
        <v>4.2</v>
      </c>
      <c r="N912">
        <v>5</v>
      </c>
      <c r="O912">
        <v>10463</v>
      </c>
      <c r="P912" t="s">
        <v>2176</v>
      </c>
      <c r="Q912">
        <v>15</v>
      </c>
      <c r="R912">
        <v>18</v>
      </c>
      <c r="S912">
        <v>22</v>
      </c>
      <c r="T912">
        <v>477</v>
      </c>
      <c r="U912" t="s">
        <v>2166</v>
      </c>
      <c r="W912" t="s">
        <v>2209</v>
      </c>
      <c r="X912" t="s">
        <v>2211</v>
      </c>
      <c r="Y912" t="s">
        <v>2212</v>
      </c>
      <c r="Z912" s="1">
        <v>45516</v>
      </c>
      <c r="AA912" s="1">
        <v>45534</v>
      </c>
      <c r="AB912" t="s">
        <v>2214</v>
      </c>
      <c r="AC912" t="s">
        <v>2209</v>
      </c>
      <c r="AD912" t="s">
        <v>2218</v>
      </c>
      <c r="AE912" t="s">
        <v>2166</v>
      </c>
      <c r="AG912" t="s">
        <v>2221</v>
      </c>
      <c r="AH912">
        <v>55</v>
      </c>
      <c r="AI912">
        <v>73</v>
      </c>
      <c r="AJ912">
        <v>18</v>
      </c>
      <c r="AK912">
        <v>6</v>
      </c>
      <c r="AL912" t="s">
        <v>2223</v>
      </c>
      <c r="AM912">
        <v>0</v>
      </c>
      <c r="AN912" t="s">
        <v>2176</v>
      </c>
      <c r="AO912" t="s">
        <v>2177</v>
      </c>
      <c r="AP912" t="s">
        <v>2177</v>
      </c>
      <c r="AQ912">
        <v>26.88</v>
      </c>
      <c r="AR912">
        <v>1</v>
      </c>
      <c r="AS912">
        <v>1</v>
      </c>
      <c r="AT912">
        <v>2</v>
      </c>
      <c r="AU912">
        <v>2</v>
      </c>
      <c r="AV912">
        <v>1.666666666666667</v>
      </c>
      <c r="AW912">
        <v>4.8</v>
      </c>
      <c r="AY912">
        <v>4.3</v>
      </c>
      <c r="AZ912">
        <v>2</v>
      </c>
      <c r="BA912">
        <v>3</v>
      </c>
      <c r="BB912">
        <v>45</v>
      </c>
      <c r="BC912">
        <v>25</v>
      </c>
      <c r="BD912">
        <v>39.200000000000003</v>
      </c>
      <c r="BE912">
        <v>186</v>
      </c>
      <c r="BF912">
        <v>87.1</v>
      </c>
      <c r="BG912">
        <v>36</v>
      </c>
      <c r="BH912">
        <v>25</v>
      </c>
      <c r="BI912">
        <v>31.92</v>
      </c>
      <c r="BJ912">
        <v>149</v>
      </c>
      <c r="BK912">
        <v>88.7</v>
      </c>
      <c r="BL912">
        <v>186</v>
      </c>
      <c r="BM912">
        <v>5.6452</v>
      </c>
    </row>
    <row r="913" spans="1:65" x14ac:dyDescent="0.25">
      <c r="A913" t="s">
        <v>976</v>
      </c>
      <c r="B913" t="s">
        <v>1954</v>
      </c>
      <c r="C913" t="s">
        <v>2157</v>
      </c>
      <c r="D913" s="1">
        <v>45347</v>
      </c>
      <c r="E913" s="1">
        <v>45401</v>
      </c>
      <c r="F913" s="1">
        <v>45501</v>
      </c>
      <c r="G913" t="s">
        <v>2161</v>
      </c>
      <c r="I913" t="s">
        <v>2173</v>
      </c>
      <c r="J913">
        <v>28343</v>
      </c>
      <c r="K913">
        <v>850</v>
      </c>
      <c r="L913">
        <v>13.2</v>
      </c>
      <c r="M913">
        <v>4.9000000000000004</v>
      </c>
      <c r="N913">
        <v>6</v>
      </c>
      <c r="O913">
        <v>8047</v>
      </c>
      <c r="P913" t="s">
        <v>2177</v>
      </c>
      <c r="Q913">
        <v>21</v>
      </c>
      <c r="R913">
        <v>35</v>
      </c>
      <c r="S913">
        <v>39</v>
      </c>
      <c r="T913">
        <v>298</v>
      </c>
      <c r="U913" t="s">
        <v>2166</v>
      </c>
      <c r="W913" t="s">
        <v>2209</v>
      </c>
      <c r="X913" t="s">
        <v>2211</v>
      </c>
      <c r="Y913" t="s">
        <v>2212</v>
      </c>
      <c r="Z913" s="1">
        <v>45496</v>
      </c>
      <c r="AA913" s="1">
        <v>45515</v>
      </c>
      <c r="AB913" t="s">
        <v>2215</v>
      </c>
      <c r="AC913" t="s">
        <v>2208</v>
      </c>
      <c r="AD913" t="s">
        <v>2218</v>
      </c>
      <c r="AE913" t="s">
        <v>2166</v>
      </c>
      <c r="AG913" t="s">
        <v>2221</v>
      </c>
      <c r="AH913">
        <v>95</v>
      </c>
      <c r="AI913">
        <v>114</v>
      </c>
      <c r="AJ913">
        <v>19</v>
      </c>
      <c r="AK913">
        <v>4</v>
      </c>
      <c r="AL913" t="s">
        <v>2225</v>
      </c>
      <c r="AM913">
        <v>0</v>
      </c>
      <c r="AN913" t="s">
        <v>2177</v>
      </c>
      <c r="AO913" t="s">
        <v>2177</v>
      </c>
      <c r="AP913" t="s">
        <v>2177</v>
      </c>
      <c r="AQ913">
        <v>64.680000000000007</v>
      </c>
      <c r="AR913">
        <v>2</v>
      </c>
      <c r="AS913">
        <v>2</v>
      </c>
      <c r="AT913">
        <v>2</v>
      </c>
      <c r="AU913">
        <v>2</v>
      </c>
      <c r="AV913">
        <v>2</v>
      </c>
      <c r="AW913">
        <v>4.8</v>
      </c>
      <c r="AY913">
        <v>4.3</v>
      </c>
      <c r="AZ913">
        <v>3</v>
      </c>
      <c r="BA913">
        <v>2</v>
      </c>
      <c r="BB913">
        <v>45</v>
      </c>
      <c r="BC913">
        <v>26</v>
      </c>
      <c r="BD913">
        <v>40.270000000000003</v>
      </c>
      <c r="BE913">
        <v>199</v>
      </c>
      <c r="BF913">
        <v>89.5</v>
      </c>
      <c r="BG913">
        <v>32</v>
      </c>
      <c r="BH913">
        <v>26</v>
      </c>
      <c r="BI913">
        <v>28.46</v>
      </c>
      <c r="BJ913">
        <v>138</v>
      </c>
      <c r="BK913">
        <v>88.9</v>
      </c>
      <c r="BL913">
        <v>199</v>
      </c>
      <c r="BM913">
        <v>5.4768999999999997</v>
      </c>
    </row>
    <row r="914" spans="1:65" x14ac:dyDescent="0.25">
      <c r="A914" t="s">
        <v>977</v>
      </c>
      <c r="B914" t="s">
        <v>1955</v>
      </c>
      <c r="C914" t="s">
        <v>2157</v>
      </c>
      <c r="D914" s="1">
        <v>45527</v>
      </c>
      <c r="E914" s="1">
        <v>45579</v>
      </c>
      <c r="F914" s="1">
        <v>45664</v>
      </c>
      <c r="G914" t="s">
        <v>2161</v>
      </c>
      <c r="I914" t="s">
        <v>2175</v>
      </c>
      <c r="J914">
        <v>28251</v>
      </c>
      <c r="K914">
        <v>847</v>
      </c>
      <c r="L914">
        <v>9</v>
      </c>
      <c r="M914">
        <v>5.2</v>
      </c>
      <c r="N914">
        <v>6</v>
      </c>
      <c r="O914">
        <v>12642</v>
      </c>
      <c r="P914" t="s">
        <v>2177</v>
      </c>
      <c r="Q914">
        <v>16</v>
      </c>
      <c r="R914">
        <v>21</v>
      </c>
      <c r="S914">
        <v>36</v>
      </c>
      <c r="T914">
        <v>387</v>
      </c>
      <c r="U914" t="s">
        <v>2166</v>
      </c>
      <c r="W914" t="s">
        <v>2209</v>
      </c>
      <c r="X914" t="s">
        <v>2211</v>
      </c>
      <c r="Y914" t="s">
        <v>2212</v>
      </c>
      <c r="Z914" s="1">
        <v>45652</v>
      </c>
      <c r="AA914" s="1">
        <v>45668</v>
      </c>
      <c r="AB914" t="s">
        <v>2215</v>
      </c>
      <c r="AC914" t="s">
        <v>2208</v>
      </c>
      <c r="AD914" t="s">
        <v>2218</v>
      </c>
      <c r="AE914" t="s">
        <v>2166</v>
      </c>
      <c r="AG914" t="s">
        <v>2221</v>
      </c>
      <c r="AH914">
        <v>73</v>
      </c>
      <c r="AI914">
        <v>89</v>
      </c>
      <c r="AJ914">
        <v>16</v>
      </c>
      <c r="AK914">
        <v>10</v>
      </c>
      <c r="AL914" t="s">
        <v>2230</v>
      </c>
      <c r="AM914">
        <v>1</v>
      </c>
      <c r="AN914" t="s">
        <v>2177</v>
      </c>
      <c r="AO914" t="s">
        <v>2177</v>
      </c>
      <c r="AP914" t="s">
        <v>2177</v>
      </c>
      <c r="AQ914">
        <v>46.8</v>
      </c>
      <c r="AR914">
        <v>2</v>
      </c>
      <c r="AS914">
        <v>2</v>
      </c>
      <c r="AT914">
        <v>2</v>
      </c>
      <c r="AU914">
        <v>2</v>
      </c>
      <c r="AV914">
        <v>2</v>
      </c>
      <c r="AW914">
        <v>4.8</v>
      </c>
      <c r="AY914">
        <v>4.3</v>
      </c>
      <c r="AZ914">
        <v>3</v>
      </c>
      <c r="BA914">
        <v>3</v>
      </c>
      <c r="BB914">
        <v>50</v>
      </c>
      <c r="BC914">
        <v>27</v>
      </c>
      <c r="BD914">
        <v>42.44</v>
      </c>
      <c r="BE914">
        <v>220</v>
      </c>
      <c r="BF914">
        <v>84.9</v>
      </c>
      <c r="BG914">
        <v>34</v>
      </c>
      <c r="BH914">
        <v>27</v>
      </c>
      <c r="BI914">
        <v>29.93</v>
      </c>
      <c r="BJ914">
        <v>149</v>
      </c>
      <c r="BK914">
        <v>88</v>
      </c>
      <c r="BL914">
        <v>220</v>
      </c>
      <c r="BM914">
        <v>4.7553000000000001</v>
      </c>
    </row>
    <row r="915" spans="1:65" x14ac:dyDescent="0.25">
      <c r="A915" t="s">
        <v>978</v>
      </c>
      <c r="B915" t="s">
        <v>1956</v>
      </c>
      <c r="C915" t="s">
        <v>2159</v>
      </c>
      <c r="D915" s="1">
        <v>45310</v>
      </c>
      <c r="E915" s="1">
        <v>45333</v>
      </c>
      <c r="F915" s="1">
        <v>45384</v>
      </c>
      <c r="G915" t="s">
        <v>2165</v>
      </c>
      <c r="I915" t="s">
        <v>2175</v>
      </c>
      <c r="J915">
        <v>12381</v>
      </c>
      <c r="K915">
        <v>371</v>
      </c>
      <c r="L915">
        <v>12</v>
      </c>
      <c r="M915">
        <v>11.1</v>
      </c>
      <c r="N915">
        <v>6</v>
      </c>
      <c r="O915">
        <v>8582</v>
      </c>
      <c r="P915" t="s">
        <v>2175</v>
      </c>
      <c r="Q915">
        <v>11</v>
      </c>
      <c r="R915">
        <v>16</v>
      </c>
      <c r="S915">
        <v>15</v>
      </c>
      <c r="T915">
        <v>294</v>
      </c>
      <c r="U915" t="s">
        <v>2166</v>
      </c>
      <c r="W915" t="s">
        <v>2209</v>
      </c>
      <c r="X915" t="s">
        <v>2211</v>
      </c>
      <c r="Y915" t="s">
        <v>2212</v>
      </c>
      <c r="Z915" s="1">
        <v>45375</v>
      </c>
      <c r="AA915" s="1">
        <v>45392</v>
      </c>
      <c r="AB915" t="s">
        <v>2215</v>
      </c>
      <c r="AC915" t="s">
        <v>2208</v>
      </c>
      <c r="AD915" t="s">
        <v>2218</v>
      </c>
      <c r="AE915" t="s">
        <v>2166</v>
      </c>
      <c r="AG915" t="s">
        <v>2221</v>
      </c>
      <c r="AH915">
        <v>42</v>
      </c>
      <c r="AI915">
        <v>59</v>
      </c>
      <c r="AJ915">
        <v>17</v>
      </c>
      <c r="AK915">
        <v>2</v>
      </c>
      <c r="AL915" t="s">
        <v>2228</v>
      </c>
      <c r="AM915">
        <v>0</v>
      </c>
      <c r="AN915" t="s">
        <v>2175</v>
      </c>
      <c r="AO915" t="s">
        <v>2177</v>
      </c>
      <c r="AP915" t="s">
        <v>2177</v>
      </c>
      <c r="AQ915">
        <v>133.19999999999999</v>
      </c>
      <c r="AR915">
        <v>3</v>
      </c>
      <c r="AS915">
        <v>3</v>
      </c>
      <c r="AT915">
        <v>2</v>
      </c>
      <c r="AU915">
        <v>2</v>
      </c>
      <c r="AV915">
        <v>2.333333333333333</v>
      </c>
      <c r="AW915">
        <v>4.8</v>
      </c>
      <c r="AY915">
        <v>4.5999999999999996</v>
      </c>
      <c r="AZ915">
        <v>0</v>
      </c>
      <c r="BA915">
        <v>3</v>
      </c>
      <c r="BB915">
        <v>40</v>
      </c>
      <c r="BC915">
        <v>24</v>
      </c>
      <c r="BD915">
        <v>35.54</v>
      </c>
      <c r="BE915">
        <v>160</v>
      </c>
      <c r="BF915">
        <v>88.8</v>
      </c>
      <c r="BG915">
        <v>36</v>
      </c>
      <c r="BH915">
        <v>24</v>
      </c>
      <c r="BI915">
        <v>31.79</v>
      </c>
      <c r="BJ915">
        <v>142</v>
      </c>
      <c r="BK915">
        <v>88.3</v>
      </c>
      <c r="BL915">
        <v>160</v>
      </c>
      <c r="BM915">
        <v>3.2233999999999998</v>
      </c>
    </row>
    <row r="916" spans="1:65" x14ac:dyDescent="0.25">
      <c r="A916" t="s">
        <v>979</v>
      </c>
      <c r="B916" t="s">
        <v>1957</v>
      </c>
      <c r="C916" t="s">
        <v>2160</v>
      </c>
      <c r="D916" s="1">
        <v>45482</v>
      </c>
      <c r="E916" s="1">
        <v>45512</v>
      </c>
      <c r="F916" s="1">
        <v>45587</v>
      </c>
      <c r="G916" t="s">
        <v>2165</v>
      </c>
      <c r="I916" t="s">
        <v>2175</v>
      </c>
      <c r="J916">
        <v>25771</v>
      </c>
      <c r="K916">
        <v>773</v>
      </c>
      <c r="L916">
        <v>9.5</v>
      </c>
      <c r="M916">
        <v>5.7</v>
      </c>
      <c r="N916">
        <v>4</v>
      </c>
      <c r="O916">
        <v>11035</v>
      </c>
      <c r="P916" t="s">
        <v>2177</v>
      </c>
      <c r="Q916">
        <v>18</v>
      </c>
      <c r="R916">
        <v>26</v>
      </c>
      <c r="S916">
        <v>22</v>
      </c>
      <c r="T916">
        <v>390</v>
      </c>
      <c r="U916" t="s">
        <v>2166</v>
      </c>
      <c r="W916" t="s">
        <v>2209</v>
      </c>
      <c r="X916" t="s">
        <v>2211</v>
      </c>
      <c r="Y916" t="s">
        <v>2212</v>
      </c>
      <c r="Z916" s="1">
        <v>45578</v>
      </c>
      <c r="AA916" s="1">
        <v>45593</v>
      </c>
      <c r="AB916" t="s">
        <v>2215</v>
      </c>
      <c r="AC916" t="s">
        <v>2208</v>
      </c>
      <c r="AD916" t="s">
        <v>2218</v>
      </c>
      <c r="AE916" t="s">
        <v>2166</v>
      </c>
      <c r="AG916" t="s">
        <v>2221</v>
      </c>
      <c r="AH916">
        <v>66</v>
      </c>
      <c r="AI916">
        <v>81</v>
      </c>
      <c r="AJ916">
        <v>15</v>
      </c>
      <c r="AK916">
        <v>8</v>
      </c>
      <c r="AL916" t="s">
        <v>2232</v>
      </c>
      <c r="AM916">
        <v>0</v>
      </c>
      <c r="AN916" t="s">
        <v>2177</v>
      </c>
      <c r="AO916" t="s">
        <v>2177</v>
      </c>
      <c r="AP916" t="s">
        <v>2177</v>
      </c>
      <c r="AQ916">
        <v>54.15</v>
      </c>
      <c r="AR916">
        <v>2</v>
      </c>
      <c r="AS916">
        <v>2</v>
      </c>
      <c r="AT916">
        <v>2</v>
      </c>
      <c r="AU916">
        <v>2</v>
      </c>
      <c r="AV916">
        <v>2</v>
      </c>
      <c r="AW916">
        <v>4.8</v>
      </c>
      <c r="AY916">
        <v>4.5999999999999996</v>
      </c>
      <c r="AZ916">
        <v>1</v>
      </c>
      <c r="BA916">
        <v>3</v>
      </c>
      <c r="BB916">
        <v>41</v>
      </c>
      <c r="BC916">
        <v>26</v>
      </c>
      <c r="BD916">
        <v>36.15</v>
      </c>
      <c r="BE916">
        <v>176</v>
      </c>
      <c r="BF916">
        <v>88.2</v>
      </c>
      <c r="BG916">
        <v>36</v>
      </c>
      <c r="BH916">
        <v>26</v>
      </c>
      <c r="BI916">
        <v>31.73</v>
      </c>
      <c r="BJ916">
        <v>152</v>
      </c>
      <c r="BK916">
        <v>88.1</v>
      </c>
      <c r="BL916">
        <v>176</v>
      </c>
      <c r="BM916">
        <v>5.6304999999999996</v>
      </c>
    </row>
    <row r="917" spans="1:65" x14ac:dyDescent="0.25">
      <c r="A917" t="s">
        <v>980</v>
      </c>
      <c r="B917" t="s">
        <v>1958</v>
      </c>
      <c r="C917" t="s">
        <v>2157</v>
      </c>
      <c r="D917" s="1">
        <v>45299</v>
      </c>
      <c r="E917" s="1">
        <v>45333</v>
      </c>
      <c r="F917" s="1">
        <v>45438</v>
      </c>
      <c r="G917" t="s">
        <v>2164</v>
      </c>
      <c r="I917" t="s">
        <v>2175</v>
      </c>
      <c r="J917">
        <v>33494</v>
      </c>
      <c r="K917">
        <v>1004</v>
      </c>
      <c r="L917">
        <v>11.6</v>
      </c>
      <c r="M917">
        <v>10.1</v>
      </c>
      <c r="N917">
        <v>7</v>
      </c>
      <c r="O917">
        <v>5233</v>
      </c>
      <c r="P917" t="s">
        <v>2175</v>
      </c>
      <c r="Q917">
        <v>24</v>
      </c>
      <c r="R917">
        <v>31</v>
      </c>
      <c r="S917">
        <v>37</v>
      </c>
      <c r="T917">
        <v>364</v>
      </c>
      <c r="U917" t="s">
        <v>2166</v>
      </c>
      <c r="W917" t="s">
        <v>2209</v>
      </c>
      <c r="X917" t="s">
        <v>2211</v>
      </c>
      <c r="Y917" t="s">
        <v>2212</v>
      </c>
      <c r="Z917" s="1">
        <v>45425</v>
      </c>
      <c r="AA917" s="1">
        <v>45446</v>
      </c>
      <c r="AB917" t="s">
        <v>2214</v>
      </c>
      <c r="AC917" t="s">
        <v>2209</v>
      </c>
      <c r="AD917" t="s">
        <v>2218</v>
      </c>
      <c r="AE917" t="s">
        <v>2166</v>
      </c>
      <c r="AG917" t="s">
        <v>2221</v>
      </c>
      <c r="AH917">
        <v>92</v>
      </c>
      <c r="AI917">
        <v>113</v>
      </c>
      <c r="AJ917">
        <v>21</v>
      </c>
      <c r="AK917">
        <v>2</v>
      </c>
      <c r="AL917" t="s">
        <v>2228</v>
      </c>
      <c r="AM917">
        <v>0</v>
      </c>
      <c r="AN917" t="s">
        <v>2175</v>
      </c>
      <c r="AO917" t="s">
        <v>2175</v>
      </c>
      <c r="AP917" t="s">
        <v>2176</v>
      </c>
      <c r="AQ917">
        <v>117.16</v>
      </c>
      <c r="AR917">
        <v>3</v>
      </c>
      <c r="AS917">
        <v>3</v>
      </c>
      <c r="AT917">
        <v>3</v>
      </c>
      <c r="AU917">
        <v>1</v>
      </c>
      <c r="AV917">
        <v>2.333333333333333</v>
      </c>
      <c r="AW917">
        <v>4.8</v>
      </c>
      <c r="AY917">
        <v>4.5</v>
      </c>
      <c r="AZ917">
        <v>3</v>
      </c>
      <c r="BA917">
        <v>3</v>
      </c>
      <c r="BB917">
        <v>40</v>
      </c>
      <c r="BC917">
        <v>24</v>
      </c>
      <c r="BD917">
        <v>35.54</v>
      </c>
      <c r="BE917">
        <v>160</v>
      </c>
      <c r="BF917">
        <v>88.8</v>
      </c>
      <c r="BG917">
        <v>27</v>
      </c>
      <c r="BH917">
        <v>24</v>
      </c>
      <c r="BI917">
        <v>24.04</v>
      </c>
      <c r="BJ917">
        <v>106</v>
      </c>
      <c r="BK917">
        <v>89</v>
      </c>
      <c r="BL917">
        <v>160</v>
      </c>
      <c r="BM917">
        <v>8.7201000000000004</v>
      </c>
    </row>
    <row r="918" spans="1:65" x14ac:dyDescent="0.25">
      <c r="A918" t="s">
        <v>981</v>
      </c>
      <c r="B918" t="s">
        <v>1959</v>
      </c>
      <c r="C918" t="s">
        <v>2157</v>
      </c>
      <c r="D918" s="1">
        <v>45278</v>
      </c>
      <c r="E918" s="1">
        <v>45299</v>
      </c>
      <c r="F918" s="1">
        <v>45421</v>
      </c>
      <c r="G918" t="s">
        <v>2164</v>
      </c>
      <c r="I918" t="s">
        <v>2173</v>
      </c>
      <c r="J918">
        <v>29577</v>
      </c>
      <c r="K918">
        <v>887</v>
      </c>
      <c r="L918">
        <v>13.9</v>
      </c>
      <c r="M918">
        <v>12.8</v>
      </c>
      <c r="N918">
        <v>5</v>
      </c>
      <c r="O918">
        <v>10988</v>
      </c>
      <c r="P918" t="s">
        <v>2175</v>
      </c>
      <c r="Q918">
        <v>25</v>
      </c>
      <c r="R918">
        <v>37</v>
      </c>
      <c r="S918">
        <v>41</v>
      </c>
      <c r="T918">
        <v>287</v>
      </c>
      <c r="U918" t="s">
        <v>2166</v>
      </c>
      <c r="W918" t="s">
        <v>2209</v>
      </c>
      <c r="X918" t="s">
        <v>2211</v>
      </c>
      <c r="Y918" t="s">
        <v>2212</v>
      </c>
      <c r="Z918" s="1">
        <v>45402</v>
      </c>
      <c r="AA918" s="1">
        <v>45423</v>
      </c>
      <c r="AB918" t="s">
        <v>2214</v>
      </c>
      <c r="AC918" t="s">
        <v>2209</v>
      </c>
      <c r="AD918" t="s">
        <v>2218</v>
      </c>
      <c r="AE918" t="s">
        <v>2166</v>
      </c>
      <c r="AG918" t="s">
        <v>2221</v>
      </c>
      <c r="AH918">
        <v>103</v>
      </c>
      <c r="AI918">
        <v>124</v>
      </c>
      <c r="AJ918">
        <v>21</v>
      </c>
      <c r="AK918">
        <v>1</v>
      </c>
      <c r="AL918" t="s">
        <v>2233</v>
      </c>
      <c r="AM918">
        <v>0</v>
      </c>
      <c r="AN918" t="s">
        <v>2175</v>
      </c>
      <c r="AO918" t="s">
        <v>2177</v>
      </c>
      <c r="AP918" t="s">
        <v>2177</v>
      </c>
      <c r="AQ918">
        <v>177.92</v>
      </c>
      <c r="AR918">
        <v>3</v>
      </c>
      <c r="AS918">
        <v>3</v>
      </c>
      <c r="AT918">
        <v>2</v>
      </c>
      <c r="AU918">
        <v>2</v>
      </c>
      <c r="AV918">
        <v>2.333333333333333</v>
      </c>
      <c r="AW918">
        <v>4.8</v>
      </c>
      <c r="AY918">
        <v>4.5</v>
      </c>
      <c r="AZ918">
        <v>3</v>
      </c>
      <c r="BA918">
        <v>2</v>
      </c>
      <c r="BB918">
        <v>40</v>
      </c>
      <c r="BC918">
        <v>27</v>
      </c>
      <c r="BD918">
        <v>35.07</v>
      </c>
      <c r="BE918">
        <v>181</v>
      </c>
      <c r="BF918">
        <v>87.7</v>
      </c>
      <c r="BG918">
        <v>30</v>
      </c>
      <c r="BH918">
        <v>27</v>
      </c>
      <c r="BI918">
        <v>25.85</v>
      </c>
      <c r="BJ918">
        <v>132</v>
      </c>
      <c r="BK918">
        <v>86.2</v>
      </c>
      <c r="BL918">
        <v>181</v>
      </c>
      <c r="BM918">
        <v>6.0509000000000004</v>
      </c>
    </row>
    <row r="919" spans="1:65" x14ac:dyDescent="0.25">
      <c r="A919" t="s">
        <v>982</v>
      </c>
      <c r="B919" t="s">
        <v>1960</v>
      </c>
      <c r="C919" t="s">
        <v>2157</v>
      </c>
      <c r="D919" s="1">
        <v>45451</v>
      </c>
      <c r="E919" s="1">
        <v>45507</v>
      </c>
      <c r="F919" s="1">
        <v>45543</v>
      </c>
      <c r="G919" t="s">
        <v>2162</v>
      </c>
      <c r="I919" t="s">
        <v>2173</v>
      </c>
      <c r="J919">
        <v>11845</v>
      </c>
      <c r="K919">
        <v>355</v>
      </c>
      <c r="L919">
        <v>13.3</v>
      </c>
      <c r="M919">
        <v>4.7</v>
      </c>
      <c r="N919">
        <v>4</v>
      </c>
      <c r="O919">
        <v>5737</v>
      </c>
      <c r="P919" t="s">
        <v>2177</v>
      </c>
      <c r="Q919">
        <v>6</v>
      </c>
      <c r="R919">
        <v>8</v>
      </c>
      <c r="S919">
        <v>16</v>
      </c>
      <c r="T919">
        <v>394</v>
      </c>
      <c r="U919" t="s">
        <v>2166</v>
      </c>
      <c r="W919" t="s">
        <v>2209</v>
      </c>
      <c r="X919" t="s">
        <v>2211</v>
      </c>
      <c r="Y919" t="s">
        <v>2212</v>
      </c>
      <c r="Z919" s="1">
        <v>45537</v>
      </c>
      <c r="AA919" s="1">
        <v>45556</v>
      </c>
      <c r="AB919" t="s">
        <v>2215</v>
      </c>
      <c r="AC919" t="s">
        <v>2208</v>
      </c>
      <c r="AD919" t="s">
        <v>2218</v>
      </c>
      <c r="AE919" t="s">
        <v>2166</v>
      </c>
      <c r="AG919" t="s">
        <v>2221</v>
      </c>
      <c r="AH919">
        <v>30</v>
      </c>
      <c r="AI919">
        <v>49</v>
      </c>
      <c r="AJ919">
        <v>19</v>
      </c>
      <c r="AK919">
        <v>8</v>
      </c>
      <c r="AL919" t="s">
        <v>2232</v>
      </c>
      <c r="AM919">
        <v>0</v>
      </c>
      <c r="AN919" t="s">
        <v>2177</v>
      </c>
      <c r="AO919" t="s">
        <v>2177</v>
      </c>
      <c r="AP919" t="s">
        <v>2176</v>
      </c>
      <c r="AQ919">
        <v>62.510000000000012</v>
      </c>
      <c r="AR919">
        <v>2</v>
      </c>
      <c r="AS919">
        <v>2</v>
      </c>
      <c r="AT919">
        <v>2</v>
      </c>
      <c r="AU919">
        <v>1</v>
      </c>
      <c r="AV919">
        <v>1.666666666666667</v>
      </c>
      <c r="AW919">
        <v>4.8</v>
      </c>
      <c r="AY919">
        <v>4.2</v>
      </c>
      <c r="AZ919">
        <v>3</v>
      </c>
      <c r="BA919">
        <v>2</v>
      </c>
      <c r="BB919">
        <v>41</v>
      </c>
      <c r="BC919">
        <v>26</v>
      </c>
      <c r="BD919">
        <v>36.15</v>
      </c>
      <c r="BE919">
        <v>176</v>
      </c>
      <c r="BF919">
        <v>88.2</v>
      </c>
      <c r="BG919">
        <v>29</v>
      </c>
      <c r="BH919">
        <v>26</v>
      </c>
      <c r="BI919">
        <v>25.54</v>
      </c>
      <c r="BJ919">
        <v>124</v>
      </c>
      <c r="BK919">
        <v>88.1</v>
      </c>
      <c r="BL919">
        <v>176</v>
      </c>
      <c r="BM919">
        <v>2.5878999999999999</v>
      </c>
    </row>
    <row r="920" spans="1:65" x14ac:dyDescent="0.25">
      <c r="A920" t="s">
        <v>983</v>
      </c>
      <c r="B920" t="s">
        <v>1961</v>
      </c>
      <c r="C920" t="s">
        <v>2160</v>
      </c>
      <c r="D920" s="1">
        <v>45498</v>
      </c>
      <c r="E920" s="1">
        <v>45522</v>
      </c>
      <c r="F920" s="1">
        <v>45641</v>
      </c>
      <c r="G920" t="s">
        <v>2163</v>
      </c>
      <c r="I920" t="s">
        <v>2173</v>
      </c>
      <c r="J920">
        <v>26272</v>
      </c>
      <c r="K920">
        <v>788</v>
      </c>
      <c r="L920">
        <v>9.6</v>
      </c>
      <c r="M920">
        <v>11.6</v>
      </c>
      <c r="N920">
        <v>6</v>
      </c>
      <c r="O920">
        <v>11432</v>
      </c>
      <c r="P920" t="s">
        <v>2177</v>
      </c>
      <c r="Q920">
        <v>26</v>
      </c>
      <c r="R920">
        <v>33</v>
      </c>
      <c r="S920">
        <v>43</v>
      </c>
      <c r="T920">
        <v>257</v>
      </c>
      <c r="U920" t="s">
        <v>2166</v>
      </c>
      <c r="W920" t="s">
        <v>2209</v>
      </c>
      <c r="X920" t="s">
        <v>2211</v>
      </c>
      <c r="Y920" t="s">
        <v>2212</v>
      </c>
      <c r="Z920" s="1">
        <v>45624</v>
      </c>
      <c r="AA920" s="1">
        <v>45644</v>
      </c>
      <c r="AB920" t="s">
        <v>2214</v>
      </c>
      <c r="AC920" t="s">
        <v>2209</v>
      </c>
      <c r="AD920" t="s">
        <v>2218</v>
      </c>
      <c r="AE920" t="s">
        <v>2166</v>
      </c>
      <c r="AG920" t="s">
        <v>2221</v>
      </c>
      <c r="AH920">
        <v>102</v>
      </c>
      <c r="AI920">
        <v>122</v>
      </c>
      <c r="AJ920">
        <v>20</v>
      </c>
      <c r="AK920">
        <v>8</v>
      </c>
      <c r="AL920" t="s">
        <v>2232</v>
      </c>
      <c r="AM920">
        <v>0</v>
      </c>
      <c r="AN920" t="s">
        <v>2177</v>
      </c>
      <c r="AO920" t="s">
        <v>2177</v>
      </c>
      <c r="AP920" t="s">
        <v>2177</v>
      </c>
      <c r="AQ920">
        <v>111.36</v>
      </c>
      <c r="AR920">
        <v>2</v>
      </c>
      <c r="AS920">
        <v>2</v>
      </c>
      <c r="AT920">
        <v>2</v>
      </c>
      <c r="AU920">
        <v>2</v>
      </c>
      <c r="AV920">
        <v>2</v>
      </c>
      <c r="AW920">
        <v>4.8</v>
      </c>
      <c r="AY920">
        <v>4.4000000000000004</v>
      </c>
      <c r="AZ920">
        <v>1</v>
      </c>
      <c r="BA920">
        <v>2</v>
      </c>
      <c r="BB920">
        <v>41</v>
      </c>
      <c r="BC920">
        <v>26</v>
      </c>
      <c r="BD920">
        <v>36.15</v>
      </c>
      <c r="BE920">
        <v>176</v>
      </c>
      <c r="BF920">
        <v>88.2</v>
      </c>
      <c r="BG920">
        <v>37</v>
      </c>
      <c r="BH920">
        <v>26</v>
      </c>
      <c r="BI920">
        <v>32.880000000000003</v>
      </c>
      <c r="BJ920">
        <v>161</v>
      </c>
      <c r="BK920">
        <v>88.9</v>
      </c>
      <c r="BL920">
        <v>176</v>
      </c>
      <c r="BM920">
        <v>5.74</v>
      </c>
    </row>
    <row r="921" spans="1:65" x14ac:dyDescent="0.25">
      <c r="A921" t="s">
        <v>984</v>
      </c>
      <c r="B921" t="s">
        <v>1962</v>
      </c>
      <c r="C921" t="s">
        <v>2159</v>
      </c>
      <c r="D921" s="1">
        <v>45532</v>
      </c>
      <c r="E921" s="1">
        <v>45575</v>
      </c>
      <c r="F921" s="1">
        <v>45649</v>
      </c>
      <c r="G921" t="s">
        <v>2162</v>
      </c>
      <c r="I921" t="s">
        <v>2175</v>
      </c>
      <c r="J921">
        <v>23111</v>
      </c>
      <c r="K921">
        <v>693</v>
      </c>
      <c r="L921">
        <v>13.6</v>
      </c>
      <c r="M921">
        <v>11.2</v>
      </c>
      <c r="N921">
        <v>6</v>
      </c>
      <c r="O921">
        <v>6777</v>
      </c>
      <c r="P921" t="s">
        <v>2175</v>
      </c>
      <c r="Q921">
        <v>17</v>
      </c>
      <c r="R921">
        <v>24</v>
      </c>
      <c r="S921">
        <v>26</v>
      </c>
      <c r="T921">
        <v>344</v>
      </c>
      <c r="U921" t="s">
        <v>2166</v>
      </c>
      <c r="W921" t="s">
        <v>2209</v>
      </c>
      <c r="X921" t="s">
        <v>2211</v>
      </c>
      <c r="Y921" t="s">
        <v>2212</v>
      </c>
      <c r="Z921" s="1">
        <v>45642</v>
      </c>
      <c r="AA921" s="1">
        <v>45663</v>
      </c>
      <c r="AB921" t="s">
        <v>2215</v>
      </c>
      <c r="AC921" t="s">
        <v>2208</v>
      </c>
      <c r="AD921" t="s">
        <v>2218</v>
      </c>
      <c r="AE921" t="s">
        <v>2166</v>
      </c>
      <c r="AG921" t="s">
        <v>2221</v>
      </c>
      <c r="AH921">
        <v>67</v>
      </c>
      <c r="AI921">
        <v>88</v>
      </c>
      <c r="AJ921">
        <v>21</v>
      </c>
      <c r="AK921">
        <v>10</v>
      </c>
      <c r="AL921" t="s">
        <v>2230</v>
      </c>
      <c r="AM921">
        <v>1</v>
      </c>
      <c r="AN921" t="s">
        <v>2175</v>
      </c>
      <c r="AO921" t="s">
        <v>2177</v>
      </c>
      <c r="AP921" t="s">
        <v>2176</v>
      </c>
      <c r="AQ921">
        <v>152.32</v>
      </c>
      <c r="AR921">
        <v>3</v>
      </c>
      <c r="AS921">
        <v>3</v>
      </c>
      <c r="AT921">
        <v>2</v>
      </c>
      <c r="AU921">
        <v>1</v>
      </c>
      <c r="AV921">
        <v>2</v>
      </c>
      <c r="AW921">
        <v>4.8</v>
      </c>
      <c r="AY921">
        <v>4.2</v>
      </c>
      <c r="AZ921">
        <v>0</v>
      </c>
      <c r="BA921">
        <v>3</v>
      </c>
      <c r="BB921">
        <v>50</v>
      </c>
      <c r="BC921">
        <v>27</v>
      </c>
      <c r="BD921">
        <v>42.44</v>
      </c>
      <c r="BE921">
        <v>220</v>
      </c>
      <c r="BF921">
        <v>84.9</v>
      </c>
      <c r="BG921">
        <v>25</v>
      </c>
      <c r="BH921">
        <v>27</v>
      </c>
      <c r="BI921">
        <v>21.89</v>
      </c>
      <c r="BJ921">
        <v>108</v>
      </c>
      <c r="BK921">
        <v>87.6</v>
      </c>
      <c r="BL921">
        <v>220</v>
      </c>
      <c r="BM921">
        <v>3.8900999999999999</v>
      </c>
    </row>
    <row r="922" spans="1:65" x14ac:dyDescent="0.25">
      <c r="A922" t="s">
        <v>985</v>
      </c>
      <c r="B922" t="s">
        <v>1963</v>
      </c>
      <c r="C922" t="s">
        <v>2160</v>
      </c>
      <c r="D922" s="1">
        <v>45274</v>
      </c>
      <c r="E922" s="1">
        <v>45325</v>
      </c>
      <c r="F922" s="1">
        <v>45426</v>
      </c>
      <c r="G922" t="s">
        <v>2162</v>
      </c>
      <c r="I922" t="s">
        <v>2175</v>
      </c>
      <c r="J922">
        <v>33877</v>
      </c>
      <c r="K922">
        <v>1016</v>
      </c>
      <c r="L922">
        <v>11.8</v>
      </c>
      <c r="M922">
        <v>7.8</v>
      </c>
      <c r="N922">
        <v>7</v>
      </c>
      <c r="O922">
        <v>6242</v>
      </c>
      <c r="P922" t="s">
        <v>2177</v>
      </c>
      <c r="Q922">
        <v>20</v>
      </c>
      <c r="R922">
        <v>28</v>
      </c>
      <c r="S922">
        <v>46</v>
      </c>
      <c r="T922">
        <v>360</v>
      </c>
      <c r="U922" t="s">
        <v>2166</v>
      </c>
      <c r="W922" t="s">
        <v>2209</v>
      </c>
      <c r="X922" t="s">
        <v>2211</v>
      </c>
      <c r="Y922" t="s">
        <v>2212</v>
      </c>
      <c r="Z922" s="1">
        <v>45419</v>
      </c>
      <c r="AA922" s="1">
        <v>45439</v>
      </c>
      <c r="AB922" t="s">
        <v>2215</v>
      </c>
      <c r="AC922" t="s">
        <v>2208</v>
      </c>
      <c r="AD922" t="s">
        <v>2218</v>
      </c>
      <c r="AE922" t="s">
        <v>2166</v>
      </c>
      <c r="AG922" t="s">
        <v>2221</v>
      </c>
      <c r="AH922">
        <v>94</v>
      </c>
      <c r="AI922">
        <v>114</v>
      </c>
      <c r="AJ922">
        <v>20</v>
      </c>
      <c r="AK922">
        <v>2</v>
      </c>
      <c r="AL922" t="s">
        <v>2228</v>
      </c>
      <c r="AM922">
        <v>0</v>
      </c>
      <c r="AN922" t="s">
        <v>2177</v>
      </c>
      <c r="AO922" t="s">
        <v>2175</v>
      </c>
      <c r="AP922" t="s">
        <v>2176</v>
      </c>
      <c r="AQ922">
        <v>92.04</v>
      </c>
      <c r="AR922">
        <v>2</v>
      </c>
      <c r="AS922">
        <v>2</v>
      </c>
      <c r="AT922">
        <v>3</v>
      </c>
      <c r="AU922">
        <v>1</v>
      </c>
      <c r="AV922">
        <v>2</v>
      </c>
      <c r="AW922">
        <v>4.8</v>
      </c>
      <c r="AY922">
        <v>4.2</v>
      </c>
      <c r="AZ922">
        <v>1</v>
      </c>
      <c r="BA922">
        <v>3</v>
      </c>
      <c r="BB922">
        <v>40</v>
      </c>
      <c r="BC922">
        <v>24</v>
      </c>
      <c r="BD922">
        <v>35.54</v>
      </c>
      <c r="BE922">
        <v>160</v>
      </c>
      <c r="BF922">
        <v>88.8</v>
      </c>
      <c r="BG922">
        <v>34</v>
      </c>
      <c r="BH922">
        <v>24</v>
      </c>
      <c r="BI922">
        <v>30.5</v>
      </c>
      <c r="BJ922">
        <v>136</v>
      </c>
      <c r="BK922">
        <v>89.7</v>
      </c>
      <c r="BL922">
        <v>160</v>
      </c>
      <c r="BM922">
        <v>8.8198000000000008</v>
      </c>
    </row>
    <row r="923" spans="1:65" x14ac:dyDescent="0.25">
      <c r="A923" t="s">
        <v>986</v>
      </c>
      <c r="B923" t="s">
        <v>1964</v>
      </c>
      <c r="C923" t="s">
        <v>2158</v>
      </c>
      <c r="D923" s="1">
        <v>45323</v>
      </c>
      <c r="E923" s="1">
        <v>45363</v>
      </c>
      <c r="F923" s="1">
        <v>45469</v>
      </c>
      <c r="G923" t="s">
        <v>2163</v>
      </c>
      <c r="I923" t="s">
        <v>2173</v>
      </c>
      <c r="J923">
        <v>26302</v>
      </c>
      <c r="K923">
        <v>789</v>
      </c>
      <c r="L923">
        <v>7.2</v>
      </c>
      <c r="M923">
        <v>7.4</v>
      </c>
      <c r="N923">
        <v>7</v>
      </c>
      <c r="O923">
        <v>10324</v>
      </c>
      <c r="P923" t="s">
        <v>2177</v>
      </c>
      <c r="Q923">
        <v>22</v>
      </c>
      <c r="R923">
        <v>32</v>
      </c>
      <c r="S923">
        <v>32</v>
      </c>
      <c r="T923">
        <v>305</v>
      </c>
      <c r="U923" t="s">
        <v>2166</v>
      </c>
      <c r="W923" t="s">
        <v>2209</v>
      </c>
      <c r="X923" t="s">
        <v>2211</v>
      </c>
      <c r="Y923" t="s">
        <v>2212</v>
      </c>
      <c r="Z923" s="1">
        <v>45449</v>
      </c>
      <c r="AA923" s="1">
        <v>45466</v>
      </c>
      <c r="AB923" t="s">
        <v>2214</v>
      </c>
      <c r="AC923" t="s">
        <v>2209</v>
      </c>
      <c r="AD923" t="s">
        <v>2218</v>
      </c>
      <c r="AE923" t="s">
        <v>2166</v>
      </c>
      <c r="AG923" t="s">
        <v>2221</v>
      </c>
      <c r="AH923">
        <v>86</v>
      </c>
      <c r="AI923">
        <v>103</v>
      </c>
      <c r="AJ923">
        <v>17</v>
      </c>
      <c r="AK923">
        <v>3</v>
      </c>
      <c r="AL923" t="s">
        <v>2227</v>
      </c>
      <c r="AM923">
        <v>0</v>
      </c>
      <c r="AN923" t="s">
        <v>2177</v>
      </c>
      <c r="AO923" t="s">
        <v>2175</v>
      </c>
      <c r="AP923" t="s">
        <v>2177</v>
      </c>
      <c r="AQ923">
        <v>53.28</v>
      </c>
      <c r="AR923">
        <v>2</v>
      </c>
      <c r="AS923">
        <v>2</v>
      </c>
      <c r="AT923">
        <v>3</v>
      </c>
      <c r="AU923">
        <v>2</v>
      </c>
      <c r="AV923">
        <v>2.333333333333333</v>
      </c>
      <c r="AW923">
        <v>4.8</v>
      </c>
      <c r="AY923">
        <v>4.4000000000000004</v>
      </c>
      <c r="AZ923">
        <v>2</v>
      </c>
      <c r="BA923">
        <v>2</v>
      </c>
      <c r="BB923">
        <v>49</v>
      </c>
      <c r="BC923">
        <v>26</v>
      </c>
      <c r="BD923">
        <v>43.12</v>
      </c>
      <c r="BE923">
        <v>216</v>
      </c>
      <c r="BF923">
        <v>88</v>
      </c>
      <c r="BG923">
        <v>35</v>
      </c>
      <c r="BH923">
        <v>26</v>
      </c>
      <c r="BI923">
        <v>31.08</v>
      </c>
      <c r="BJ923">
        <v>149</v>
      </c>
      <c r="BK923">
        <v>88.8</v>
      </c>
      <c r="BL923">
        <v>216</v>
      </c>
      <c r="BM923">
        <v>4.6825999999999999</v>
      </c>
    </row>
    <row r="924" spans="1:65" x14ac:dyDescent="0.25">
      <c r="A924" t="s">
        <v>987</v>
      </c>
      <c r="B924" t="s">
        <v>1965</v>
      </c>
      <c r="C924" t="s">
        <v>2159</v>
      </c>
      <c r="D924" s="1">
        <v>45537</v>
      </c>
      <c r="E924" s="1">
        <v>45567</v>
      </c>
      <c r="F924" s="1">
        <v>45636</v>
      </c>
      <c r="G924" t="s">
        <v>2165</v>
      </c>
      <c r="I924" t="s">
        <v>2175</v>
      </c>
      <c r="J924">
        <v>11845</v>
      </c>
      <c r="K924">
        <v>355</v>
      </c>
      <c r="L924">
        <v>7.6</v>
      </c>
      <c r="M924">
        <v>4.8</v>
      </c>
      <c r="N924">
        <v>3</v>
      </c>
      <c r="O924">
        <v>5368</v>
      </c>
      <c r="P924" t="s">
        <v>2176</v>
      </c>
      <c r="Q924">
        <v>10</v>
      </c>
      <c r="R924">
        <v>14</v>
      </c>
      <c r="S924">
        <v>21</v>
      </c>
      <c r="T924">
        <v>263</v>
      </c>
      <c r="U924" t="s">
        <v>2166</v>
      </c>
      <c r="W924" t="s">
        <v>2209</v>
      </c>
      <c r="X924" t="s">
        <v>2211</v>
      </c>
      <c r="Y924" t="s">
        <v>2212</v>
      </c>
      <c r="Z924" s="1">
        <v>45612</v>
      </c>
      <c r="AA924" s="1">
        <v>45633</v>
      </c>
      <c r="AB924" t="s">
        <v>2214</v>
      </c>
      <c r="AC924" t="s">
        <v>2209</v>
      </c>
      <c r="AD924" t="s">
        <v>2218</v>
      </c>
      <c r="AE924" t="s">
        <v>2166</v>
      </c>
      <c r="AG924" t="s">
        <v>2221</v>
      </c>
      <c r="AH924">
        <v>45</v>
      </c>
      <c r="AI924">
        <v>66</v>
      </c>
      <c r="AJ924">
        <v>21</v>
      </c>
      <c r="AK924">
        <v>10</v>
      </c>
      <c r="AL924" t="s">
        <v>2230</v>
      </c>
      <c r="AM924">
        <v>1</v>
      </c>
      <c r="AN924" t="s">
        <v>2176</v>
      </c>
      <c r="AO924" t="s">
        <v>2176</v>
      </c>
      <c r="AP924" t="s">
        <v>2176</v>
      </c>
      <c r="AQ924">
        <v>36.479999999999997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4.8</v>
      </c>
      <c r="AY924">
        <v>4.5999999999999996</v>
      </c>
      <c r="AZ924">
        <v>0</v>
      </c>
      <c r="BA924">
        <v>3</v>
      </c>
      <c r="BB924">
        <v>50</v>
      </c>
      <c r="BC924">
        <v>27</v>
      </c>
      <c r="BD924">
        <v>42.44</v>
      </c>
      <c r="BE924">
        <v>220</v>
      </c>
      <c r="BF924">
        <v>84.9</v>
      </c>
      <c r="BG924">
        <v>43</v>
      </c>
      <c r="BH924">
        <v>27</v>
      </c>
      <c r="BI924">
        <v>37.33</v>
      </c>
      <c r="BJ924">
        <v>194</v>
      </c>
      <c r="BK924">
        <v>86.8</v>
      </c>
      <c r="BL924">
        <v>220</v>
      </c>
      <c r="BM924">
        <v>1.9938</v>
      </c>
    </row>
    <row r="925" spans="1:65" x14ac:dyDescent="0.25">
      <c r="A925" t="s">
        <v>988</v>
      </c>
      <c r="B925" t="s">
        <v>1966</v>
      </c>
      <c r="C925" t="s">
        <v>2157</v>
      </c>
      <c r="D925" s="1">
        <v>45490</v>
      </c>
      <c r="E925" s="1">
        <v>45539</v>
      </c>
      <c r="F925" s="1">
        <v>45657</v>
      </c>
      <c r="G925" t="s">
        <v>2165</v>
      </c>
      <c r="I925" t="s">
        <v>2173</v>
      </c>
      <c r="J925">
        <v>33496</v>
      </c>
      <c r="K925">
        <v>1004</v>
      </c>
      <c r="L925">
        <v>9.1</v>
      </c>
      <c r="M925">
        <v>6.4</v>
      </c>
      <c r="N925">
        <v>3</v>
      </c>
      <c r="O925">
        <v>9151</v>
      </c>
      <c r="P925" t="s">
        <v>2177</v>
      </c>
      <c r="Q925">
        <v>28</v>
      </c>
      <c r="R925">
        <v>47</v>
      </c>
      <c r="S925">
        <v>35</v>
      </c>
      <c r="T925">
        <v>304</v>
      </c>
      <c r="U925" t="s">
        <v>2166</v>
      </c>
      <c r="W925" t="s">
        <v>2209</v>
      </c>
      <c r="X925" t="s">
        <v>2211</v>
      </c>
      <c r="Y925" t="s">
        <v>2212</v>
      </c>
      <c r="Z925" s="1">
        <v>45649</v>
      </c>
      <c r="AA925" s="1">
        <v>45667</v>
      </c>
      <c r="AB925" t="s">
        <v>2215</v>
      </c>
      <c r="AC925" t="s">
        <v>2208</v>
      </c>
      <c r="AD925" t="s">
        <v>2218</v>
      </c>
      <c r="AE925" t="s">
        <v>2166</v>
      </c>
      <c r="AG925" t="s">
        <v>2221</v>
      </c>
      <c r="AH925">
        <v>110</v>
      </c>
      <c r="AI925">
        <v>128</v>
      </c>
      <c r="AJ925">
        <v>18</v>
      </c>
      <c r="AK925">
        <v>9</v>
      </c>
      <c r="AL925" t="s">
        <v>2234</v>
      </c>
      <c r="AM925">
        <v>0</v>
      </c>
      <c r="AN925" t="s">
        <v>2177</v>
      </c>
      <c r="AO925" t="s">
        <v>2176</v>
      </c>
      <c r="AP925" t="s">
        <v>2177</v>
      </c>
      <c r="AQ925">
        <v>58.24</v>
      </c>
      <c r="AR925">
        <v>2</v>
      </c>
      <c r="AS925">
        <v>2</v>
      </c>
      <c r="AT925">
        <v>1</v>
      </c>
      <c r="AU925">
        <v>2</v>
      </c>
      <c r="AV925">
        <v>1.666666666666667</v>
      </c>
      <c r="AW925">
        <v>4.8</v>
      </c>
      <c r="AY925">
        <v>4.5999999999999996</v>
      </c>
      <c r="AZ925">
        <v>3</v>
      </c>
      <c r="BA925">
        <v>2</v>
      </c>
      <c r="BB925">
        <v>48</v>
      </c>
      <c r="BC925">
        <v>26</v>
      </c>
      <c r="BD925">
        <v>42</v>
      </c>
      <c r="BE925">
        <v>204</v>
      </c>
      <c r="BF925">
        <v>87.5</v>
      </c>
      <c r="BG925">
        <v>45</v>
      </c>
      <c r="BH925">
        <v>26</v>
      </c>
      <c r="BI925">
        <v>39.85</v>
      </c>
      <c r="BJ925">
        <v>196</v>
      </c>
      <c r="BK925">
        <v>88.6</v>
      </c>
      <c r="BL925">
        <v>204</v>
      </c>
      <c r="BM925">
        <v>6.3140000000000001</v>
      </c>
    </row>
    <row r="926" spans="1:65" x14ac:dyDescent="0.25">
      <c r="A926" t="s">
        <v>989</v>
      </c>
      <c r="B926" t="s">
        <v>1967</v>
      </c>
      <c r="C926" t="s">
        <v>2157</v>
      </c>
      <c r="D926" s="1">
        <v>45519</v>
      </c>
      <c r="E926" s="1">
        <v>45545</v>
      </c>
      <c r="F926" s="1">
        <v>45650</v>
      </c>
      <c r="G926" t="s">
        <v>2164</v>
      </c>
      <c r="I926" t="s">
        <v>2173</v>
      </c>
      <c r="J926">
        <v>27276</v>
      </c>
      <c r="K926">
        <v>818</v>
      </c>
      <c r="L926">
        <v>6.7</v>
      </c>
      <c r="M926">
        <v>13.8</v>
      </c>
      <c r="N926">
        <v>4</v>
      </c>
      <c r="O926">
        <v>10212</v>
      </c>
      <c r="P926" t="s">
        <v>2177</v>
      </c>
      <c r="Q926">
        <v>19</v>
      </c>
      <c r="R926">
        <v>28</v>
      </c>
      <c r="S926">
        <v>47</v>
      </c>
      <c r="T926">
        <v>290</v>
      </c>
      <c r="U926" t="s">
        <v>2166</v>
      </c>
      <c r="W926" t="s">
        <v>2209</v>
      </c>
      <c r="X926" t="s">
        <v>2211</v>
      </c>
      <c r="Y926" t="s">
        <v>2212</v>
      </c>
      <c r="Z926" s="1">
        <v>45639</v>
      </c>
      <c r="AA926" s="1">
        <v>45658</v>
      </c>
      <c r="AB926" t="s">
        <v>2215</v>
      </c>
      <c r="AC926" t="s">
        <v>2208</v>
      </c>
      <c r="AD926" t="s">
        <v>2218</v>
      </c>
      <c r="AE926" t="s">
        <v>2166</v>
      </c>
      <c r="AG926" t="s">
        <v>2221</v>
      </c>
      <c r="AH926">
        <v>94</v>
      </c>
      <c r="AI926">
        <v>113</v>
      </c>
      <c r="AJ926">
        <v>19</v>
      </c>
      <c r="AK926">
        <v>9</v>
      </c>
      <c r="AL926" t="s">
        <v>2234</v>
      </c>
      <c r="AM926">
        <v>0</v>
      </c>
      <c r="AN926" t="s">
        <v>2177</v>
      </c>
      <c r="AO926" t="s">
        <v>2177</v>
      </c>
      <c r="AP926" t="s">
        <v>2177</v>
      </c>
      <c r="AQ926">
        <v>92.460000000000008</v>
      </c>
      <c r="AR926">
        <v>2</v>
      </c>
      <c r="AS926">
        <v>2</v>
      </c>
      <c r="AT926">
        <v>2</v>
      </c>
      <c r="AU926">
        <v>2</v>
      </c>
      <c r="AV926">
        <v>2</v>
      </c>
      <c r="AW926">
        <v>4.8</v>
      </c>
      <c r="AY926">
        <v>4.5</v>
      </c>
      <c r="AZ926">
        <v>3</v>
      </c>
      <c r="BA926">
        <v>2</v>
      </c>
      <c r="BB926">
        <v>48</v>
      </c>
      <c r="BC926">
        <v>26</v>
      </c>
      <c r="BD926">
        <v>42</v>
      </c>
      <c r="BE926">
        <v>204</v>
      </c>
      <c r="BF926">
        <v>87.5</v>
      </c>
      <c r="BG926">
        <v>34</v>
      </c>
      <c r="BH926">
        <v>26</v>
      </c>
      <c r="BI926">
        <v>29.81</v>
      </c>
      <c r="BJ926">
        <v>147</v>
      </c>
      <c r="BK926">
        <v>87.7</v>
      </c>
      <c r="BL926">
        <v>204</v>
      </c>
      <c r="BM926">
        <v>5.1416000000000004</v>
      </c>
    </row>
    <row r="927" spans="1:65" x14ac:dyDescent="0.25">
      <c r="A927" t="s">
        <v>990</v>
      </c>
      <c r="B927" t="s">
        <v>1968</v>
      </c>
      <c r="C927" t="s">
        <v>2157</v>
      </c>
      <c r="D927" s="1">
        <v>45444</v>
      </c>
      <c r="E927" s="1">
        <v>45480</v>
      </c>
      <c r="F927" s="1">
        <v>45531</v>
      </c>
      <c r="G927" t="s">
        <v>2164</v>
      </c>
      <c r="I927" t="s">
        <v>2173</v>
      </c>
      <c r="J927">
        <v>12662</v>
      </c>
      <c r="K927">
        <v>379</v>
      </c>
      <c r="L927">
        <v>8.6</v>
      </c>
      <c r="M927">
        <v>13.5</v>
      </c>
      <c r="N927">
        <v>6</v>
      </c>
      <c r="O927">
        <v>5344</v>
      </c>
      <c r="P927" t="s">
        <v>2177</v>
      </c>
      <c r="Q927">
        <v>8</v>
      </c>
      <c r="R927">
        <v>13</v>
      </c>
      <c r="S927">
        <v>17</v>
      </c>
      <c r="T927">
        <v>333</v>
      </c>
      <c r="U927" t="s">
        <v>2166</v>
      </c>
      <c r="W927" t="s">
        <v>2209</v>
      </c>
      <c r="X927" t="s">
        <v>2211</v>
      </c>
      <c r="Y927" t="s">
        <v>2212</v>
      </c>
      <c r="Z927" s="1">
        <v>45518</v>
      </c>
      <c r="AA927" s="1">
        <v>45538</v>
      </c>
      <c r="AB927" t="s">
        <v>2214</v>
      </c>
      <c r="AC927" t="s">
        <v>2209</v>
      </c>
      <c r="AD927" t="s">
        <v>2218</v>
      </c>
      <c r="AE927" t="s">
        <v>2166</v>
      </c>
      <c r="AG927" t="s">
        <v>2221</v>
      </c>
      <c r="AH927">
        <v>38</v>
      </c>
      <c r="AI927">
        <v>58</v>
      </c>
      <c r="AJ927">
        <v>20</v>
      </c>
      <c r="AK927">
        <v>7</v>
      </c>
      <c r="AL927" t="s">
        <v>2226</v>
      </c>
      <c r="AM927">
        <v>0</v>
      </c>
      <c r="AN927" t="s">
        <v>2177</v>
      </c>
      <c r="AO927" t="s">
        <v>2177</v>
      </c>
      <c r="AP927" t="s">
        <v>2176</v>
      </c>
      <c r="AQ927">
        <v>116.1</v>
      </c>
      <c r="AR927">
        <v>2</v>
      </c>
      <c r="AS927">
        <v>2</v>
      </c>
      <c r="AT927">
        <v>2</v>
      </c>
      <c r="AU927">
        <v>1</v>
      </c>
      <c r="AV927">
        <v>1.666666666666667</v>
      </c>
      <c r="AW927">
        <v>4.8</v>
      </c>
      <c r="AY927">
        <v>4.5</v>
      </c>
      <c r="AZ927">
        <v>3</v>
      </c>
      <c r="BA927">
        <v>2</v>
      </c>
      <c r="BB927">
        <v>48</v>
      </c>
      <c r="BC927">
        <v>27</v>
      </c>
      <c r="BD927">
        <v>42.33</v>
      </c>
      <c r="BE927">
        <v>216</v>
      </c>
      <c r="BF927">
        <v>88.2</v>
      </c>
      <c r="BG927">
        <v>29</v>
      </c>
      <c r="BH927">
        <v>27</v>
      </c>
      <c r="BI927">
        <v>25.96</v>
      </c>
      <c r="BJ927">
        <v>130</v>
      </c>
      <c r="BK927">
        <v>89.5</v>
      </c>
      <c r="BL927">
        <v>216</v>
      </c>
      <c r="BM927">
        <v>2.1707999999999998</v>
      </c>
    </row>
    <row r="928" spans="1:65" x14ac:dyDescent="0.25">
      <c r="A928" t="s">
        <v>991</v>
      </c>
      <c r="B928" t="s">
        <v>1969</v>
      </c>
      <c r="C928" t="s">
        <v>2160</v>
      </c>
      <c r="D928" s="1">
        <v>45504</v>
      </c>
      <c r="E928" s="1">
        <v>45537</v>
      </c>
      <c r="F928" s="1">
        <v>45645</v>
      </c>
      <c r="G928" t="s">
        <v>2161</v>
      </c>
      <c r="I928" t="s">
        <v>2175</v>
      </c>
      <c r="J928">
        <v>33692</v>
      </c>
      <c r="K928">
        <v>1010</v>
      </c>
      <c r="L928">
        <v>9</v>
      </c>
      <c r="M928">
        <v>12.3</v>
      </c>
      <c r="N928">
        <v>7</v>
      </c>
      <c r="O928">
        <v>6736</v>
      </c>
      <c r="P928" t="s">
        <v>2177</v>
      </c>
      <c r="Q928">
        <v>26</v>
      </c>
      <c r="R928">
        <v>41</v>
      </c>
      <c r="S928">
        <v>29</v>
      </c>
      <c r="T928">
        <v>350</v>
      </c>
      <c r="U928" t="s">
        <v>2166</v>
      </c>
      <c r="W928" t="s">
        <v>2209</v>
      </c>
      <c r="X928" t="s">
        <v>2211</v>
      </c>
      <c r="Y928" t="s">
        <v>2212</v>
      </c>
      <c r="Z928" s="1">
        <v>45633</v>
      </c>
      <c r="AA928" s="1">
        <v>45652</v>
      </c>
      <c r="AB928" t="s">
        <v>2215</v>
      </c>
      <c r="AC928" t="s">
        <v>2208</v>
      </c>
      <c r="AD928" t="s">
        <v>2218</v>
      </c>
      <c r="AE928" t="s">
        <v>2166</v>
      </c>
      <c r="AG928" t="s">
        <v>2221</v>
      </c>
      <c r="AH928">
        <v>96</v>
      </c>
      <c r="AI928">
        <v>115</v>
      </c>
      <c r="AJ928">
        <v>19</v>
      </c>
      <c r="AK928">
        <v>9</v>
      </c>
      <c r="AL928" t="s">
        <v>2234</v>
      </c>
      <c r="AM928">
        <v>0</v>
      </c>
      <c r="AN928" t="s">
        <v>2177</v>
      </c>
      <c r="AO928" t="s">
        <v>2175</v>
      </c>
      <c r="AP928" t="s">
        <v>2176</v>
      </c>
      <c r="AQ928">
        <v>110.7</v>
      </c>
      <c r="AR928">
        <v>2</v>
      </c>
      <c r="AS928">
        <v>2</v>
      </c>
      <c r="AT928">
        <v>3</v>
      </c>
      <c r="AU928">
        <v>1</v>
      </c>
      <c r="AV928">
        <v>2</v>
      </c>
      <c r="AW928">
        <v>4.8</v>
      </c>
      <c r="AY928">
        <v>4.3</v>
      </c>
      <c r="AZ928">
        <v>1</v>
      </c>
      <c r="BA928">
        <v>3</v>
      </c>
      <c r="BB928">
        <v>48</v>
      </c>
      <c r="BC928">
        <v>26</v>
      </c>
      <c r="BD928">
        <v>42</v>
      </c>
      <c r="BE928">
        <v>204</v>
      </c>
      <c r="BF928">
        <v>87.5</v>
      </c>
      <c r="BG928">
        <v>28</v>
      </c>
      <c r="BH928">
        <v>26</v>
      </c>
      <c r="BI928">
        <v>24.77</v>
      </c>
      <c r="BJ928">
        <v>119</v>
      </c>
      <c r="BK928">
        <v>88.5</v>
      </c>
      <c r="BL928">
        <v>204</v>
      </c>
      <c r="BM928">
        <v>6.351</v>
      </c>
    </row>
    <row r="929" spans="1:65" x14ac:dyDescent="0.25">
      <c r="A929" t="s">
        <v>992</v>
      </c>
      <c r="B929" t="s">
        <v>1970</v>
      </c>
      <c r="C929" t="s">
        <v>2158</v>
      </c>
      <c r="D929" s="1">
        <v>45551</v>
      </c>
      <c r="E929" s="1">
        <v>45577</v>
      </c>
      <c r="F929" s="1">
        <v>45683</v>
      </c>
      <c r="G929" t="s">
        <v>2166</v>
      </c>
      <c r="I929" t="s">
        <v>2173</v>
      </c>
      <c r="J929">
        <v>25740</v>
      </c>
      <c r="K929">
        <v>772</v>
      </c>
      <c r="L929">
        <v>5.0999999999999996</v>
      </c>
      <c r="M929">
        <v>5.7</v>
      </c>
      <c r="N929">
        <v>3</v>
      </c>
      <c r="O929">
        <v>6394</v>
      </c>
      <c r="P929" t="s">
        <v>2177</v>
      </c>
      <c r="Q929">
        <v>23</v>
      </c>
      <c r="R929">
        <v>34</v>
      </c>
      <c r="S929">
        <v>34</v>
      </c>
      <c r="T929">
        <v>282</v>
      </c>
      <c r="U929" t="s">
        <v>2165</v>
      </c>
      <c r="W929" t="s">
        <v>2209</v>
      </c>
      <c r="X929" t="s">
        <v>2211</v>
      </c>
      <c r="Y929" t="s">
        <v>2212</v>
      </c>
      <c r="Z929" s="1">
        <v>45668</v>
      </c>
      <c r="AA929" s="1">
        <v>45683</v>
      </c>
      <c r="AB929" t="s">
        <v>2214</v>
      </c>
      <c r="AC929" t="s">
        <v>2209</v>
      </c>
      <c r="AD929" t="s">
        <v>2218</v>
      </c>
      <c r="AE929" t="s">
        <v>2165</v>
      </c>
      <c r="AG929" t="s">
        <v>2221</v>
      </c>
      <c r="AH929">
        <v>91</v>
      </c>
      <c r="AI929">
        <v>106</v>
      </c>
      <c r="AJ929">
        <v>15</v>
      </c>
      <c r="AK929">
        <v>10</v>
      </c>
      <c r="AL929" t="s">
        <v>2230</v>
      </c>
      <c r="AM929">
        <v>1</v>
      </c>
      <c r="AN929" t="s">
        <v>2177</v>
      </c>
      <c r="AO929" t="s">
        <v>2176</v>
      </c>
      <c r="AP929" t="s">
        <v>2176</v>
      </c>
      <c r="AQ929">
        <v>29.07</v>
      </c>
      <c r="AR929">
        <v>2</v>
      </c>
      <c r="AS929">
        <v>2</v>
      </c>
      <c r="AT929">
        <v>1</v>
      </c>
      <c r="AU929">
        <v>1</v>
      </c>
      <c r="AV929">
        <v>1.333333333333333</v>
      </c>
      <c r="AW929">
        <v>4.5999999999999996</v>
      </c>
      <c r="AY929">
        <v>4.8</v>
      </c>
      <c r="AZ929">
        <v>2</v>
      </c>
      <c r="BA929">
        <v>2</v>
      </c>
      <c r="BB929">
        <v>43</v>
      </c>
      <c r="BC929">
        <v>27</v>
      </c>
      <c r="BD929">
        <v>37.33</v>
      </c>
      <c r="BE929">
        <v>194</v>
      </c>
      <c r="BF929">
        <v>86.8</v>
      </c>
      <c r="BG929">
        <v>50</v>
      </c>
      <c r="BH929">
        <v>27</v>
      </c>
      <c r="BI929">
        <v>42.44</v>
      </c>
      <c r="BJ929">
        <v>220</v>
      </c>
      <c r="BK929">
        <v>84.9</v>
      </c>
      <c r="BL929">
        <v>194</v>
      </c>
      <c r="BM929">
        <v>4.9131999999999998</v>
      </c>
    </row>
    <row r="930" spans="1:65" x14ac:dyDescent="0.25">
      <c r="A930" t="s">
        <v>993</v>
      </c>
      <c r="B930" t="s">
        <v>1971</v>
      </c>
      <c r="C930" t="s">
        <v>2160</v>
      </c>
      <c r="D930" s="1">
        <v>45473</v>
      </c>
      <c r="E930" s="1">
        <v>45521</v>
      </c>
      <c r="F930" s="1">
        <v>45579</v>
      </c>
      <c r="G930" t="s">
        <v>2164</v>
      </c>
      <c r="I930" t="s">
        <v>2175</v>
      </c>
      <c r="J930">
        <v>20349</v>
      </c>
      <c r="K930">
        <v>610</v>
      </c>
      <c r="L930">
        <v>8.1</v>
      </c>
      <c r="M930">
        <v>11.5</v>
      </c>
      <c r="N930">
        <v>3</v>
      </c>
      <c r="O930">
        <v>5809</v>
      </c>
      <c r="P930" t="s">
        <v>2177</v>
      </c>
      <c r="Q930">
        <v>12</v>
      </c>
      <c r="R930">
        <v>16</v>
      </c>
      <c r="S930">
        <v>18</v>
      </c>
      <c r="T930">
        <v>442</v>
      </c>
      <c r="U930" t="s">
        <v>2166</v>
      </c>
      <c r="W930" t="s">
        <v>2209</v>
      </c>
      <c r="X930" t="s">
        <v>2211</v>
      </c>
      <c r="Y930" t="s">
        <v>2212</v>
      </c>
      <c r="Z930" s="1">
        <v>45567</v>
      </c>
      <c r="AA930" s="1">
        <v>45587</v>
      </c>
      <c r="AB930" t="s">
        <v>2215</v>
      </c>
      <c r="AC930" t="s">
        <v>2208</v>
      </c>
      <c r="AD930" t="s">
        <v>2218</v>
      </c>
      <c r="AE930" t="s">
        <v>2166</v>
      </c>
      <c r="AG930" t="s">
        <v>2221</v>
      </c>
      <c r="AH930">
        <v>46</v>
      </c>
      <c r="AI930">
        <v>66</v>
      </c>
      <c r="AJ930">
        <v>20</v>
      </c>
      <c r="AK930">
        <v>8</v>
      </c>
      <c r="AL930" t="s">
        <v>2232</v>
      </c>
      <c r="AM930">
        <v>0</v>
      </c>
      <c r="AN930" t="s">
        <v>2177</v>
      </c>
      <c r="AO930" t="s">
        <v>2176</v>
      </c>
      <c r="AP930" t="s">
        <v>2176</v>
      </c>
      <c r="AQ930">
        <v>93.149999999999991</v>
      </c>
      <c r="AR930">
        <v>2</v>
      </c>
      <c r="AS930">
        <v>2</v>
      </c>
      <c r="AT930">
        <v>1</v>
      </c>
      <c r="AU930">
        <v>1</v>
      </c>
      <c r="AV930">
        <v>1.333333333333333</v>
      </c>
      <c r="AW930">
        <v>4.8</v>
      </c>
      <c r="AY930">
        <v>4.5</v>
      </c>
      <c r="AZ930">
        <v>1</v>
      </c>
      <c r="BA930">
        <v>3</v>
      </c>
      <c r="BB930">
        <v>41</v>
      </c>
      <c r="BC930">
        <v>26</v>
      </c>
      <c r="BD930">
        <v>36.15</v>
      </c>
      <c r="BE930">
        <v>176</v>
      </c>
      <c r="BF930">
        <v>88.2</v>
      </c>
      <c r="BG930">
        <v>27</v>
      </c>
      <c r="BH930">
        <v>26</v>
      </c>
      <c r="BI930">
        <v>23.77</v>
      </c>
      <c r="BJ930">
        <v>112</v>
      </c>
      <c r="BK930">
        <v>88</v>
      </c>
      <c r="BL930">
        <v>176</v>
      </c>
      <c r="BM930">
        <v>4.4459</v>
      </c>
    </row>
    <row r="931" spans="1:65" x14ac:dyDescent="0.25">
      <c r="A931" t="s">
        <v>994</v>
      </c>
      <c r="B931" t="s">
        <v>1972</v>
      </c>
      <c r="C931" t="s">
        <v>2160</v>
      </c>
      <c r="D931" s="1">
        <v>45329</v>
      </c>
      <c r="E931" s="1">
        <v>45363</v>
      </c>
      <c r="F931" s="1">
        <v>45471</v>
      </c>
      <c r="G931" t="s">
        <v>2163</v>
      </c>
      <c r="I931" t="s">
        <v>2173</v>
      </c>
      <c r="J931">
        <v>31055</v>
      </c>
      <c r="K931">
        <v>931</v>
      </c>
      <c r="L931">
        <v>7.1</v>
      </c>
      <c r="M931">
        <v>9.1</v>
      </c>
      <c r="N931">
        <v>6</v>
      </c>
      <c r="O931">
        <v>6625</v>
      </c>
      <c r="P931" t="s">
        <v>2177</v>
      </c>
      <c r="Q931">
        <v>25</v>
      </c>
      <c r="R931">
        <v>41</v>
      </c>
      <c r="S931">
        <v>30</v>
      </c>
      <c r="T931">
        <v>323</v>
      </c>
      <c r="U931" t="s">
        <v>2166</v>
      </c>
      <c r="W931" t="s">
        <v>2209</v>
      </c>
      <c r="X931" t="s">
        <v>2211</v>
      </c>
      <c r="Y931" t="s">
        <v>2212</v>
      </c>
      <c r="Z931" s="1">
        <v>45459</v>
      </c>
      <c r="AA931" s="1">
        <v>45478</v>
      </c>
      <c r="AB931" t="s">
        <v>2215</v>
      </c>
      <c r="AC931" t="s">
        <v>2208</v>
      </c>
      <c r="AD931" t="s">
        <v>2218</v>
      </c>
      <c r="AE931" t="s">
        <v>2166</v>
      </c>
      <c r="AG931" t="s">
        <v>2221</v>
      </c>
      <c r="AH931">
        <v>96</v>
      </c>
      <c r="AI931">
        <v>115</v>
      </c>
      <c r="AJ931">
        <v>19</v>
      </c>
      <c r="AK931">
        <v>3</v>
      </c>
      <c r="AL931" t="s">
        <v>2227</v>
      </c>
      <c r="AM931">
        <v>0</v>
      </c>
      <c r="AN931" t="s">
        <v>2177</v>
      </c>
      <c r="AO931" t="s">
        <v>2177</v>
      </c>
      <c r="AP931" t="s">
        <v>2176</v>
      </c>
      <c r="AQ931">
        <v>64.61</v>
      </c>
      <c r="AR931">
        <v>2</v>
      </c>
      <c r="AS931">
        <v>2</v>
      </c>
      <c r="AT931">
        <v>2</v>
      </c>
      <c r="AU931">
        <v>1</v>
      </c>
      <c r="AV931">
        <v>1.666666666666667</v>
      </c>
      <c r="AW931">
        <v>4.8</v>
      </c>
      <c r="AY931">
        <v>4.4000000000000004</v>
      </c>
      <c r="AZ931">
        <v>1</v>
      </c>
      <c r="BA931">
        <v>2</v>
      </c>
      <c r="BB931">
        <v>49</v>
      </c>
      <c r="BC931">
        <v>26</v>
      </c>
      <c r="BD931">
        <v>43.12</v>
      </c>
      <c r="BE931">
        <v>216</v>
      </c>
      <c r="BF931">
        <v>88</v>
      </c>
      <c r="BG931">
        <v>35</v>
      </c>
      <c r="BH931">
        <v>26</v>
      </c>
      <c r="BI931">
        <v>31.08</v>
      </c>
      <c r="BJ931">
        <v>149</v>
      </c>
      <c r="BK931">
        <v>88.8</v>
      </c>
      <c r="BL931">
        <v>216</v>
      </c>
      <c r="BM931">
        <v>5.5288000000000004</v>
      </c>
    </row>
    <row r="932" spans="1:65" x14ac:dyDescent="0.25">
      <c r="A932" t="s">
        <v>995</v>
      </c>
      <c r="B932" t="s">
        <v>1973</v>
      </c>
      <c r="C932" t="s">
        <v>2159</v>
      </c>
      <c r="D932" s="1">
        <v>45300</v>
      </c>
      <c r="E932" s="1">
        <v>45324</v>
      </c>
      <c r="F932" s="1">
        <v>45415</v>
      </c>
      <c r="G932" t="s">
        <v>2165</v>
      </c>
      <c r="I932" t="s">
        <v>2173</v>
      </c>
      <c r="J932">
        <v>27119</v>
      </c>
      <c r="K932">
        <v>813</v>
      </c>
      <c r="L932">
        <v>9.1</v>
      </c>
      <c r="M932">
        <v>13.9</v>
      </c>
      <c r="N932">
        <v>6</v>
      </c>
      <c r="O932">
        <v>8234</v>
      </c>
      <c r="P932" t="s">
        <v>2177</v>
      </c>
      <c r="Q932">
        <v>16</v>
      </c>
      <c r="R932">
        <v>26</v>
      </c>
      <c r="S932">
        <v>30</v>
      </c>
      <c r="T932">
        <v>376</v>
      </c>
      <c r="U932" t="s">
        <v>2166</v>
      </c>
      <c r="W932" t="s">
        <v>2209</v>
      </c>
      <c r="X932" t="s">
        <v>2211</v>
      </c>
      <c r="Y932" t="s">
        <v>2212</v>
      </c>
      <c r="Z932" s="1">
        <v>45396</v>
      </c>
      <c r="AA932" s="1">
        <v>45410</v>
      </c>
      <c r="AB932" t="s">
        <v>2214</v>
      </c>
      <c r="AC932" t="s">
        <v>2209</v>
      </c>
      <c r="AD932" t="s">
        <v>2218</v>
      </c>
      <c r="AE932" t="s">
        <v>2166</v>
      </c>
      <c r="AG932" t="s">
        <v>2221</v>
      </c>
      <c r="AH932">
        <v>72</v>
      </c>
      <c r="AI932">
        <v>86</v>
      </c>
      <c r="AJ932">
        <v>14</v>
      </c>
      <c r="AK932">
        <v>2</v>
      </c>
      <c r="AL932" t="s">
        <v>2228</v>
      </c>
      <c r="AM932">
        <v>0</v>
      </c>
      <c r="AN932" t="s">
        <v>2177</v>
      </c>
      <c r="AO932" t="s">
        <v>2177</v>
      </c>
      <c r="AP932" t="s">
        <v>2177</v>
      </c>
      <c r="AQ932">
        <v>126.49</v>
      </c>
      <c r="AR932">
        <v>2</v>
      </c>
      <c r="AS932">
        <v>2</v>
      </c>
      <c r="AT932">
        <v>2</v>
      </c>
      <c r="AU932">
        <v>2</v>
      </c>
      <c r="AV932">
        <v>2</v>
      </c>
      <c r="AW932">
        <v>4.8</v>
      </c>
      <c r="AY932">
        <v>4.5999999999999996</v>
      </c>
      <c r="AZ932">
        <v>0</v>
      </c>
      <c r="BA932">
        <v>2</v>
      </c>
      <c r="BB932">
        <v>40</v>
      </c>
      <c r="BC932">
        <v>24</v>
      </c>
      <c r="BD932">
        <v>35.54</v>
      </c>
      <c r="BE932">
        <v>160</v>
      </c>
      <c r="BF932">
        <v>88.8</v>
      </c>
      <c r="BG932">
        <v>36</v>
      </c>
      <c r="BH932">
        <v>24</v>
      </c>
      <c r="BI932">
        <v>31.79</v>
      </c>
      <c r="BJ932">
        <v>142</v>
      </c>
      <c r="BK932">
        <v>88.3</v>
      </c>
      <c r="BL932">
        <v>160</v>
      </c>
      <c r="BM932">
        <v>7.0603999999999996</v>
      </c>
    </row>
    <row r="933" spans="1:65" x14ac:dyDescent="0.25">
      <c r="A933" t="s">
        <v>996</v>
      </c>
      <c r="B933" t="s">
        <v>1974</v>
      </c>
      <c r="C933" t="s">
        <v>2160</v>
      </c>
      <c r="D933" s="1">
        <v>45349</v>
      </c>
      <c r="E933" s="1">
        <v>45397</v>
      </c>
      <c r="F933" s="1">
        <v>45485</v>
      </c>
      <c r="G933" t="s">
        <v>2166</v>
      </c>
      <c r="I933" t="s">
        <v>2175</v>
      </c>
      <c r="J933">
        <v>27187</v>
      </c>
      <c r="K933">
        <v>815</v>
      </c>
      <c r="L933">
        <v>4.8</v>
      </c>
      <c r="M933">
        <v>10.199999999999999</v>
      </c>
      <c r="N933">
        <v>7</v>
      </c>
      <c r="O933">
        <v>7838</v>
      </c>
      <c r="P933" t="s">
        <v>2177</v>
      </c>
      <c r="Q933">
        <v>19</v>
      </c>
      <c r="R933">
        <v>31</v>
      </c>
      <c r="S933">
        <v>22</v>
      </c>
      <c r="T933">
        <v>377</v>
      </c>
      <c r="U933" t="s">
        <v>2165</v>
      </c>
      <c r="W933" t="s">
        <v>2209</v>
      </c>
      <c r="X933" t="s">
        <v>2211</v>
      </c>
      <c r="Y933" t="s">
        <v>2212</v>
      </c>
      <c r="Z933" s="1">
        <v>45469</v>
      </c>
      <c r="AA933" s="1">
        <v>45490</v>
      </c>
      <c r="AB933" t="s">
        <v>2214</v>
      </c>
      <c r="AC933" t="s">
        <v>2209</v>
      </c>
      <c r="AD933" t="s">
        <v>2218</v>
      </c>
      <c r="AE933" t="s">
        <v>2165</v>
      </c>
      <c r="AG933" t="s">
        <v>2221</v>
      </c>
      <c r="AH933">
        <v>72</v>
      </c>
      <c r="AI933">
        <v>93</v>
      </c>
      <c r="AJ933">
        <v>21</v>
      </c>
      <c r="AK933">
        <v>4</v>
      </c>
      <c r="AL933" t="s">
        <v>2225</v>
      </c>
      <c r="AM933">
        <v>0</v>
      </c>
      <c r="AN933" t="s">
        <v>2177</v>
      </c>
      <c r="AO933" t="s">
        <v>2175</v>
      </c>
      <c r="AP933" t="s">
        <v>2177</v>
      </c>
      <c r="AQ933">
        <v>48.959999999999987</v>
      </c>
      <c r="AR933">
        <v>2</v>
      </c>
      <c r="AS933">
        <v>2</v>
      </c>
      <c r="AT933">
        <v>3</v>
      </c>
      <c r="AU933">
        <v>2</v>
      </c>
      <c r="AV933">
        <v>2.333333333333333</v>
      </c>
      <c r="AW933">
        <v>4.5999999999999996</v>
      </c>
      <c r="AY933">
        <v>4.8</v>
      </c>
      <c r="AZ933">
        <v>1</v>
      </c>
      <c r="BA933">
        <v>3</v>
      </c>
      <c r="BB933">
        <v>46</v>
      </c>
      <c r="BC933">
        <v>26</v>
      </c>
      <c r="BD933">
        <v>40.729999999999997</v>
      </c>
      <c r="BE933">
        <v>203</v>
      </c>
      <c r="BF933">
        <v>88.5</v>
      </c>
      <c r="BG933">
        <v>45</v>
      </c>
      <c r="BH933">
        <v>26</v>
      </c>
      <c r="BI933">
        <v>40.270000000000003</v>
      </c>
      <c r="BJ933">
        <v>199</v>
      </c>
      <c r="BK933">
        <v>89.5</v>
      </c>
      <c r="BL933">
        <v>203</v>
      </c>
      <c r="BM933">
        <v>5.15</v>
      </c>
    </row>
    <row r="934" spans="1:65" x14ac:dyDescent="0.25">
      <c r="A934" t="s">
        <v>997</v>
      </c>
      <c r="B934" t="s">
        <v>1975</v>
      </c>
      <c r="C934" t="s">
        <v>2157</v>
      </c>
      <c r="D934" s="1">
        <v>45344</v>
      </c>
      <c r="E934" s="1">
        <v>45397</v>
      </c>
      <c r="F934" s="1">
        <v>45454</v>
      </c>
      <c r="G934" t="s">
        <v>2162</v>
      </c>
      <c r="I934" t="s">
        <v>2173</v>
      </c>
      <c r="J934">
        <v>15213</v>
      </c>
      <c r="K934">
        <v>456</v>
      </c>
      <c r="L934">
        <v>10</v>
      </c>
      <c r="M934">
        <v>9.4</v>
      </c>
      <c r="N934">
        <v>3</v>
      </c>
      <c r="O934">
        <v>8870</v>
      </c>
      <c r="P934" t="s">
        <v>2177</v>
      </c>
      <c r="Q934">
        <v>12</v>
      </c>
      <c r="R934">
        <v>15</v>
      </c>
      <c r="S934">
        <v>12</v>
      </c>
      <c r="T934">
        <v>390</v>
      </c>
      <c r="U934" t="s">
        <v>2166</v>
      </c>
      <c r="W934" t="s">
        <v>2209</v>
      </c>
      <c r="X934" t="s">
        <v>2211</v>
      </c>
      <c r="Y934" t="s">
        <v>2212</v>
      </c>
      <c r="Z934" s="1">
        <v>45436</v>
      </c>
      <c r="AA934" s="1">
        <v>45454</v>
      </c>
      <c r="AB934" t="s">
        <v>2214</v>
      </c>
      <c r="AC934" t="s">
        <v>2209</v>
      </c>
      <c r="AD934" t="s">
        <v>2218</v>
      </c>
      <c r="AE934" t="s">
        <v>2166</v>
      </c>
      <c r="AG934" t="s">
        <v>2221</v>
      </c>
      <c r="AH934">
        <v>39</v>
      </c>
      <c r="AI934">
        <v>57</v>
      </c>
      <c r="AJ934">
        <v>18</v>
      </c>
      <c r="AK934">
        <v>4</v>
      </c>
      <c r="AL934" t="s">
        <v>2225</v>
      </c>
      <c r="AM934">
        <v>0</v>
      </c>
      <c r="AN934" t="s">
        <v>2177</v>
      </c>
      <c r="AO934" t="s">
        <v>2176</v>
      </c>
      <c r="AP934" t="s">
        <v>2177</v>
      </c>
      <c r="AQ934">
        <v>94</v>
      </c>
      <c r="AR934">
        <v>2</v>
      </c>
      <c r="AS934">
        <v>2</v>
      </c>
      <c r="AT934">
        <v>1</v>
      </c>
      <c r="AU934">
        <v>2</v>
      </c>
      <c r="AV934">
        <v>1.666666666666667</v>
      </c>
      <c r="AW934">
        <v>4.8</v>
      </c>
      <c r="AY934">
        <v>4.2</v>
      </c>
      <c r="AZ934">
        <v>3</v>
      </c>
      <c r="BA934">
        <v>2</v>
      </c>
      <c r="BB934">
        <v>45</v>
      </c>
      <c r="BC934">
        <v>26</v>
      </c>
      <c r="BD934">
        <v>40.270000000000003</v>
      </c>
      <c r="BE934">
        <v>199</v>
      </c>
      <c r="BF934">
        <v>89.5</v>
      </c>
      <c r="BG934">
        <v>25</v>
      </c>
      <c r="BH934">
        <v>26</v>
      </c>
      <c r="BI934">
        <v>21.81</v>
      </c>
      <c r="BJ934">
        <v>104</v>
      </c>
      <c r="BK934">
        <v>87.2</v>
      </c>
      <c r="BL934">
        <v>199</v>
      </c>
      <c r="BM934">
        <v>2.9397000000000002</v>
      </c>
    </row>
    <row r="935" spans="1:65" x14ac:dyDescent="0.25">
      <c r="A935" t="s">
        <v>998</v>
      </c>
      <c r="B935" t="s">
        <v>1976</v>
      </c>
      <c r="C935" t="s">
        <v>2160</v>
      </c>
      <c r="D935" s="1">
        <v>45360</v>
      </c>
      <c r="E935" s="1">
        <v>45397</v>
      </c>
      <c r="F935" s="1">
        <v>45490</v>
      </c>
      <c r="G935" t="s">
        <v>2165</v>
      </c>
      <c r="I935" t="s">
        <v>2173</v>
      </c>
      <c r="J935">
        <v>27445</v>
      </c>
      <c r="K935">
        <v>823</v>
      </c>
      <c r="L935">
        <v>6.3</v>
      </c>
      <c r="M935">
        <v>10.9</v>
      </c>
      <c r="N935">
        <v>6</v>
      </c>
      <c r="O935">
        <v>9223</v>
      </c>
      <c r="P935" t="s">
        <v>2177</v>
      </c>
      <c r="Q935">
        <v>17</v>
      </c>
      <c r="R935">
        <v>25</v>
      </c>
      <c r="S935">
        <v>44</v>
      </c>
      <c r="T935">
        <v>319</v>
      </c>
      <c r="U935" t="s">
        <v>2166</v>
      </c>
      <c r="W935" t="s">
        <v>2209</v>
      </c>
      <c r="X935" t="s">
        <v>2211</v>
      </c>
      <c r="Y935" t="s">
        <v>2212</v>
      </c>
      <c r="Z935" s="1">
        <v>45483</v>
      </c>
      <c r="AA935" s="1">
        <v>45496</v>
      </c>
      <c r="AB935" t="s">
        <v>2215</v>
      </c>
      <c r="AC935" t="s">
        <v>2208</v>
      </c>
      <c r="AD935" t="s">
        <v>2218</v>
      </c>
      <c r="AE935" t="s">
        <v>2166</v>
      </c>
      <c r="AG935" t="s">
        <v>2221</v>
      </c>
      <c r="AH935">
        <v>86</v>
      </c>
      <c r="AI935">
        <v>99</v>
      </c>
      <c r="AJ935">
        <v>13</v>
      </c>
      <c r="AK935">
        <v>4</v>
      </c>
      <c r="AL935" t="s">
        <v>2225</v>
      </c>
      <c r="AM935">
        <v>0</v>
      </c>
      <c r="AN935" t="s">
        <v>2177</v>
      </c>
      <c r="AO935" t="s">
        <v>2177</v>
      </c>
      <c r="AP935" t="s">
        <v>2177</v>
      </c>
      <c r="AQ935">
        <v>68.67</v>
      </c>
      <c r="AR935">
        <v>2</v>
      </c>
      <c r="AS935">
        <v>2</v>
      </c>
      <c r="AT935">
        <v>2</v>
      </c>
      <c r="AU935">
        <v>2</v>
      </c>
      <c r="AV935">
        <v>2</v>
      </c>
      <c r="AW935">
        <v>4.8</v>
      </c>
      <c r="AY935">
        <v>4.5999999999999996</v>
      </c>
      <c r="AZ935">
        <v>1</v>
      </c>
      <c r="BA935">
        <v>2</v>
      </c>
      <c r="BB935">
        <v>45</v>
      </c>
      <c r="BC935">
        <v>26</v>
      </c>
      <c r="BD935">
        <v>40.270000000000003</v>
      </c>
      <c r="BE935">
        <v>199</v>
      </c>
      <c r="BF935">
        <v>89.5</v>
      </c>
      <c r="BG935">
        <v>46</v>
      </c>
      <c r="BH935">
        <v>26</v>
      </c>
      <c r="BI935">
        <v>40.729999999999997</v>
      </c>
      <c r="BJ935">
        <v>203</v>
      </c>
      <c r="BK935">
        <v>88.5</v>
      </c>
      <c r="BL935">
        <v>199</v>
      </c>
      <c r="BM935">
        <v>5.3033999999999999</v>
      </c>
    </row>
    <row r="936" spans="1:65" x14ac:dyDescent="0.25">
      <c r="A936" t="s">
        <v>999</v>
      </c>
      <c r="B936" t="s">
        <v>1977</v>
      </c>
      <c r="C936" t="s">
        <v>2159</v>
      </c>
      <c r="D936" s="1">
        <v>45541</v>
      </c>
      <c r="E936" s="1">
        <v>45579</v>
      </c>
      <c r="F936" s="1">
        <v>45657</v>
      </c>
      <c r="G936" t="s">
        <v>2163</v>
      </c>
      <c r="I936" t="s">
        <v>2173</v>
      </c>
      <c r="J936">
        <v>22554</v>
      </c>
      <c r="K936">
        <v>676</v>
      </c>
      <c r="L936">
        <v>8.5</v>
      </c>
      <c r="M936">
        <v>12</v>
      </c>
      <c r="N936">
        <v>4</v>
      </c>
      <c r="O936">
        <v>10091</v>
      </c>
      <c r="P936" t="s">
        <v>2177</v>
      </c>
      <c r="Q936">
        <v>17</v>
      </c>
      <c r="R936">
        <v>28</v>
      </c>
      <c r="S936">
        <v>19</v>
      </c>
      <c r="T936">
        <v>352</v>
      </c>
      <c r="U936" t="s">
        <v>2166</v>
      </c>
      <c r="W936" t="s">
        <v>2209</v>
      </c>
      <c r="X936" t="s">
        <v>2211</v>
      </c>
      <c r="Y936" t="s">
        <v>2212</v>
      </c>
      <c r="Z936" s="1">
        <v>45643</v>
      </c>
      <c r="AA936" s="1">
        <v>45660</v>
      </c>
      <c r="AB936" t="s">
        <v>2214</v>
      </c>
      <c r="AC936" t="s">
        <v>2209</v>
      </c>
      <c r="AD936" t="s">
        <v>2218</v>
      </c>
      <c r="AE936" t="s">
        <v>2166</v>
      </c>
      <c r="AG936" t="s">
        <v>2221</v>
      </c>
      <c r="AH936">
        <v>64</v>
      </c>
      <c r="AI936">
        <v>81</v>
      </c>
      <c r="AJ936">
        <v>17</v>
      </c>
      <c r="AK936">
        <v>10</v>
      </c>
      <c r="AL936" t="s">
        <v>2230</v>
      </c>
      <c r="AM936">
        <v>1</v>
      </c>
      <c r="AN936" t="s">
        <v>2177</v>
      </c>
      <c r="AO936" t="s">
        <v>2177</v>
      </c>
      <c r="AP936" t="s">
        <v>2177</v>
      </c>
      <c r="AQ936">
        <v>102</v>
      </c>
      <c r="AR936">
        <v>2</v>
      </c>
      <c r="AS936">
        <v>2</v>
      </c>
      <c r="AT936">
        <v>2</v>
      </c>
      <c r="AU936">
        <v>2</v>
      </c>
      <c r="AV936">
        <v>2</v>
      </c>
      <c r="AW936">
        <v>4.8</v>
      </c>
      <c r="AY936">
        <v>4.4000000000000004</v>
      </c>
      <c r="AZ936">
        <v>0</v>
      </c>
      <c r="BA936">
        <v>2</v>
      </c>
      <c r="BB936">
        <v>50</v>
      </c>
      <c r="BC936">
        <v>27</v>
      </c>
      <c r="BD936">
        <v>42.44</v>
      </c>
      <c r="BE936">
        <v>220</v>
      </c>
      <c r="BF936">
        <v>84.9</v>
      </c>
      <c r="BG936">
        <v>37</v>
      </c>
      <c r="BH936">
        <v>27</v>
      </c>
      <c r="BI936">
        <v>32.81</v>
      </c>
      <c r="BJ936">
        <v>165</v>
      </c>
      <c r="BK936">
        <v>88.7</v>
      </c>
      <c r="BL936">
        <v>220</v>
      </c>
      <c r="BM936">
        <v>3.7963</v>
      </c>
    </row>
    <row r="937" spans="1:65" x14ac:dyDescent="0.25">
      <c r="A937" t="s">
        <v>1000</v>
      </c>
      <c r="B937" t="s">
        <v>1978</v>
      </c>
      <c r="C937" t="s">
        <v>2158</v>
      </c>
      <c r="D937" s="1">
        <v>45521</v>
      </c>
      <c r="E937" s="1">
        <v>45541</v>
      </c>
      <c r="F937" s="1">
        <v>45613</v>
      </c>
      <c r="G937" t="s">
        <v>2165</v>
      </c>
      <c r="I937" t="s">
        <v>2175</v>
      </c>
      <c r="J937">
        <v>18420</v>
      </c>
      <c r="K937">
        <v>552</v>
      </c>
      <c r="L937">
        <v>8.9</v>
      </c>
      <c r="M937">
        <v>13.5</v>
      </c>
      <c r="N937">
        <v>5</v>
      </c>
      <c r="O937">
        <v>6318</v>
      </c>
      <c r="P937" t="s">
        <v>2177</v>
      </c>
      <c r="Q937">
        <v>13</v>
      </c>
      <c r="R937">
        <v>15</v>
      </c>
      <c r="S937">
        <v>24</v>
      </c>
      <c r="T937">
        <v>354</v>
      </c>
      <c r="U937" t="s">
        <v>2166</v>
      </c>
      <c r="W937" t="s">
        <v>2209</v>
      </c>
      <c r="X937" t="s">
        <v>2211</v>
      </c>
      <c r="Y937" t="s">
        <v>2212</v>
      </c>
      <c r="Z937" s="1">
        <v>45593</v>
      </c>
      <c r="AA937" s="1">
        <v>45606</v>
      </c>
      <c r="AB937" t="s">
        <v>2214</v>
      </c>
      <c r="AC937" t="s">
        <v>2209</v>
      </c>
      <c r="AD937" t="s">
        <v>2218</v>
      </c>
      <c r="AE937" t="s">
        <v>2166</v>
      </c>
      <c r="AG937" t="s">
        <v>2221</v>
      </c>
      <c r="AH937">
        <v>52</v>
      </c>
      <c r="AI937">
        <v>65</v>
      </c>
      <c r="AJ937">
        <v>13</v>
      </c>
      <c r="AK937">
        <v>9</v>
      </c>
      <c r="AL937" t="s">
        <v>2234</v>
      </c>
      <c r="AM937">
        <v>0</v>
      </c>
      <c r="AN937" t="s">
        <v>2177</v>
      </c>
      <c r="AO937" t="s">
        <v>2177</v>
      </c>
      <c r="AP937" t="s">
        <v>2176</v>
      </c>
      <c r="AQ937">
        <v>120.15</v>
      </c>
      <c r="AR937">
        <v>2</v>
      </c>
      <c r="AS937">
        <v>2</v>
      </c>
      <c r="AT937">
        <v>2</v>
      </c>
      <c r="AU937">
        <v>1</v>
      </c>
      <c r="AV937">
        <v>1.666666666666667</v>
      </c>
      <c r="AW937">
        <v>4.8</v>
      </c>
      <c r="AY937">
        <v>4.5999999999999996</v>
      </c>
      <c r="AZ937">
        <v>2</v>
      </c>
      <c r="BA937">
        <v>3</v>
      </c>
      <c r="BB937">
        <v>48</v>
      </c>
      <c r="BC937">
        <v>26</v>
      </c>
      <c r="BD937">
        <v>42</v>
      </c>
      <c r="BE937">
        <v>204</v>
      </c>
      <c r="BF937">
        <v>87.5</v>
      </c>
      <c r="BG937">
        <v>45</v>
      </c>
      <c r="BH937">
        <v>26</v>
      </c>
      <c r="BI937">
        <v>39.85</v>
      </c>
      <c r="BJ937">
        <v>196</v>
      </c>
      <c r="BK937">
        <v>88.6</v>
      </c>
      <c r="BL937">
        <v>204</v>
      </c>
      <c r="BM937">
        <v>3.4722</v>
      </c>
    </row>
    <row r="938" spans="1:65" x14ac:dyDescent="0.25">
      <c r="A938" t="s">
        <v>1001</v>
      </c>
      <c r="B938" t="s">
        <v>1979</v>
      </c>
      <c r="C938" t="s">
        <v>2159</v>
      </c>
      <c r="D938" s="1">
        <v>45522</v>
      </c>
      <c r="E938" s="1">
        <v>45545</v>
      </c>
      <c r="F938" s="1">
        <v>45618</v>
      </c>
      <c r="G938" t="s">
        <v>2163</v>
      </c>
      <c r="I938" t="s">
        <v>2173</v>
      </c>
      <c r="J938">
        <v>24676</v>
      </c>
      <c r="K938">
        <v>740</v>
      </c>
      <c r="L938">
        <v>11.8</v>
      </c>
      <c r="M938">
        <v>6</v>
      </c>
      <c r="N938">
        <v>4</v>
      </c>
      <c r="O938">
        <v>8863</v>
      </c>
      <c r="P938" t="s">
        <v>2177</v>
      </c>
      <c r="Q938">
        <v>16</v>
      </c>
      <c r="R938">
        <v>22</v>
      </c>
      <c r="S938">
        <v>21</v>
      </c>
      <c r="T938">
        <v>418</v>
      </c>
      <c r="U938" t="s">
        <v>2166</v>
      </c>
      <c r="W938" t="s">
        <v>2209</v>
      </c>
      <c r="X938" t="s">
        <v>2211</v>
      </c>
      <c r="Y938" t="s">
        <v>2212</v>
      </c>
      <c r="Z938" s="1">
        <v>45604</v>
      </c>
      <c r="AA938" s="1">
        <v>45625</v>
      </c>
      <c r="AB938" t="s">
        <v>2214</v>
      </c>
      <c r="AC938" t="s">
        <v>2209</v>
      </c>
      <c r="AD938" t="s">
        <v>2218</v>
      </c>
      <c r="AE938" t="s">
        <v>2166</v>
      </c>
      <c r="AG938" t="s">
        <v>2221</v>
      </c>
      <c r="AH938">
        <v>59</v>
      </c>
      <c r="AI938">
        <v>80</v>
      </c>
      <c r="AJ938">
        <v>21</v>
      </c>
      <c r="AK938">
        <v>9</v>
      </c>
      <c r="AL938" t="s">
        <v>2234</v>
      </c>
      <c r="AM938">
        <v>0</v>
      </c>
      <c r="AN938" t="s">
        <v>2177</v>
      </c>
      <c r="AO938" t="s">
        <v>2177</v>
      </c>
      <c r="AP938" t="s">
        <v>2177</v>
      </c>
      <c r="AQ938">
        <v>70.800000000000011</v>
      </c>
      <c r="AR938">
        <v>2</v>
      </c>
      <c r="AS938">
        <v>2</v>
      </c>
      <c r="AT938">
        <v>2</v>
      </c>
      <c r="AU938">
        <v>2</v>
      </c>
      <c r="AV938">
        <v>2</v>
      </c>
      <c r="AW938">
        <v>4.8</v>
      </c>
      <c r="AY938">
        <v>4.4000000000000004</v>
      </c>
      <c r="AZ938">
        <v>0</v>
      </c>
      <c r="BA938">
        <v>2</v>
      </c>
      <c r="BB938">
        <v>48</v>
      </c>
      <c r="BC938">
        <v>26</v>
      </c>
      <c r="BD938">
        <v>42</v>
      </c>
      <c r="BE938">
        <v>204</v>
      </c>
      <c r="BF938">
        <v>87.5</v>
      </c>
      <c r="BG938">
        <v>30</v>
      </c>
      <c r="BH938">
        <v>26</v>
      </c>
      <c r="BI938">
        <v>26.15</v>
      </c>
      <c r="BJ938">
        <v>126</v>
      </c>
      <c r="BK938">
        <v>87.2</v>
      </c>
      <c r="BL938">
        <v>204</v>
      </c>
      <c r="BM938">
        <v>4.6515000000000004</v>
      </c>
    </row>
    <row r="939" spans="1:65" x14ac:dyDescent="0.25">
      <c r="A939" t="s">
        <v>1002</v>
      </c>
      <c r="B939" t="s">
        <v>1980</v>
      </c>
      <c r="C939" t="s">
        <v>2157</v>
      </c>
      <c r="D939" s="1">
        <v>45333</v>
      </c>
      <c r="E939" s="1">
        <v>45363</v>
      </c>
      <c r="F939" s="1">
        <v>45402</v>
      </c>
      <c r="G939" t="s">
        <v>2163</v>
      </c>
      <c r="I939" t="s">
        <v>2175</v>
      </c>
      <c r="J939">
        <v>10488</v>
      </c>
      <c r="K939">
        <v>314</v>
      </c>
      <c r="L939">
        <v>6.1</v>
      </c>
      <c r="M939">
        <v>12.7</v>
      </c>
      <c r="N939">
        <v>5</v>
      </c>
      <c r="O939">
        <v>8742</v>
      </c>
      <c r="P939" t="s">
        <v>2177</v>
      </c>
      <c r="Q939">
        <v>6</v>
      </c>
      <c r="R939">
        <v>8</v>
      </c>
      <c r="S939">
        <v>14</v>
      </c>
      <c r="T939">
        <v>374</v>
      </c>
      <c r="U939" t="s">
        <v>2166</v>
      </c>
      <c r="W939" t="s">
        <v>2209</v>
      </c>
      <c r="X939" t="s">
        <v>2211</v>
      </c>
      <c r="Y939" t="s">
        <v>2212</v>
      </c>
      <c r="Z939" s="1">
        <v>45391</v>
      </c>
      <c r="AA939" s="1">
        <v>45405</v>
      </c>
      <c r="AB939" t="s">
        <v>2215</v>
      </c>
      <c r="AC939" t="s">
        <v>2208</v>
      </c>
      <c r="AD939" t="s">
        <v>2218</v>
      </c>
      <c r="AE939" t="s">
        <v>2166</v>
      </c>
      <c r="AG939" t="s">
        <v>2221</v>
      </c>
      <c r="AH939">
        <v>28</v>
      </c>
      <c r="AI939">
        <v>42</v>
      </c>
      <c r="AJ939">
        <v>14</v>
      </c>
      <c r="AK939">
        <v>3</v>
      </c>
      <c r="AL939" t="s">
        <v>2227</v>
      </c>
      <c r="AM939">
        <v>0</v>
      </c>
      <c r="AN939" t="s">
        <v>2177</v>
      </c>
      <c r="AO939" t="s">
        <v>2177</v>
      </c>
      <c r="AP939" t="s">
        <v>2177</v>
      </c>
      <c r="AQ939">
        <v>77.469999999999985</v>
      </c>
      <c r="AR939">
        <v>2</v>
      </c>
      <c r="AS939">
        <v>2</v>
      </c>
      <c r="AT939">
        <v>2</v>
      </c>
      <c r="AU939">
        <v>2</v>
      </c>
      <c r="AV939">
        <v>2</v>
      </c>
      <c r="AW939">
        <v>4.8</v>
      </c>
      <c r="AY939">
        <v>4.4000000000000004</v>
      </c>
      <c r="AZ939">
        <v>3</v>
      </c>
      <c r="BA939">
        <v>3</v>
      </c>
      <c r="BB939">
        <v>49</v>
      </c>
      <c r="BC939">
        <v>26</v>
      </c>
      <c r="BD939">
        <v>43.12</v>
      </c>
      <c r="BE939">
        <v>216</v>
      </c>
      <c r="BF939">
        <v>88</v>
      </c>
      <c r="BG939">
        <v>35</v>
      </c>
      <c r="BH939">
        <v>26</v>
      </c>
      <c r="BI939">
        <v>31.08</v>
      </c>
      <c r="BJ939">
        <v>149</v>
      </c>
      <c r="BK939">
        <v>88.8</v>
      </c>
      <c r="BL939">
        <v>216</v>
      </c>
      <c r="BM939">
        <v>1.8672</v>
      </c>
    </row>
    <row r="940" spans="1:65" x14ac:dyDescent="0.25">
      <c r="A940" t="s">
        <v>1003</v>
      </c>
      <c r="B940" t="s">
        <v>1981</v>
      </c>
      <c r="C940" t="s">
        <v>2160</v>
      </c>
      <c r="D940" s="1">
        <v>45387</v>
      </c>
      <c r="E940" s="1">
        <v>45419</v>
      </c>
      <c r="F940" s="1">
        <v>45526</v>
      </c>
      <c r="G940" t="s">
        <v>2163</v>
      </c>
      <c r="I940" t="s">
        <v>2175</v>
      </c>
      <c r="J940">
        <v>34442</v>
      </c>
      <c r="K940">
        <v>1033</v>
      </c>
      <c r="L940">
        <v>13.1</v>
      </c>
      <c r="M940">
        <v>11.3</v>
      </c>
      <c r="N940">
        <v>5</v>
      </c>
      <c r="O940">
        <v>10062</v>
      </c>
      <c r="P940" t="s">
        <v>2175</v>
      </c>
      <c r="Q940">
        <v>20</v>
      </c>
      <c r="R940">
        <v>33</v>
      </c>
      <c r="S940">
        <v>37</v>
      </c>
      <c r="T940">
        <v>382</v>
      </c>
      <c r="U940" t="s">
        <v>2166</v>
      </c>
      <c r="W940" t="s">
        <v>2209</v>
      </c>
      <c r="X940" t="s">
        <v>2211</v>
      </c>
      <c r="Y940" t="s">
        <v>2212</v>
      </c>
      <c r="Z940" s="1">
        <v>45509</v>
      </c>
      <c r="AA940" s="1">
        <v>45527</v>
      </c>
      <c r="AB940" t="s">
        <v>2214</v>
      </c>
      <c r="AC940" t="s">
        <v>2209</v>
      </c>
      <c r="AD940" t="s">
        <v>2218</v>
      </c>
      <c r="AE940" t="s">
        <v>2166</v>
      </c>
      <c r="AG940" t="s">
        <v>2221</v>
      </c>
      <c r="AH940">
        <v>90</v>
      </c>
      <c r="AI940">
        <v>108</v>
      </c>
      <c r="AJ940">
        <v>18</v>
      </c>
      <c r="AK940">
        <v>5</v>
      </c>
      <c r="AL940" t="s">
        <v>2224</v>
      </c>
      <c r="AM940">
        <v>0</v>
      </c>
      <c r="AN940" t="s">
        <v>2175</v>
      </c>
      <c r="AO940" t="s">
        <v>2177</v>
      </c>
      <c r="AP940" t="s">
        <v>2177</v>
      </c>
      <c r="AQ940">
        <v>148.03</v>
      </c>
      <c r="AR940">
        <v>3</v>
      </c>
      <c r="AS940">
        <v>3</v>
      </c>
      <c r="AT940">
        <v>2</v>
      </c>
      <c r="AU940">
        <v>2</v>
      </c>
      <c r="AV940">
        <v>2.333333333333333</v>
      </c>
      <c r="AW940">
        <v>4.8</v>
      </c>
      <c r="AY940">
        <v>4.4000000000000004</v>
      </c>
      <c r="AZ940">
        <v>1</v>
      </c>
      <c r="BA940">
        <v>3</v>
      </c>
      <c r="BB940">
        <v>43</v>
      </c>
      <c r="BC940">
        <v>27</v>
      </c>
      <c r="BD940">
        <v>37.299999999999997</v>
      </c>
      <c r="BE940">
        <v>193</v>
      </c>
      <c r="BF940">
        <v>86.7</v>
      </c>
      <c r="BG940">
        <v>38</v>
      </c>
      <c r="BH940">
        <v>27</v>
      </c>
      <c r="BI940">
        <v>33.33</v>
      </c>
      <c r="BJ940">
        <v>171</v>
      </c>
      <c r="BK940">
        <v>87.7</v>
      </c>
      <c r="BL940">
        <v>193</v>
      </c>
      <c r="BM940">
        <v>6.6082000000000001</v>
      </c>
    </row>
    <row r="941" spans="1:65" x14ac:dyDescent="0.25">
      <c r="A941" t="s">
        <v>1004</v>
      </c>
      <c r="B941" t="s">
        <v>1982</v>
      </c>
      <c r="C941" t="s">
        <v>2159</v>
      </c>
      <c r="D941" s="1">
        <v>45300</v>
      </c>
      <c r="E941" s="1">
        <v>45325</v>
      </c>
      <c r="F941" s="1">
        <v>45412</v>
      </c>
      <c r="G941" t="s">
        <v>2165</v>
      </c>
      <c r="I941" t="s">
        <v>2173</v>
      </c>
      <c r="J941">
        <v>27965</v>
      </c>
      <c r="K941">
        <v>838</v>
      </c>
      <c r="L941">
        <v>10.7</v>
      </c>
      <c r="M941">
        <v>12.9</v>
      </c>
      <c r="N941">
        <v>4</v>
      </c>
      <c r="O941">
        <v>10906</v>
      </c>
      <c r="P941" t="s">
        <v>2175</v>
      </c>
      <c r="Q941">
        <v>17</v>
      </c>
      <c r="R941">
        <v>22</v>
      </c>
      <c r="S941">
        <v>25</v>
      </c>
      <c r="T941">
        <v>436</v>
      </c>
      <c r="U941" t="s">
        <v>2166</v>
      </c>
      <c r="W941" t="s">
        <v>2209</v>
      </c>
      <c r="X941" t="s">
        <v>2211</v>
      </c>
      <c r="Y941" t="s">
        <v>2212</v>
      </c>
      <c r="Z941" s="1">
        <v>45389</v>
      </c>
      <c r="AA941" s="1">
        <v>45405</v>
      </c>
      <c r="AB941" t="s">
        <v>2214</v>
      </c>
      <c r="AC941" t="s">
        <v>2209</v>
      </c>
      <c r="AD941" t="s">
        <v>2218</v>
      </c>
      <c r="AE941" t="s">
        <v>2166</v>
      </c>
      <c r="AG941" t="s">
        <v>2221</v>
      </c>
      <c r="AH941">
        <v>64</v>
      </c>
      <c r="AI941">
        <v>80</v>
      </c>
      <c r="AJ941">
        <v>16</v>
      </c>
      <c r="AK941">
        <v>2</v>
      </c>
      <c r="AL941" t="s">
        <v>2228</v>
      </c>
      <c r="AM941">
        <v>0</v>
      </c>
      <c r="AN941" t="s">
        <v>2175</v>
      </c>
      <c r="AO941" t="s">
        <v>2177</v>
      </c>
      <c r="AP941" t="s">
        <v>2177</v>
      </c>
      <c r="AQ941">
        <v>138.03</v>
      </c>
      <c r="AR941">
        <v>3</v>
      </c>
      <c r="AS941">
        <v>3</v>
      </c>
      <c r="AT941">
        <v>2</v>
      </c>
      <c r="AU941">
        <v>2</v>
      </c>
      <c r="AV941">
        <v>2.333333333333333</v>
      </c>
      <c r="AW941">
        <v>4.8</v>
      </c>
      <c r="AY941">
        <v>4.5999999999999996</v>
      </c>
      <c r="AZ941">
        <v>0</v>
      </c>
      <c r="BA941">
        <v>2</v>
      </c>
      <c r="BB941">
        <v>40</v>
      </c>
      <c r="BC941">
        <v>24</v>
      </c>
      <c r="BD941">
        <v>35.54</v>
      </c>
      <c r="BE941">
        <v>160</v>
      </c>
      <c r="BF941">
        <v>88.8</v>
      </c>
      <c r="BG941">
        <v>36</v>
      </c>
      <c r="BH941">
        <v>24</v>
      </c>
      <c r="BI941">
        <v>31.79</v>
      </c>
      <c r="BJ941">
        <v>142</v>
      </c>
      <c r="BK941">
        <v>88.3</v>
      </c>
      <c r="BL941">
        <v>160</v>
      </c>
      <c r="BM941">
        <v>7.2807000000000004</v>
      </c>
    </row>
    <row r="942" spans="1:65" x14ac:dyDescent="0.25">
      <c r="A942" t="s">
        <v>1005</v>
      </c>
      <c r="B942" t="s">
        <v>1983</v>
      </c>
      <c r="C942" t="s">
        <v>2159</v>
      </c>
      <c r="D942" s="1">
        <v>45399</v>
      </c>
      <c r="E942" s="1">
        <v>45431</v>
      </c>
      <c r="F942" s="1">
        <v>45515</v>
      </c>
      <c r="G942" t="s">
        <v>2166</v>
      </c>
      <c r="I942" t="s">
        <v>2175</v>
      </c>
      <c r="J942">
        <v>28644</v>
      </c>
      <c r="K942">
        <v>859</v>
      </c>
      <c r="L942">
        <v>9.6</v>
      </c>
      <c r="M942">
        <v>9</v>
      </c>
      <c r="N942">
        <v>4</v>
      </c>
      <c r="O942">
        <v>5091</v>
      </c>
      <c r="P942" t="s">
        <v>2177</v>
      </c>
      <c r="Q942">
        <v>15</v>
      </c>
      <c r="R942">
        <v>21</v>
      </c>
      <c r="S942">
        <v>43</v>
      </c>
      <c r="T942">
        <v>362</v>
      </c>
      <c r="U942" t="s">
        <v>2165</v>
      </c>
      <c r="W942" t="s">
        <v>2209</v>
      </c>
      <c r="X942" t="s">
        <v>2211</v>
      </c>
      <c r="Y942" t="s">
        <v>2212</v>
      </c>
      <c r="Z942" s="1">
        <v>45510</v>
      </c>
      <c r="AA942" s="1">
        <v>45523</v>
      </c>
      <c r="AB942" t="s">
        <v>2215</v>
      </c>
      <c r="AC942" t="s">
        <v>2208</v>
      </c>
      <c r="AD942" t="s">
        <v>2218</v>
      </c>
      <c r="AE942" t="s">
        <v>2165</v>
      </c>
      <c r="AG942" t="s">
        <v>2221</v>
      </c>
      <c r="AH942">
        <v>79</v>
      </c>
      <c r="AI942">
        <v>92</v>
      </c>
      <c r="AJ942">
        <v>13</v>
      </c>
      <c r="AK942">
        <v>5</v>
      </c>
      <c r="AL942" t="s">
        <v>2224</v>
      </c>
      <c r="AM942">
        <v>0</v>
      </c>
      <c r="AN942" t="s">
        <v>2177</v>
      </c>
      <c r="AO942" t="s">
        <v>2177</v>
      </c>
      <c r="AP942" t="s">
        <v>2176</v>
      </c>
      <c r="AQ942">
        <v>86.399999999999991</v>
      </c>
      <c r="AR942">
        <v>2</v>
      </c>
      <c r="AS942">
        <v>2</v>
      </c>
      <c r="AT942">
        <v>2</v>
      </c>
      <c r="AU942">
        <v>1</v>
      </c>
      <c r="AV942">
        <v>1.666666666666667</v>
      </c>
      <c r="AW942">
        <v>4.5999999999999996</v>
      </c>
      <c r="AY942">
        <v>4.8</v>
      </c>
      <c r="AZ942">
        <v>0</v>
      </c>
      <c r="BA942">
        <v>3</v>
      </c>
      <c r="BB942">
        <v>36</v>
      </c>
      <c r="BC942">
        <v>27</v>
      </c>
      <c r="BD942">
        <v>31.37</v>
      </c>
      <c r="BE942">
        <v>158</v>
      </c>
      <c r="BF942">
        <v>87.1</v>
      </c>
      <c r="BG942">
        <v>43</v>
      </c>
      <c r="BH942">
        <v>27</v>
      </c>
      <c r="BI942">
        <v>37.299999999999997</v>
      </c>
      <c r="BJ942">
        <v>193</v>
      </c>
      <c r="BK942">
        <v>86.7</v>
      </c>
      <c r="BL942">
        <v>158</v>
      </c>
      <c r="BM942">
        <v>6.7129000000000003</v>
      </c>
    </row>
    <row r="943" spans="1:65" x14ac:dyDescent="0.25">
      <c r="A943" t="s">
        <v>1006</v>
      </c>
      <c r="B943" t="s">
        <v>1984</v>
      </c>
      <c r="C943" t="s">
        <v>2159</v>
      </c>
      <c r="D943" s="1">
        <v>45501</v>
      </c>
      <c r="E943" s="1">
        <v>45545</v>
      </c>
      <c r="F943" s="1">
        <v>45605</v>
      </c>
      <c r="G943" t="s">
        <v>2163</v>
      </c>
      <c r="I943" t="s">
        <v>2173</v>
      </c>
      <c r="J943">
        <v>16128</v>
      </c>
      <c r="K943">
        <v>483</v>
      </c>
      <c r="L943">
        <v>4.5</v>
      </c>
      <c r="M943">
        <v>11.5</v>
      </c>
      <c r="N943">
        <v>4</v>
      </c>
      <c r="O943">
        <v>9916</v>
      </c>
      <c r="P943" t="s">
        <v>2177</v>
      </c>
      <c r="Q943">
        <v>9</v>
      </c>
      <c r="R943">
        <v>14</v>
      </c>
      <c r="S943">
        <v>16</v>
      </c>
      <c r="T943">
        <v>413</v>
      </c>
      <c r="U943" t="s">
        <v>2166</v>
      </c>
      <c r="W943" t="s">
        <v>2209</v>
      </c>
      <c r="X943" t="s">
        <v>2211</v>
      </c>
      <c r="Y943" t="s">
        <v>2212</v>
      </c>
      <c r="Z943" s="1">
        <v>45584</v>
      </c>
      <c r="AA943" s="1">
        <v>45597</v>
      </c>
      <c r="AB943" t="s">
        <v>2214</v>
      </c>
      <c r="AC943" t="s">
        <v>2209</v>
      </c>
      <c r="AD943" t="s">
        <v>2218</v>
      </c>
      <c r="AE943" t="s">
        <v>2166</v>
      </c>
      <c r="AG943" t="s">
        <v>2221</v>
      </c>
      <c r="AH943">
        <v>39</v>
      </c>
      <c r="AI943">
        <v>52</v>
      </c>
      <c r="AJ943">
        <v>13</v>
      </c>
      <c r="AK943">
        <v>9</v>
      </c>
      <c r="AL943" t="s">
        <v>2234</v>
      </c>
      <c r="AM943">
        <v>0</v>
      </c>
      <c r="AN943" t="s">
        <v>2177</v>
      </c>
      <c r="AO943" t="s">
        <v>2177</v>
      </c>
      <c r="AP943" t="s">
        <v>2177</v>
      </c>
      <c r="AQ943">
        <v>51.75</v>
      </c>
      <c r="AR943">
        <v>2</v>
      </c>
      <c r="AS943">
        <v>2</v>
      </c>
      <c r="AT943">
        <v>2</v>
      </c>
      <c r="AU943">
        <v>2</v>
      </c>
      <c r="AV943">
        <v>2</v>
      </c>
      <c r="AW943">
        <v>4.8</v>
      </c>
      <c r="AY943">
        <v>4.4000000000000004</v>
      </c>
      <c r="AZ943">
        <v>0</v>
      </c>
      <c r="BA943">
        <v>2</v>
      </c>
      <c r="BB943">
        <v>48</v>
      </c>
      <c r="BC943">
        <v>26</v>
      </c>
      <c r="BD943">
        <v>42</v>
      </c>
      <c r="BE943">
        <v>204</v>
      </c>
      <c r="BF943">
        <v>87.5</v>
      </c>
      <c r="BG943">
        <v>30</v>
      </c>
      <c r="BH943">
        <v>26</v>
      </c>
      <c r="BI943">
        <v>26.15</v>
      </c>
      <c r="BJ943">
        <v>126</v>
      </c>
      <c r="BK943">
        <v>87.2</v>
      </c>
      <c r="BL943">
        <v>204</v>
      </c>
      <c r="BM943">
        <v>3.0402</v>
      </c>
    </row>
    <row r="944" spans="1:65" x14ac:dyDescent="0.25">
      <c r="A944" t="s">
        <v>1007</v>
      </c>
      <c r="B944" t="s">
        <v>1985</v>
      </c>
      <c r="C944" t="s">
        <v>2160</v>
      </c>
      <c r="D944" s="1">
        <v>45263</v>
      </c>
      <c r="E944" s="1">
        <v>45299</v>
      </c>
      <c r="F944" s="1">
        <v>45364</v>
      </c>
      <c r="G944" t="s">
        <v>2162</v>
      </c>
      <c r="I944" t="s">
        <v>2175</v>
      </c>
      <c r="J944">
        <v>20164</v>
      </c>
      <c r="K944">
        <v>604</v>
      </c>
      <c r="L944">
        <v>10.6</v>
      </c>
      <c r="M944">
        <v>7.4</v>
      </c>
      <c r="N944">
        <v>6</v>
      </c>
      <c r="O944">
        <v>7208</v>
      </c>
      <c r="P944" t="s">
        <v>2177</v>
      </c>
      <c r="Q944">
        <v>12</v>
      </c>
      <c r="R944">
        <v>19</v>
      </c>
      <c r="S944">
        <v>17</v>
      </c>
      <c r="T944">
        <v>420</v>
      </c>
      <c r="U944" t="s">
        <v>2166</v>
      </c>
      <c r="W944" t="s">
        <v>2209</v>
      </c>
      <c r="X944" t="s">
        <v>2211</v>
      </c>
      <c r="Y944" t="s">
        <v>2212</v>
      </c>
      <c r="Z944" s="1">
        <v>45347</v>
      </c>
      <c r="AA944" s="1">
        <v>45367</v>
      </c>
      <c r="AB944" t="s">
        <v>2214</v>
      </c>
      <c r="AC944" t="s">
        <v>2209</v>
      </c>
      <c r="AD944" t="s">
        <v>2218</v>
      </c>
      <c r="AE944" t="s">
        <v>2166</v>
      </c>
      <c r="AG944" t="s">
        <v>2221</v>
      </c>
      <c r="AH944">
        <v>48</v>
      </c>
      <c r="AI944">
        <v>68</v>
      </c>
      <c r="AJ944">
        <v>20</v>
      </c>
      <c r="AK944">
        <v>1</v>
      </c>
      <c r="AL944" t="s">
        <v>2233</v>
      </c>
      <c r="AM944">
        <v>0</v>
      </c>
      <c r="AN944" t="s">
        <v>2177</v>
      </c>
      <c r="AO944" t="s">
        <v>2177</v>
      </c>
      <c r="AP944" t="s">
        <v>2177</v>
      </c>
      <c r="AQ944">
        <v>78.44</v>
      </c>
      <c r="AR944">
        <v>2</v>
      </c>
      <c r="AS944">
        <v>2</v>
      </c>
      <c r="AT944">
        <v>2</v>
      </c>
      <c r="AU944">
        <v>2</v>
      </c>
      <c r="AV944">
        <v>2</v>
      </c>
      <c r="AW944">
        <v>4.8</v>
      </c>
      <c r="AY944">
        <v>4.2</v>
      </c>
      <c r="AZ944">
        <v>1</v>
      </c>
      <c r="BA944">
        <v>3</v>
      </c>
      <c r="BB944">
        <v>40</v>
      </c>
      <c r="BC944">
        <v>27</v>
      </c>
      <c r="BD944">
        <v>35.07</v>
      </c>
      <c r="BE944">
        <v>181</v>
      </c>
      <c r="BF944">
        <v>87.7</v>
      </c>
      <c r="BG944">
        <v>26</v>
      </c>
      <c r="BH944">
        <v>27</v>
      </c>
      <c r="BI944">
        <v>23.19</v>
      </c>
      <c r="BJ944">
        <v>113</v>
      </c>
      <c r="BK944">
        <v>89.2</v>
      </c>
      <c r="BL944">
        <v>181</v>
      </c>
      <c r="BM944">
        <v>4.1252000000000004</v>
      </c>
    </row>
    <row r="945" spans="1:65" x14ac:dyDescent="0.25">
      <c r="A945" t="s">
        <v>1008</v>
      </c>
      <c r="B945" t="s">
        <v>1986</v>
      </c>
      <c r="C945" t="s">
        <v>2159</v>
      </c>
      <c r="D945" s="1">
        <v>45471</v>
      </c>
      <c r="E945" s="1">
        <v>45508</v>
      </c>
      <c r="F945" s="1">
        <v>45549</v>
      </c>
      <c r="G945" t="s">
        <v>2162</v>
      </c>
      <c r="I945" t="s">
        <v>2173</v>
      </c>
      <c r="J945">
        <v>13263</v>
      </c>
      <c r="K945">
        <v>397</v>
      </c>
      <c r="L945">
        <v>9.6999999999999993</v>
      </c>
      <c r="M945">
        <v>12.8</v>
      </c>
      <c r="N945">
        <v>4</v>
      </c>
      <c r="O945">
        <v>6102</v>
      </c>
      <c r="P945" t="s">
        <v>2177</v>
      </c>
      <c r="Q945">
        <v>7</v>
      </c>
      <c r="R945">
        <v>8</v>
      </c>
      <c r="S945">
        <v>14</v>
      </c>
      <c r="T945">
        <v>457</v>
      </c>
      <c r="U945" t="s">
        <v>2166</v>
      </c>
      <c r="W945" t="s">
        <v>2209</v>
      </c>
      <c r="X945" t="s">
        <v>2211</v>
      </c>
      <c r="Y945" t="s">
        <v>2212</v>
      </c>
      <c r="Z945" s="1">
        <v>45537</v>
      </c>
      <c r="AA945" s="1">
        <v>45555</v>
      </c>
      <c r="AB945" t="s">
        <v>2215</v>
      </c>
      <c r="AC945" t="s">
        <v>2208</v>
      </c>
      <c r="AD945" t="s">
        <v>2218</v>
      </c>
      <c r="AE945" t="s">
        <v>2166</v>
      </c>
      <c r="AG945" t="s">
        <v>2221</v>
      </c>
      <c r="AH945">
        <v>29</v>
      </c>
      <c r="AI945">
        <v>47</v>
      </c>
      <c r="AJ945">
        <v>18</v>
      </c>
      <c r="AK945">
        <v>8</v>
      </c>
      <c r="AL945" t="s">
        <v>2232</v>
      </c>
      <c r="AM945">
        <v>0</v>
      </c>
      <c r="AN945" t="s">
        <v>2177</v>
      </c>
      <c r="AO945" t="s">
        <v>2177</v>
      </c>
      <c r="AP945" t="s">
        <v>2176</v>
      </c>
      <c r="AQ945">
        <v>124.16</v>
      </c>
      <c r="AR945">
        <v>2</v>
      </c>
      <c r="AS945">
        <v>2</v>
      </c>
      <c r="AT945">
        <v>2</v>
      </c>
      <c r="AU945">
        <v>1</v>
      </c>
      <c r="AV945">
        <v>1.666666666666667</v>
      </c>
      <c r="AW945">
        <v>4.8</v>
      </c>
      <c r="AY945">
        <v>4.2</v>
      </c>
      <c r="AZ945">
        <v>0</v>
      </c>
      <c r="BA945">
        <v>2</v>
      </c>
      <c r="BB945">
        <v>41</v>
      </c>
      <c r="BC945">
        <v>26</v>
      </c>
      <c r="BD945">
        <v>36.15</v>
      </c>
      <c r="BE945">
        <v>176</v>
      </c>
      <c r="BF945">
        <v>88.2</v>
      </c>
      <c r="BG945">
        <v>29</v>
      </c>
      <c r="BH945">
        <v>26</v>
      </c>
      <c r="BI945">
        <v>25.54</v>
      </c>
      <c r="BJ945">
        <v>124</v>
      </c>
      <c r="BK945">
        <v>88.1</v>
      </c>
      <c r="BL945">
        <v>176</v>
      </c>
      <c r="BM945">
        <v>2.8976999999999999</v>
      </c>
    </row>
    <row r="946" spans="1:65" x14ac:dyDescent="0.25">
      <c r="A946" t="s">
        <v>1009</v>
      </c>
      <c r="B946" t="s">
        <v>1987</v>
      </c>
      <c r="C946" t="s">
        <v>2160</v>
      </c>
      <c r="D946" s="1">
        <v>45384</v>
      </c>
      <c r="E946" s="1">
        <v>45417</v>
      </c>
      <c r="F946" s="1">
        <v>45474</v>
      </c>
      <c r="G946" t="s">
        <v>2162</v>
      </c>
      <c r="I946" t="s">
        <v>2173</v>
      </c>
      <c r="J946">
        <v>14256</v>
      </c>
      <c r="K946">
        <v>427</v>
      </c>
      <c r="L946">
        <v>7</v>
      </c>
      <c r="M946">
        <v>7.8</v>
      </c>
      <c r="N946">
        <v>3</v>
      </c>
      <c r="O946">
        <v>6629</v>
      </c>
      <c r="P946" t="s">
        <v>2177</v>
      </c>
      <c r="Q946">
        <v>12</v>
      </c>
      <c r="R946">
        <v>14</v>
      </c>
      <c r="S946">
        <v>13</v>
      </c>
      <c r="T946">
        <v>365</v>
      </c>
      <c r="U946" t="s">
        <v>2166</v>
      </c>
      <c r="W946" t="s">
        <v>2209</v>
      </c>
      <c r="X946" t="s">
        <v>2211</v>
      </c>
      <c r="Y946" t="s">
        <v>2212</v>
      </c>
      <c r="Z946" s="1">
        <v>45456</v>
      </c>
      <c r="AA946" s="1">
        <v>45471</v>
      </c>
      <c r="AB946" t="s">
        <v>2214</v>
      </c>
      <c r="AC946" t="s">
        <v>2209</v>
      </c>
      <c r="AD946" t="s">
        <v>2218</v>
      </c>
      <c r="AE946" t="s">
        <v>2166</v>
      </c>
      <c r="AG946" t="s">
        <v>2221</v>
      </c>
      <c r="AH946">
        <v>39</v>
      </c>
      <c r="AI946">
        <v>54</v>
      </c>
      <c r="AJ946">
        <v>15</v>
      </c>
      <c r="AK946">
        <v>5</v>
      </c>
      <c r="AL946" t="s">
        <v>2224</v>
      </c>
      <c r="AM946">
        <v>0</v>
      </c>
      <c r="AN946" t="s">
        <v>2177</v>
      </c>
      <c r="AO946" t="s">
        <v>2176</v>
      </c>
      <c r="AP946" t="s">
        <v>2176</v>
      </c>
      <c r="AQ946">
        <v>54.6</v>
      </c>
      <c r="AR946">
        <v>2</v>
      </c>
      <c r="AS946">
        <v>2</v>
      </c>
      <c r="AT946">
        <v>1</v>
      </c>
      <c r="AU946">
        <v>1</v>
      </c>
      <c r="AV946">
        <v>1.333333333333333</v>
      </c>
      <c r="AW946">
        <v>4.8</v>
      </c>
      <c r="AY946">
        <v>4.2</v>
      </c>
      <c r="AZ946">
        <v>1</v>
      </c>
      <c r="BA946">
        <v>2</v>
      </c>
      <c r="BB946">
        <v>43</v>
      </c>
      <c r="BC946">
        <v>27</v>
      </c>
      <c r="BD946">
        <v>37.299999999999997</v>
      </c>
      <c r="BE946">
        <v>193</v>
      </c>
      <c r="BF946">
        <v>86.7</v>
      </c>
      <c r="BG946">
        <v>24</v>
      </c>
      <c r="BH946">
        <v>27</v>
      </c>
      <c r="BI946">
        <v>21.44</v>
      </c>
      <c r="BJ946">
        <v>108</v>
      </c>
      <c r="BK946">
        <v>89.3</v>
      </c>
      <c r="BL946">
        <v>193</v>
      </c>
      <c r="BM946">
        <v>2.7351999999999999</v>
      </c>
    </row>
    <row r="947" spans="1:65" x14ac:dyDescent="0.25">
      <c r="A947" t="s">
        <v>1010</v>
      </c>
      <c r="B947" t="s">
        <v>1536</v>
      </c>
      <c r="C947" t="s">
        <v>2157</v>
      </c>
      <c r="D947" s="1">
        <v>45388</v>
      </c>
      <c r="E947" s="1">
        <v>45419</v>
      </c>
      <c r="F947" s="1">
        <v>45512</v>
      </c>
      <c r="G947" t="s">
        <v>2163</v>
      </c>
      <c r="I947" t="s">
        <v>2175</v>
      </c>
      <c r="J947">
        <v>24043</v>
      </c>
      <c r="K947">
        <v>721</v>
      </c>
      <c r="L947">
        <v>6.1</v>
      </c>
      <c r="M947">
        <v>9.1999999999999993</v>
      </c>
      <c r="N947">
        <v>4</v>
      </c>
      <c r="O947">
        <v>6353</v>
      </c>
      <c r="P947" t="s">
        <v>2177</v>
      </c>
      <c r="Q947">
        <v>17</v>
      </c>
      <c r="R947">
        <v>24</v>
      </c>
      <c r="S947">
        <v>28</v>
      </c>
      <c r="T947">
        <v>348</v>
      </c>
      <c r="U947" t="s">
        <v>2166</v>
      </c>
      <c r="W947" t="s">
        <v>2209</v>
      </c>
      <c r="X947" t="s">
        <v>2211</v>
      </c>
      <c r="Y947" t="s">
        <v>2212</v>
      </c>
      <c r="Z947" s="1">
        <v>45488</v>
      </c>
      <c r="AA947" s="1">
        <v>45506</v>
      </c>
      <c r="AB947" t="s">
        <v>2214</v>
      </c>
      <c r="AC947" t="s">
        <v>2209</v>
      </c>
      <c r="AD947" t="s">
        <v>2218</v>
      </c>
      <c r="AE947" t="s">
        <v>2166</v>
      </c>
      <c r="AG947" t="s">
        <v>2221</v>
      </c>
      <c r="AH947">
        <v>69</v>
      </c>
      <c r="AI947">
        <v>87</v>
      </c>
      <c r="AJ947">
        <v>18</v>
      </c>
      <c r="AK947">
        <v>5</v>
      </c>
      <c r="AL947" t="s">
        <v>2224</v>
      </c>
      <c r="AM947">
        <v>0</v>
      </c>
      <c r="AN947" t="s">
        <v>2177</v>
      </c>
      <c r="AO947" t="s">
        <v>2177</v>
      </c>
      <c r="AP947" t="s">
        <v>2176</v>
      </c>
      <c r="AQ947">
        <v>56.11999999999999</v>
      </c>
      <c r="AR947">
        <v>2</v>
      </c>
      <c r="AS947">
        <v>2</v>
      </c>
      <c r="AT947">
        <v>2</v>
      </c>
      <c r="AU947">
        <v>1</v>
      </c>
      <c r="AV947">
        <v>1.666666666666667</v>
      </c>
      <c r="AW947">
        <v>4.8</v>
      </c>
      <c r="AY947">
        <v>4.4000000000000004</v>
      </c>
      <c r="AZ947">
        <v>3</v>
      </c>
      <c r="BA947">
        <v>3</v>
      </c>
      <c r="BB947">
        <v>43</v>
      </c>
      <c r="BC947">
        <v>27</v>
      </c>
      <c r="BD947">
        <v>37.299999999999997</v>
      </c>
      <c r="BE947">
        <v>193</v>
      </c>
      <c r="BF947">
        <v>86.7</v>
      </c>
      <c r="BG947">
        <v>38</v>
      </c>
      <c r="BH947">
        <v>27</v>
      </c>
      <c r="BI947">
        <v>33.33</v>
      </c>
      <c r="BJ947">
        <v>171</v>
      </c>
      <c r="BK947">
        <v>87.7</v>
      </c>
      <c r="BL947">
        <v>193</v>
      </c>
      <c r="BM947">
        <v>4.6130000000000004</v>
      </c>
    </row>
    <row r="948" spans="1:65" x14ac:dyDescent="0.25">
      <c r="A948" t="s">
        <v>1011</v>
      </c>
      <c r="B948" t="s">
        <v>1988</v>
      </c>
      <c r="C948" t="s">
        <v>2158</v>
      </c>
      <c r="D948" s="1">
        <v>45532</v>
      </c>
      <c r="E948" s="1">
        <v>45575</v>
      </c>
      <c r="F948" s="1">
        <v>45647</v>
      </c>
      <c r="G948" t="s">
        <v>2164</v>
      </c>
      <c r="I948" t="s">
        <v>2173</v>
      </c>
      <c r="J948">
        <v>25593</v>
      </c>
      <c r="K948">
        <v>767</v>
      </c>
      <c r="L948">
        <v>9.3000000000000007</v>
      </c>
      <c r="M948">
        <v>10.6</v>
      </c>
      <c r="N948">
        <v>7</v>
      </c>
      <c r="O948">
        <v>12246</v>
      </c>
      <c r="P948" t="s">
        <v>2177</v>
      </c>
      <c r="Q948">
        <v>14</v>
      </c>
      <c r="R948">
        <v>17</v>
      </c>
      <c r="S948">
        <v>31</v>
      </c>
      <c r="T948">
        <v>412</v>
      </c>
      <c r="U948" t="s">
        <v>2166</v>
      </c>
      <c r="W948" t="s">
        <v>2209</v>
      </c>
      <c r="X948" t="s">
        <v>2211</v>
      </c>
      <c r="Y948" t="s">
        <v>2212</v>
      </c>
      <c r="Z948" s="1">
        <v>45637</v>
      </c>
      <c r="AA948" s="1">
        <v>45657</v>
      </c>
      <c r="AB948" t="s">
        <v>2215</v>
      </c>
      <c r="AC948" t="s">
        <v>2208</v>
      </c>
      <c r="AD948" t="s">
        <v>2218</v>
      </c>
      <c r="AE948" t="s">
        <v>2166</v>
      </c>
      <c r="AG948" t="s">
        <v>2221</v>
      </c>
      <c r="AH948">
        <v>62</v>
      </c>
      <c r="AI948">
        <v>82</v>
      </c>
      <c r="AJ948">
        <v>20</v>
      </c>
      <c r="AK948">
        <v>10</v>
      </c>
      <c r="AL948" t="s">
        <v>2230</v>
      </c>
      <c r="AM948">
        <v>1</v>
      </c>
      <c r="AN948" t="s">
        <v>2177</v>
      </c>
      <c r="AO948" t="s">
        <v>2175</v>
      </c>
      <c r="AP948" t="s">
        <v>2177</v>
      </c>
      <c r="AQ948">
        <v>98.58</v>
      </c>
      <c r="AR948">
        <v>2</v>
      </c>
      <c r="AS948">
        <v>2</v>
      </c>
      <c r="AT948">
        <v>3</v>
      </c>
      <c r="AU948">
        <v>2</v>
      </c>
      <c r="AV948">
        <v>2.333333333333333</v>
      </c>
      <c r="AW948">
        <v>4.8</v>
      </c>
      <c r="AY948">
        <v>4.5</v>
      </c>
      <c r="AZ948">
        <v>2</v>
      </c>
      <c r="BA948">
        <v>2</v>
      </c>
      <c r="BB948">
        <v>50</v>
      </c>
      <c r="BC948">
        <v>27</v>
      </c>
      <c r="BD948">
        <v>42.44</v>
      </c>
      <c r="BE948">
        <v>220</v>
      </c>
      <c r="BF948">
        <v>84.9</v>
      </c>
      <c r="BG948">
        <v>27</v>
      </c>
      <c r="BH948">
        <v>27</v>
      </c>
      <c r="BI948">
        <v>23.56</v>
      </c>
      <c r="BJ948">
        <v>116</v>
      </c>
      <c r="BK948">
        <v>87.3</v>
      </c>
      <c r="BL948">
        <v>220</v>
      </c>
      <c r="BM948">
        <v>4.3079000000000001</v>
      </c>
    </row>
    <row r="949" spans="1:65" x14ac:dyDescent="0.25">
      <c r="A949" t="s">
        <v>1012</v>
      </c>
      <c r="B949" t="s">
        <v>1989</v>
      </c>
      <c r="C949" t="s">
        <v>2157</v>
      </c>
      <c r="D949" s="1">
        <v>45284</v>
      </c>
      <c r="E949" s="1">
        <v>45310</v>
      </c>
      <c r="F949" s="1">
        <v>45384</v>
      </c>
      <c r="G949" t="s">
        <v>2162</v>
      </c>
      <c r="I949" t="s">
        <v>2173</v>
      </c>
      <c r="J949">
        <v>16444</v>
      </c>
      <c r="K949">
        <v>493</v>
      </c>
      <c r="L949">
        <v>5.7</v>
      </c>
      <c r="M949">
        <v>12.1</v>
      </c>
      <c r="N949">
        <v>6</v>
      </c>
      <c r="O949">
        <v>8241</v>
      </c>
      <c r="P949" t="s">
        <v>2177</v>
      </c>
      <c r="Q949">
        <v>13</v>
      </c>
      <c r="R949">
        <v>20</v>
      </c>
      <c r="S949">
        <v>23</v>
      </c>
      <c r="T949">
        <v>293</v>
      </c>
      <c r="U949" t="s">
        <v>2166</v>
      </c>
      <c r="W949" t="s">
        <v>2209</v>
      </c>
      <c r="X949" t="s">
        <v>2211</v>
      </c>
      <c r="Y949" t="s">
        <v>2212</v>
      </c>
      <c r="Z949" s="1">
        <v>45366</v>
      </c>
      <c r="AA949" s="1">
        <v>45380</v>
      </c>
      <c r="AB949" t="s">
        <v>2214</v>
      </c>
      <c r="AC949" t="s">
        <v>2209</v>
      </c>
      <c r="AD949" t="s">
        <v>2218</v>
      </c>
      <c r="AE949" t="s">
        <v>2166</v>
      </c>
      <c r="AG949" t="s">
        <v>2221</v>
      </c>
      <c r="AH949">
        <v>56</v>
      </c>
      <c r="AI949">
        <v>70</v>
      </c>
      <c r="AJ949">
        <v>14</v>
      </c>
      <c r="AK949">
        <v>1</v>
      </c>
      <c r="AL949" t="s">
        <v>2233</v>
      </c>
      <c r="AM949">
        <v>0</v>
      </c>
      <c r="AN949" t="s">
        <v>2177</v>
      </c>
      <c r="AO949" t="s">
        <v>2177</v>
      </c>
      <c r="AP949" t="s">
        <v>2177</v>
      </c>
      <c r="AQ949">
        <v>68.97</v>
      </c>
      <c r="AR949">
        <v>2</v>
      </c>
      <c r="AS949">
        <v>2</v>
      </c>
      <c r="AT949">
        <v>2</v>
      </c>
      <c r="AU949">
        <v>2</v>
      </c>
      <c r="AV949">
        <v>2</v>
      </c>
      <c r="AW949">
        <v>4.8</v>
      </c>
      <c r="AY949">
        <v>4.2</v>
      </c>
      <c r="AZ949">
        <v>3</v>
      </c>
      <c r="BA949">
        <v>2</v>
      </c>
      <c r="BB949">
        <v>40</v>
      </c>
      <c r="BC949">
        <v>27</v>
      </c>
      <c r="BD949">
        <v>35.07</v>
      </c>
      <c r="BE949">
        <v>181</v>
      </c>
      <c r="BF949">
        <v>87.7</v>
      </c>
      <c r="BG949">
        <v>26</v>
      </c>
      <c r="BH949">
        <v>27</v>
      </c>
      <c r="BI949">
        <v>23.19</v>
      </c>
      <c r="BJ949">
        <v>113</v>
      </c>
      <c r="BK949">
        <v>89.2</v>
      </c>
      <c r="BL949">
        <v>181</v>
      </c>
      <c r="BM949">
        <v>3.3641999999999999</v>
      </c>
    </row>
    <row r="950" spans="1:65" x14ac:dyDescent="0.25">
      <c r="A950" t="s">
        <v>1013</v>
      </c>
      <c r="B950" t="s">
        <v>1990</v>
      </c>
      <c r="C950" t="s">
        <v>2158</v>
      </c>
      <c r="D950" s="1">
        <v>45416</v>
      </c>
      <c r="E950" s="1">
        <v>45450</v>
      </c>
      <c r="F950" s="1">
        <v>45493</v>
      </c>
      <c r="G950" t="s">
        <v>2163</v>
      </c>
      <c r="I950" t="s">
        <v>2173</v>
      </c>
      <c r="J950">
        <v>9587</v>
      </c>
      <c r="K950">
        <v>287</v>
      </c>
      <c r="L950">
        <v>13.1</v>
      </c>
      <c r="M950">
        <v>9.9</v>
      </c>
      <c r="N950">
        <v>4</v>
      </c>
      <c r="O950">
        <v>11843</v>
      </c>
      <c r="P950" t="s">
        <v>2177</v>
      </c>
      <c r="Q950">
        <v>8</v>
      </c>
      <c r="R950">
        <v>11</v>
      </c>
      <c r="S950">
        <v>11</v>
      </c>
      <c r="T950">
        <v>319</v>
      </c>
      <c r="U950" t="s">
        <v>2166</v>
      </c>
      <c r="W950" t="s">
        <v>2209</v>
      </c>
      <c r="X950" t="s">
        <v>2211</v>
      </c>
      <c r="Y950" t="s">
        <v>2212</v>
      </c>
      <c r="Z950" s="1">
        <v>45480</v>
      </c>
      <c r="AA950" s="1">
        <v>45494</v>
      </c>
      <c r="AB950" t="s">
        <v>2214</v>
      </c>
      <c r="AC950" t="s">
        <v>2209</v>
      </c>
      <c r="AD950" t="s">
        <v>2218</v>
      </c>
      <c r="AE950" t="s">
        <v>2166</v>
      </c>
      <c r="AG950" t="s">
        <v>2221</v>
      </c>
      <c r="AH950">
        <v>30</v>
      </c>
      <c r="AI950">
        <v>44</v>
      </c>
      <c r="AJ950">
        <v>14</v>
      </c>
      <c r="AK950">
        <v>6</v>
      </c>
      <c r="AL950" t="s">
        <v>2223</v>
      </c>
      <c r="AM950">
        <v>0</v>
      </c>
      <c r="AN950" t="s">
        <v>2177</v>
      </c>
      <c r="AO950" t="s">
        <v>2177</v>
      </c>
      <c r="AP950" t="s">
        <v>2177</v>
      </c>
      <c r="AQ950">
        <v>129.69</v>
      </c>
      <c r="AR950">
        <v>2</v>
      </c>
      <c r="AS950">
        <v>2</v>
      </c>
      <c r="AT950">
        <v>2</v>
      </c>
      <c r="AU950">
        <v>2</v>
      </c>
      <c r="AV950">
        <v>2</v>
      </c>
      <c r="AW950">
        <v>4.8</v>
      </c>
      <c r="AY950">
        <v>4.4000000000000004</v>
      </c>
      <c r="AZ950">
        <v>2</v>
      </c>
      <c r="BA950">
        <v>2</v>
      </c>
      <c r="BB950">
        <v>45</v>
      </c>
      <c r="BC950">
        <v>25</v>
      </c>
      <c r="BD950">
        <v>39.200000000000003</v>
      </c>
      <c r="BE950">
        <v>186</v>
      </c>
      <c r="BF950">
        <v>87.1</v>
      </c>
      <c r="BG950">
        <v>30</v>
      </c>
      <c r="BH950">
        <v>25</v>
      </c>
      <c r="BI950">
        <v>26.48</v>
      </c>
      <c r="BJ950">
        <v>121</v>
      </c>
      <c r="BK950">
        <v>88.3</v>
      </c>
      <c r="BL950">
        <v>186</v>
      </c>
      <c r="BM950">
        <v>2.0613000000000001</v>
      </c>
    </row>
    <row r="951" spans="1:65" x14ac:dyDescent="0.25">
      <c r="A951" t="s">
        <v>1014</v>
      </c>
      <c r="B951" t="s">
        <v>1991</v>
      </c>
      <c r="C951" t="s">
        <v>2158</v>
      </c>
      <c r="D951" s="1">
        <v>45546</v>
      </c>
      <c r="E951" s="1">
        <v>45567</v>
      </c>
      <c r="F951" s="1">
        <v>45636</v>
      </c>
      <c r="G951" t="s">
        <v>2164</v>
      </c>
      <c r="I951" t="s">
        <v>2175</v>
      </c>
      <c r="J951">
        <v>19586</v>
      </c>
      <c r="K951">
        <v>587</v>
      </c>
      <c r="L951">
        <v>5.9</v>
      </c>
      <c r="M951">
        <v>12.9</v>
      </c>
      <c r="N951">
        <v>4</v>
      </c>
      <c r="O951">
        <v>9689</v>
      </c>
      <c r="P951" t="s">
        <v>2177</v>
      </c>
      <c r="Q951">
        <v>16</v>
      </c>
      <c r="R951">
        <v>22</v>
      </c>
      <c r="S951">
        <v>17</v>
      </c>
      <c r="T951">
        <v>356</v>
      </c>
      <c r="U951" t="s">
        <v>2166</v>
      </c>
      <c r="W951" t="s">
        <v>2209</v>
      </c>
      <c r="X951" t="s">
        <v>2211</v>
      </c>
      <c r="Y951" t="s">
        <v>2212</v>
      </c>
      <c r="Z951" s="1">
        <v>45622</v>
      </c>
      <c r="AA951" s="1">
        <v>45638</v>
      </c>
      <c r="AB951" t="s">
        <v>2214</v>
      </c>
      <c r="AC951" t="s">
        <v>2209</v>
      </c>
      <c r="AD951" t="s">
        <v>2218</v>
      </c>
      <c r="AE951" t="s">
        <v>2166</v>
      </c>
      <c r="AG951" t="s">
        <v>2221</v>
      </c>
      <c r="AH951">
        <v>55</v>
      </c>
      <c r="AI951">
        <v>71</v>
      </c>
      <c r="AJ951">
        <v>16</v>
      </c>
      <c r="AK951">
        <v>10</v>
      </c>
      <c r="AL951" t="s">
        <v>2230</v>
      </c>
      <c r="AM951">
        <v>1</v>
      </c>
      <c r="AN951" t="s">
        <v>2177</v>
      </c>
      <c r="AO951" t="s">
        <v>2177</v>
      </c>
      <c r="AP951" t="s">
        <v>2177</v>
      </c>
      <c r="AQ951">
        <v>76.110000000000014</v>
      </c>
      <c r="AR951">
        <v>2</v>
      </c>
      <c r="AS951">
        <v>2</v>
      </c>
      <c r="AT951">
        <v>2</v>
      </c>
      <c r="AU951">
        <v>2</v>
      </c>
      <c r="AV951">
        <v>2</v>
      </c>
      <c r="AW951">
        <v>4.8</v>
      </c>
      <c r="AY951">
        <v>4.5</v>
      </c>
      <c r="AZ951">
        <v>2</v>
      </c>
      <c r="BA951">
        <v>3</v>
      </c>
      <c r="BB951">
        <v>50</v>
      </c>
      <c r="BC951">
        <v>27</v>
      </c>
      <c r="BD951">
        <v>42.44</v>
      </c>
      <c r="BE951">
        <v>220</v>
      </c>
      <c r="BF951">
        <v>84.9</v>
      </c>
      <c r="BG951">
        <v>27</v>
      </c>
      <c r="BH951">
        <v>27</v>
      </c>
      <c r="BI951">
        <v>23.56</v>
      </c>
      <c r="BJ951">
        <v>116</v>
      </c>
      <c r="BK951">
        <v>87.3</v>
      </c>
      <c r="BL951">
        <v>220</v>
      </c>
      <c r="BM951">
        <v>3.2968000000000002</v>
      </c>
    </row>
    <row r="952" spans="1:65" x14ac:dyDescent="0.25">
      <c r="A952" t="s">
        <v>1015</v>
      </c>
      <c r="B952" t="s">
        <v>1992</v>
      </c>
      <c r="C952" t="s">
        <v>2157</v>
      </c>
      <c r="D952" s="1">
        <v>45372</v>
      </c>
      <c r="E952" s="1">
        <v>45415</v>
      </c>
      <c r="F952" s="1">
        <v>45461</v>
      </c>
      <c r="G952" t="s">
        <v>2163</v>
      </c>
      <c r="I952" t="s">
        <v>2175</v>
      </c>
      <c r="J952">
        <v>17258</v>
      </c>
      <c r="K952">
        <v>517</v>
      </c>
      <c r="L952">
        <v>9.6999999999999993</v>
      </c>
      <c r="M952">
        <v>8.4</v>
      </c>
      <c r="N952">
        <v>7</v>
      </c>
      <c r="O952">
        <v>12315</v>
      </c>
      <c r="P952" t="s">
        <v>2177</v>
      </c>
      <c r="Q952">
        <v>10</v>
      </c>
      <c r="R952">
        <v>12</v>
      </c>
      <c r="S952">
        <v>19</v>
      </c>
      <c r="T952">
        <v>420</v>
      </c>
      <c r="U952" t="s">
        <v>2166</v>
      </c>
      <c r="W952" t="s">
        <v>2209</v>
      </c>
      <c r="X952" t="s">
        <v>2211</v>
      </c>
      <c r="Y952" t="s">
        <v>2212</v>
      </c>
      <c r="Z952" s="1">
        <v>45456</v>
      </c>
      <c r="AA952" s="1">
        <v>45475</v>
      </c>
      <c r="AB952" t="s">
        <v>2215</v>
      </c>
      <c r="AC952" t="s">
        <v>2208</v>
      </c>
      <c r="AD952" t="s">
        <v>2218</v>
      </c>
      <c r="AE952" t="s">
        <v>2166</v>
      </c>
      <c r="AG952" t="s">
        <v>2221</v>
      </c>
      <c r="AH952">
        <v>41</v>
      </c>
      <c r="AI952">
        <v>60</v>
      </c>
      <c r="AJ952">
        <v>19</v>
      </c>
      <c r="AK952">
        <v>5</v>
      </c>
      <c r="AL952" t="s">
        <v>2224</v>
      </c>
      <c r="AM952">
        <v>0</v>
      </c>
      <c r="AN952" t="s">
        <v>2177</v>
      </c>
      <c r="AO952" t="s">
        <v>2175</v>
      </c>
      <c r="AP952" t="s">
        <v>2177</v>
      </c>
      <c r="AQ952">
        <v>81.48</v>
      </c>
      <c r="AR952">
        <v>2</v>
      </c>
      <c r="AS952">
        <v>2</v>
      </c>
      <c r="AT952">
        <v>3</v>
      </c>
      <c r="AU952">
        <v>2</v>
      </c>
      <c r="AV952">
        <v>2.333333333333333</v>
      </c>
      <c r="AW952">
        <v>4.8</v>
      </c>
      <c r="AY952">
        <v>4.4000000000000004</v>
      </c>
      <c r="AZ952">
        <v>3</v>
      </c>
      <c r="BA952">
        <v>3</v>
      </c>
      <c r="BB952">
        <v>43</v>
      </c>
      <c r="BC952">
        <v>27</v>
      </c>
      <c r="BD952">
        <v>37.299999999999997</v>
      </c>
      <c r="BE952">
        <v>193</v>
      </c>
      <c r="BF952">
        <v>86.7</v>
      </c>
      <c r="BG952">
        <v>38</v>
      </c>
      <c r="BH952">
        <v>27</v>
      </c>
      <c r="BI952">
        <v>33.33</v>
      </c>
      <c r="BJ952">
        <v>171</v>
      </c>
      <c r="BK952">
        <v>87.7</v>
      </c>
      <c r="BL952">
        <v>193</v>
      </c>
      <c r="BM952">
        <v>3.3111999999999999</v>
      </c>
    </row>
    <row r="953" spans="1:65" x14ac:dyDescent="0.25">
      <c r="A953" t="s">
        <v>1016</v>
      </c>
      <c r="B953" t="s">
        <v>1993</v>
      </c>
      <c r="C953" t="s">
        <v>2157</v>
      </c>
      <c r="D953" s="1">
        <v>45349</v>
      </c>
      <c r="E953" s="1">
        <v>45392</v>
      </c>
      <c r="F953" s="1">
        <v>45484</v>
      </c>
      <c r="G953" t="s">
        <v>2163</v>
      </c>
      <c r="I953" t="s">
        <v>2173</v>
      </c>
      <c r="J953">
        <v>25173</v>
      </c>
      <c r="K953">
        <v>755</v>
      </c>
      <c r="L953">
        <v>10.5</v>
      </c>
      <c r="M953">
        <v>12.7</v>
      </c>
      <c r="N953">
        <v>6</v>
      </c>
      <c r="O953">
        <v>10982</v>
      </c>
      <c r="P953" t="s">
        <v>2175</v>
      </c>
      <c r="Q953">
        <v>23</v>
      </c>
      <c r="R953">
        <v>36</v>
      </c>
      <c r="S953">
        <v>28</v>
      </c>
      <c r="T953">
        <v>289</v>
      </c>
      <c r="U953" t="s">
        <v>2166</v>
      </c>
      <c r="W953" t="s">
        <v>2209</v>
      </c>
      <c r="X953" t="s">
        <v>2211</v>
      </c>
      <c r="Y953" t="s">
        <v>2212</v>
      </c>
      <c r="Z953" s="1">
        <v>45479</v>
      </c>
      <c r="AA953" s="1">
        <v>45498</v>
      </c>
      <c r="AB953" t="s">
        <v>2215</v>
      </c>
      <c r="AC953" t="s">
        <v>2208</v>
      </c>
      <c r="AD953" t="s">
        <v>2218</v>
      </c>
      <c r="AE953" t="s">
        <v>2166</v>
      </c>
      <c r="AG953" t="s">
        <v>2221</v>
      </c>
      <c r="AH953">
        <v>87</v>
      </c>
      <c r="AI953">
        <v>106</v>
      </c>
      <c r="AJ953">
        <v>19</v>
      </c>
      <c r="AK953">
        <v>4</v>
      </c>
      <c r="AL953" t="s">
        <v>2225</v>
      </c>
      <c r="AM953">
        <v>0</v>
      </c>
      <c r="AN953" t="s">
        <v>2175</v>
      </c>
      <c r="AO953" t="s">
        <v>2177</v>
      </c>
      <c r="AP953" t="s">
        <v>2177</v>
      </c>
      <c r="AQ953">
        <v>133.35</v>
      </c>
      <c r="AR953">
        <v>3</v>
      </c>
      <c r="AS953">
        <v>3</v>
      </c>
      <c r="AT953">
        <v>2</v>
      </c>
      <c r="AU953">
        <v>2</v>
      </c>
      <c r="AV953">
        <v>2.333333333333333</v>
      </c>
      <c r="AW953">
        <v>4.8</v>
      </c>
      <c r="AY953">
        <v>4.4000000000000004</v>
      </c>
      <c r="AZ953">
        <v>3</v>
      </c>
      <c r="BA953">
        <v>2</v>
      </c>
      <c r="BB953">
        <v>45</v>
      </c>
      <c r="BC953">
        <v>26</v>
      </c>
      <c r="BD953">
        <v>40.270000000000003</v>
      </c>
      <c r="BE953">
        <v>199</v>
      </c>
      <c r="BF953">
        <v>89.5</v>
      </c>
      <c r="BG953">
        <v>31</v>
      </c>
      <c r="BH953">
        <v>26</v>
      </c>
      <c r="BI953">
        <v>27.23</v>
      </c>
      <c r="BJ953">
        <v>132</v>
      </c>
      <c r="BK953">
        <v>87.8</v>
      </c>
      <c r="BL953">
        <v>199</v>
      </c>
      <c r="BM953">
        <v>4.8643000000000001</v>
      </c>
    </row>
    <row r="954" spans="1:65" x14ac:dyDescent="0.25">
      <c r="A954" t="s">
        <v>1017</v>
      </c>
      <c r="B954" t="s">
        <v>1994</v>
      </c>
      <c r="C954" t="s">
        <v>2159</v>
      </c>
      <c r="D954" s="1">
        <v>45284</v>
      </c>
      <c r="E954" s="1">
        <v>45306</v>
      </c>
      <c r="F954" s="1">
        <v>45421</v>
      </c>
      <c r="G954" t="s">
        <v>2162</v>
      </c>
      <c r="I954" t="s">
        <v>2173</v>
      </c>
      <c r="J954">
        <v>32089</v>
      </c>
      <c r="K954">
        <v>962</v>
      </c>
      <c r="L954">
        <v>11.5</v>
      </c>
      <c r="M954">
        <v>4.2</v>
      </c>
      <c r="N954">
        <v>7</v>
      </c>
      <c r="O954">
        <v>9944</v>
      </c>
      <c r="P954" t="s">
        <v>2177</v>
      </c>
      <c r="Q954">
        <v>24</v>
      </c>
      <c r="R954">
        <v>31</v>
      </c>
      <c r="S954">
        <v>39</v>
      </c>
      <c r="T954">
        <v>341</v>
      </c>
      <c r="U954" t="s">
        <v>2166</v>
      </c>
      <c r="W954" t="s">
        <v>2209</v>
      </c>
      <c r="X954" t="s">
        <v>2211</v>
      </c>
      <c r="Y954" t="s">
        <v>2212</v>
      </c>
      <c r="Z954" s="1">
        <v>45400</v>
      </c>
      <c r="AA954" s="1">
        <v>45418</v>
      </c>
      <c r="AB954" t="s">
        <v>2214</v>
      </c>
      <c r="AC954" t="s">
        <v>2209</v>
      </c>
      <c r="AD954" t="s">
        <v>2218</v>
      </c>
      <c r="AE954" t="s">
        <v>2166</v>
      </c>
      <c r="AG954" t="s">
        <v>2221</v>
      </c>
      <c r="AH954">
        <v>94</v>
      </c>
      <c r="AI954">
        <v>112</v>
      </c>
      <c r="AJ954">
        <v>18</v>
      </c>
      <c r="AK954">
        <v>1</v>
      </c>
      <c r="AL954" t="s">
        <v>2233</v>
      </c>
      <c r="AM954">
        <v>0</v>
      </c>
      <c r="AN954" t="s">
        <v>2177</v>
      </c>
      <c r="AO954" t="s">
        <v>2175</v>
      </c>
      <c r="AP954" t="s">
        <v>2177</v>
      </c>
      <c r="AQ954">
        <v>48.3</v>
      </c>
      <c r="AR954">
        <v>2</v>
      </c>
      <c r="AS954">
        <v>2</v>
      </c>
      <c r="AT954">
        <v>3</v>
      </c>
      <c r="AU954">
        <v>2</v>
      </c>
      <c r="AV954">
        <v>2.333333333333333</v>
      </c>
      <c r="AW954">
        <v>4.8</v>
      </c>
      <c r="AY954">
        <v>4.2</v>
      </c>
      <c r="AZ954">
        <v>0</v>
      </c>
      <c r="BA954">
        <v>2</v>
      </c>
      <c r="BB954">
        <v>40</v>
      </c>
      <c r="BC954">
        <v>27</v>
      </c>
      <c r="BD954">
        <v>35.07</v>
      </c>
      <c r="BE954">
        <v>181</v>
      </c>
      <c r="BF954">
        <v>87.7</v>
      </c>
      <c r="BG954">
        <v>26</v>
      </c>
      <c r="BH954">
        <v>27</v>
      </c>
      <c r="BI954">
        <v>23.19</v>
      </c>
      <c r="BJ954">
        <v>113</v>
      </c>
      <c r="BK954">
        <v>89.2</v>
      </c>
      <c r="BL954">
        <v>181</v>
      </c>
      <c r="BM954">
        <v>6.5648999999999997</v>
      </c>
    </row>
    <row r="955" spans="1:65" x14ac:dyDescent="0.25">
      <c r="A955" t="s">
        <v>1018</v>
      </c>
      <c r="B955" t="s">
        <v>1995</v>
      </c>
      <c r="C955" t="s">
        <v>2157</v>
      </c>
      <c r="D955" s="1">
        <v>45430</v>
      </c>
      <c r="E955" s="1">
        <v>45488</v>
      </c>
      <c r="F955" s="1">
        <v>45529</v>
      </c>
      <c r="G955" t="s">
        <v>2165</v>
      </c>
      <c r="I955" t="s">
        <v>2175</v>
      </c>
      <c r="J955">
        <v>11258</v>
      </c>
      <c r="K955">
        <v>337</v>
      </c>
      <c r="L955">
        <v>11.4</v>
      </c>
      <c r="M955">
        <v>10.6</v>
      </c>
      <c r="N955">
        <v>7</v>
      </c>
      <c r="O955">
        <v>11777</v>
      </c>
      <c r="P955" t="s">
        <v>2175</v>
      </c>
      <c r="Q955">
        <v>6</v>
      </c>
      <c r="R955">
        <v>9</v>
      </c>
      <c r="S955">
        <v>12</v>
      </c>
      <c r="T955">
        <v>416</v>
      </c>
      <c r="U955" t="s">
        <v>2166</v>
      </c>
      <c r="W955" t="s">
        <v>2209</v>
      </c>
      <c r="X955" t="s">
        <v>2211</v>
      </c>
      <c r="Y955" t="s">
        <v>2212</v>
      </c>
      <c r="Z955" s="1">
        <v>45515</v>
      </c>
      <c r="AA955" s="1">
        <v>45529</v>
      </c>
      <c r="AB955" t="s">
        <v>2214</v>
      </c>
      <c r="AC955" t="s">
        <v>2209</v>
      </c>
      <c r="AD955" t="s">
        <v>2218</v>
      </c>
      <c r="AE955" t="s">
        <v>2166</v>
      </c>
      <c r="AG955" t="s">
        <v>2221</v>
      </c>
      <c r="AH955">
        <v>27</v>
      </c>
      <c r="AI955">
        <v>41</v>
      </c>
      <c r="AJ955">
        <v>14</v>
      </c>
      <c r="AK955">
        <v>7</v>
      </c>
      <c r="AL955" t="s">
        <v>2226</v>
      </c>
      <c r="AM955">
        <v>0</v>
      </c>
      <c r="AN955" t="s">
        <v>2175</v>
      </c>
      <c r="AO955" t="s">
        <v>2175</v>
      </c>
      <c r="AP955" t="s">
        <v>2177</v>
      </c>
      <c r="AQ955">
        <v>120.84</v>
      </c>
      <c r="AR955">
        <v>3</v>
      </c>
      <c r="AS955">
        <v>3</v>
      </c>
      <c r="AT955">
        <v>3</v>
      </c>
      <c r="AU955">
        <v>2</v>
      </c>
      <c r="AV955">
        <v>2.666666666666667</v>
      </c>
      <c r="AW955">
        <v>4.8</v>
      </c>
      <c r="AY955">
        <v>4.5999999999999996</v>
      </c>
      <c r="AZ955">
        <v>3</v>
      </c>
      <c r="BA955">
        <v>3</v>
      </c>
      <c r="BB955">
        <v>48</v>
      </c>
      <c r="BC955">
        <v>27</v>
      </c>
      <c r="BD955">
        <v>42.33</v>
      </c>
      <c r="BE955">
        <v>216</v>
      </c>
      <c r="BF955">
        <v>88.2</v>
      </c>
      <c r="BG955">
        <v>38</v>
      </c>
      <c r="BH955">
        <v>27</v>
      </c>
      <c r="BI955">
        <v>34</v>
      </c>
      <c r="BJ955">
        <v>174</v>
      </c>
      <c r="BK955">
        <v>89.5</v>
      </c>
      <c r="BL955">
        <v>216</v>
      </c>
      <c r="BM955">
        <v>1.9300999999999999</v>
      </c>
    </row>
    <row r="956" spans="1:65" x14ac:dyDescent="0.25">
      <c r="A956" t="s">
        <v>1019</v>
      </c>
      <c r="B956" t="s">
        <v>1996</v>
      </c>
      <c r="C956" t="s">
        <v>2158</v>
      </c>
      <c r="D956" s="1">
        <v>45285</v>
      </c>
      <c r="E956" s="1">
        <v>45326</v>
      </c>
      <c r="F956" s="1">
        <v>45397</v>
      </c>
      <c r="G956" t="s">
        <v>2163</v>
      </c>
      <c r="I956" t="s">
        <v>2175</v>
      </c>
      <c r="J956">
        <v>26522</v>
      </c>
      <c r="K956">
        <v>795</v>
      </c>
      <c r="L956">
        <v>13.3</v>
      </c>
      <c r="M956">
        <v>9.5</v>
      </c>
      <c r="N956">
        <v>6</v>
      </c>
      <c r="O956">
        <v>9263</v>
      </c>
      <c r="P956" t="s">
        <v>2177</v>
      </c>
      <c r="Q956">
        <v>17</v>
      </c>
      <c r="R956">
        <v>24</v>
      </c>
      <c r="S956">
        <v>25</v>
      </c>
      <c r="T956">
        <v>401</v>
      </c>
      <c r="U956" t="s">
        <v>2166</v>
      </c>
      <c r="W956" t="s">
        <v>2209</v>
      </c>
      <c r="X956" t="s">
        <v>2211</v>
      </c>
      <c r="Y956" t="s">
        <v>2212</v>
      </c>
      <c r="Z956" s="1">
        <v>45392</v>
      </c>
      <c r="AA956" s="1">
        <v>45408</v>
      </c>
      <c r="AB956" t="s">
        <v>2215</v>
      </c>
      <c r="AC956" t="s">
        <v>2208</v>
      </c>
      <c r="AD956" t="s">
        <v>2218</v>
      </c>
      <c r="AE956" t="s">
        <v>2166</v>
      </c>
      <c r="AG956" t="s">
        <v>2221</v>
      </c>
      <c r="AH956">
        <v>66</v>
      </c>
      <c r="AI956">
        <v>82</v>
      </c>
      <c r="AJ956">
        <v>16</v>
      </c>
      <c r="AK956">
        <v>2</v>
      </c>
      <c r="AL956" t="s">
        <v>2228</v>
      </c>
      <c r="AM956">
        <v>0</v>
      </c>
      <c r="AN956" t="s">
        <v>2177</v>
      </c>
      <c r="AO956" t="s">
        <v>2177</v>
      </c>
      <c r="AP956" t="s">
        <v>2177</v>
      </c>
      <c r="AQ956">
        <v>126.35</v>
      </c>
      <c r="AR956">
        <v>2</v>
      </c>
      <c r="AS956">
        <v>2</v>
      </c>
      <c r="AT956">
        <v>2</v>
      </c>
      <c r="AU956">
        <v>2</v>
      </c>
      <c r="AV956">
        <v>2</v>
      </c>
      <c r="AW956">
        <v>4.8</v>
      </c>
      <c r="AY956">
        <v>4.4000000000000004</v>
      </c>
      <c r="AZ956">
        <v>2</v>
      </c>
      <c r="BA956">
        <v>3</v>
      </c>
      <c r="BB956">
        <v>40</v>
      </c>
      <c r="BC956">
        <v>24</v>
      </c>
      <c r="BD956">
        <v>35.54</v>
      </c>
      <c r="BE956">
        <v>160</v>
      </c>
      <c r="BF956">
        <v>88.8</v>
      </c>
      <c r="BG956">
        <v>30</v>
      </c>
      <c r="BH956">
        <v>24</v>
      </c>
      <c r="BI956">
        <v>26.21</v>
      </c>
      <c r="BJ956">
        <v>116</v>
      </c>
      <c r="BK956">
        <v>87.4</v>
      </c>
      <c r="BL956">
        <v>160</v>
      </c>
      <c r="BM956">
        <v>6.9050000000000002</v>
      </c>
    </row>
    <row r="957" spans="1:65" x14ac:dyDescent="0.25">
      <c r="A957" t="s">
        <v>1020</v>
      </c>
      <c r="B957" t="s">
        <v>1997</v>
      </c>
      <c r="C957" t="s">
        <v>2160</v>
      </c>
      <c r="D957" s="1">
        <v>45451</v>
      </c>
      <c r="E957" s="1">
        <v>45507</v>
      </c>
      <c r="F957" s="1">
        <v>45622</v>
      </c>
      <c r="G957" t="s">
        <v>2163</v>
      </c>
      <c r="I957" t="s">
        <v>2173</v>
      </c>
      <c r="J957">
        <v>25257</v>
      </c>
      <c r="K957">
        <v>757</v>
      </c>
      <c r="L957">
        <v>6.3</v>
      </c>
      <c r="M957">
        <v>6.9</v>
      </c>
      <c r="N957">
        <v>5</v>
      </c>
      <c r="O957">
        <v>12716</v>
      </c>
      <c r="P957" t="s">
        <v>2177</v>
      </c>
      <c r="Q957">
        <v>21</v>
      </c>
      <c r="R957">
        <v>29</v>
      </c>
      <c r="S957">
        <v>46</v>
      </c>
      <c r="T957">
        <v>263</v>
      </c>
      <c r="U957" t="s">
        <v>2166</v>
      </c>
      <c r="W957" t="s">
        <v>2209</v>
      </c>
      <c r="X957" t="s">
        <v>2211</v>
      </c>
      <c r="Y957" t="s">
        <v>2212</v>
      </c>
      <c r="Z957" s="1">
        <v>45603</v>
      </c>
      <c r="AA957" s="1">
        <v>45622</v>
      </c>
      <c r="AB957" t="s">
        <v>2214</v>
      </c>
      <c r="AC957" t="s">
        <v>2209</v>
      </c>
      <c r="AD957" t="s">
        <v>2218</v>
      </c>
      <c r="AE957" t="s">
        <v>2166</v>
      </c>
      <c r="AG957" t="s">
        <v>2221</v>
      </c>
      <c r="AH957">
        <v>96</v>
      </c>
      <c r="AI957">
        <v>115</v>
      </c>
      <c r="AJ957">
        <v>19</v>
      </c>
      <c r="AK957">
        <v>8</v>
      </c>
      <c r="AL957" t="s">
        <v>2232</v>
      </c>
      <c r="AM957">
        <v>0</v>
      </c>
      <c r="AN957" t="s">
        <v>2177</v>
      </c>
      <c r="AO957" t="s">
        <v>2177</v>
      </c>
      <c r="AP957" t="s">
        <v>2177</v>
      </c>
      <c r="AQ957">
        <v>43.47</v>
      </c>
      <c r="AR957">
        <v>2</v>
      </c>
      <c r="AS957">
        <v>2</v>
      </c>
      <c r="AT957">
        <v>2</v>
      </c>
      <c r="AU957">
        <v>2</v>
      </c>
      <c r="AV957">
        <v>2</v>
      </c>
      <c r="AW957">
        <v>4.8</v>
      </c>
      <c r="AY957">
        <v>4.4000000000000004</v>
      </c>
      <c r="AZ957">
        <v>1</v>
      </c>
      <c r="BA957">
        <v>2</v>
      </c>
      <c r="BB957">
        <v>41</v>
      </c>
      <c r="BC957">
        <v>26</v>
      </c>
      <c r="BD957">
        <v>36.15</v>
      </c>
      <c r="BE957">
        <v>176</v>
      </c>
      <c r="BF957">
        <v>88.2</v>
      </c>
      <c r="BG957">
        <v>37</v>
      </c>
      <c r="BH957">
        <v>26</v>
      </c>
      <c r="BI957">
        <v>32.880000000000003</v>
      </c>
      <c r="BJ957">
        <v>161</v>
      </c>
      <c r="BK957">
        <v>88.9</v>
      </c>
      <c r="BL957">
        <v>176</v>
      </c>
      <c r="BM957">
        <v>5.5182000000000002</v>
      </c>
    </row>
    <row r="958" spans="1:65" x14ac:dyDescent="0.25">
      <c r="A958" t="s">
        <v>1021</v>
      </c>
      <c r="B958" t="s">
        <v>1998</v>
      </c>
      <c r="C958" t="s">
        <v>2159</v>
      </c>
      <c r="D958" s="1">
        <v>45359</v>
      </c>
      <c r="E958" s="1">
        <v>45415</v>
      </c>
      <c r="F958" s="1">
        <v>45506</v>
      </c>
      <c r="G958" t="s">
        <v>2166</v>
      </c>
      <c r="I958" t="s">
        <v>2175</v>
      </c>
      <c r="J958">
        <v>28671</v>
      </c>
      <c r="K958">
        <v>860</v>
      </c>
      <c r="L958">
        <v>12.6</v>
      </c>
      <c r="M958">
        <v>8.6999999999999993</v>
      </c>
      <c r="N958">
        <v>4</v>
      </c>
      <c r="O958">
        <v>6386</v>
      </c>
      <c r="P958" t="s">
        <v>2177</v>
      </c>
      <c r="Q958">
        <v>23</v>
      </c>
      <c r="R958">
        <v>31</v>
      </c>
      <c r="S958">
        <v>32</v>
      </c>
      <c r="T958">
        <v>333</v>
      </c>
      <c r="U958" t="s">
        <v>2165</v>
      </c>
      <c r="W958" t="s">
        <v>2209</v>
      </c>
      <c r="X958" t="s">
        <v>2211</v>
      </c>
      <c r="Y958" t="s">
        <v>2212</v>
      </c>
      <c r="Z958" s="1">
        <v>45501</v>
      </c>
      <c r="AA958" s="1">
        <v>45522</v>
      </c>
      <c r="AB958" t="s">
        <v>2215</v>
      </c>
      <c r="AC958" t="s">
        <v>2208</v>
      </c>
      <c r="AD958" t="s">
        <v>2218</v>
      </c>
      <c r="AE958" t="s">
        <v>2165</v>
      </c>
      <c r="AG958" t="s">
        <v>2221</v>
      </c>
      <c r="AH958">
        <v>86</v>
      </c>
      <c r="AI958">
        <v>107</v>
      </c>
      <c r="AJ958">
        <v>21</v>
      </c>
      <c r="AK958">
        <v>5</v>
      </c>
      <c r="AL958" t="s">
        <v>2224</v>
      </c>
      <c r="AM958">
        <v>0</v>
      </c>
      <c r="AN958" t="s">
        <v>2177</v>
      </c>
      <c r="AO958" t="s">
        <v>2177</v>
      </c>
      <c r="AP958" t="s">
        <v>2176</v>
      </c>
      <c r="AQ958">
        <v>109.62</v>
      </c>
      <c r="AR958">
        <v>2</v>
      </c>
      <c r="AS958">
        <v>2</v>
      </c>
      <c r="AT958">
        <v>2</v>
      </c>
      <c r="AU958">
        <v>1</v>
      </c>
      <c r="AV958">
        <v>1.666666666666667</v>
      </c>
      <c r="AW958">
        <v>4.5999999999999996</v>
      </c>
      <c r="AY958">
        <v>4.8</v>
      </c>
      <c r="AZ958">
        <v>0</v>
      </c>
      <c r="BA958">
        <v>3</v>
      </c>
      <c r="BB958">
        <v>36</v>
      </c>
      <c r="BC958">
        <v>27</v>
      </c>
      <c r="BD958">
        <v>31.37</v>
      </c>
      <c r="BE958">
        <v>158</v>
      </c>
      <c r="BF958">
        <v>87.1</v>
      </c>
      <c r="BG958">
        <v>43</v>
      </c>
      <c r="BH958">
        <v>27</v>
      </c>
      <c r="BI958">
        <v>37.299999999999997</v>
      </c>
      <c r="BJ958">
        <v>193</v>
      </c>
      <c r="BK958">
        <v>86.7</v>
      </c>
      <c r="BL958">
        <v>158</v>
      </c>
      <c r="BM958">
        <v>6.7191999999999998</v>
      </c>
    </row>
    <row r="959" spans="1:65" x14ac:dyDescent="0.25">
      <c r="A959" t="s">
        <v>1022</v>
      </c>
      <c r="B959" t="s">
        <v>1999</v>
      </c>
      <c r="C959" t="s">
        <v>2157</v>
      </c>
      <c r="D959" s="1">
        <v>45329</v>
      </c>
      <c r="E959" s="1">
        <v>45363</v>
      </c>
      <c r="F959" s="1">
        <v>45434</v>
      </c>
      <c r="G959" t="s">
        <v>2161</v>
      </c>
      <c r="I959" t="s">
        <v>2173</v>
      </c>
      <c r="J959">
        <v>19864</v>
      </c>
      <c r="K959">
        <v>595</v>
      </c>
      <c r="L959">
        <v>11.6</v>
      </c>
      <c r="M959">
        <v>11.9</v>
      </c>
      <c r="N959">
        <v>3</v>
      </c>
      <c r="O959">
        <v>11118</v>
      </c>
      <c r="P959" t="s">
        <v>2175</v>
      </c>
      <c r="Q959">
        <v>14</v>
      </c>
      <c r="R959">
        <v>23</v>
      </c>
      <c r="S959">
        <v>29</v>
      </c>
      <c r="T959">
        <v>300</v>
      </c>
      <c r="U959" t="s">
        <v>2166</v>
      </c>
      <c r="W959" t="s">
        <v>2209</v>
      </c>
      <c r="X959" t="s">
        <v>2211</v>
      </c>
      <c r="Y959" t="s">
        <v>2212</v>
      </c>
      <c r="Z959" s="1">
        <v>45429</v>
      </c>
      <c r="AA959" s="1">
        <v>45442</v>
      </c>
      <c r="AB959" t="s">
        <v>2215</v>
      </c>
      <c r="AC959" t="s">
        <v>2208</v>
      </c>
      <c r="AD959" t="s">
        <v>2218</v>
      </c>
      <c r="AE959" t="s">
        <v>2166</v>
      </c>
      <c r="AG959" t="s">
        <v>2221</v>
      </c>
      <c r="AH959">
        <v>66</v>
      </c>
      <c r="AI959">
        <v>79</v>
      </c>
      <c r="AJ959">
        <v>13</v>
      </c>
      <c r="AK959">
        <v>3</v>
      </c>
      <c r="AL959" t="s">
        <v>2227</v>
      </c>
      <c r="AM959">
        <v>0</v>
      </c>
      <c r="AN959" t="s">
        <v>2175</v>
      </c>
      <c r="AO959" t="s">
        <v>2176</v>
      </c>
      <c r="AP959" t="s">
        <v>2177</v>
      </c>
      <c r="AQ959">
        <v>138.04</v>
      </c>
      <c r="AR959">
        <v>3</v>
      </c>
      <c r="AS959">
        <v>3</v>
      </c>
      <c r="AT959">
        <v>1</v>
      </c>
      <c r="AU959">
        <v>2</v>
      </c>
      <c r="AV959">
        <v>2</v>
      </c>
      <c r="AW959">
        <v>4.8</v>
      </c>
      <c r="AY959">
        <v>4.3</v>
      </c>
      <c r="AZ959">
        <v>3</v>
      </c>
      <c r="BA959">
        <v>2</v>
      </c>
      <c r="BB959">
        <v>49</v>
      </c>
      <c r="BC959">
        <v>26</v>
      </c>
      <c r="BD959">
        <v>43.12</v>
      </c>
      <c r="BE959">
        <v>216</v>
      </c>
      <c r="BF959">
        <v>88</v>
      </c>
      <c r="BG959">
        <v>38</v>
      </c>
      <c r="BH959">
        <v>26</v>
      </c>
      <c r="BI959">
        <v>33.729999999999997</v>
      </c>
      <c r="BJ959">
        <v>164</v>
      </c>
      <c r="BK959">
        <v>88.8</v>
      </c>
      <c r="BL959">
        <v>216</v>
      </c>
      <c r="BM959">
        <v>3.5364</v>
      </c>
    </row>
    <row r="960" spans="1:65" x14ac:dyDescent="0.25">
      <c r="A960" t="s">
        <v>1023</v>
      </c>
      <c r="B960" t="s">
        <v>2000</v>
      </c>
      <c r="C960" t="s">
        <v>2158</v>
      </c>
      <c r="D960" s="1">
        <v>45453</v>
      </c>
      <c r="E960" s="1">
        <v>45481</v>
      </c>
      <c r="F960" s="1">
        <v>45527</v>
      </c>
      <c r="G960" t="s">
        <v>2166</v>
      </c>
      <c r="I960" t="s">
        <v>2173</v>
      </c>
      <c r="J960">
        <v>13956</v>
      </c>
      <c r="K960">
        <v>418</v>
      </c>
      <c r="L960">
        <v>5.7</v>
      </c>
      <c r="M960">
        <v>13.6</v>
      </c>
      <c r="N960">
        <v>3</v>
      </c>
      <c r="O960">
        <v>8973</v>
      </c>
      <c r="P960" t="s">
        <v>2177</v>
      </c>
      <c r="Q960">
        <v>9</v>
      </c>
      <c r="R960">
        <v>13</v>
      </c>
      <c r="S960">
        <v>13</v>
      </c>
      <c r="T960">
        <v>398</v>
      </c>
      <c r="U960" t="s">
        <v>2165</v>
      </c>
      <c r="W960" t="s">
        <v>2209</v>
      </c>
      <c r="X960" t="s">
        <v>2211</v>
      </c>
      <c r="Y960" t="s">
        <v>2212</v>
      </c>
      <c r="Z960" s="1">
        <v>45516</v>
      </c>
      <c r="AA960" s="1">
        <v>45535</v>
      </c>
      <c r="AB960" t="s">
        <v>2215</v>
      </c>
      <c r="AC960" t="s">
        <v>2208</v>
      </c>
      <c r="AD960" t="s">
        <v>2218</v>
      </c>
      <c r="AE960" t="s">
        <v>2165</v>
      </c>
      <c r="AG960" t="s">
        <v>2221</v>
      </c>
      <c r="AH960">
        <v>35</v>
      </c>
      <c r="AI960">
        <v>54</v>
      </c>
      <c r="AJ960">
        <v>19</v>
      </c>
      <c r="AK960">
        <v>7</v>
      </c>
      <c r="AL960" t="s">
        <v>2226</v>
      </c>
      <c r="AM960">
        <v>0</v>
      </c>
      <c r="AN960" t="s">
        <v>2177</v>
      </c>
      <c r="AO960" t="s">
        <v>2176</v>
      </c>
      <c r="AP960" t="s">
        <v>2177</v>
      </c>
      <c r="AQ960">
        <v>77.52</v>
      </c>
      <c r="AR960">
        <v>2</v>
      </c>
      <c r="AS960">
        <v>2</v>
      </c>
      <c r="AT960">
        <v>1</v>
      </c>
      <c r="AU960">
        <v>2</v>
      </c>
      <c r="AV960">
        <v>1.666666666666667</v>
      </c>
      <c r="AW960">
        <v>4.5999999999999996</v>
      </c>
      <c r="AY960">
        <v>4.8</v>
      </c>
      <c r="AZ960">
        <v>2</v>
      </c>
      <c r="BA960">
        <v>2</v>
      </c>
      <c r="BB960">
        <v>38</v>
      </c>
      <c r="BC960">
        <v>27</v>
      </c>
      <c r="BD960">
        <v>34</v>
      </c>
      <c r="BE960">
        <v>174</v>
      </c>
      <c r="BF960">
        <v>89.5</v>
      </c>
      <c r="BG960">
        <v>48</v>
      </c>
      <c r="BH960">
        <v>27</v>
      </c>
      <c r="BI960">
        <v>42.33</v>
      </c>
      <c r="BJ960">
        <v>216</v>
      </c>
      <c r="BK960">
        <v>88.2</v>
      </c>
      <c r="BL960">
        <v>174</v>
      </c>
      <c r="BM960">
        <v>2.97</v>
      </c>
    </row>
    <row r="961" spans="1:65" x14ac:dyDescent="0.25">
      <c r="A961" t="s">
        <v>1024</v>
      </c>
      <c r="B961" t="s">
        <v>2001</v>
      </c>
      <c r="C961" t="s">
        <v>2157</v>
      </c>
      <c r="D961" s="1">
        <v>45392</v>
      </c>
      <c r="E961" s="1">
        <v>45447</v>
      </c>
      <c r="F961" s="1">
        <v>45541</v>
      </c>
      <c r="G961" t="s">
        <v>2161</v>
      </c>
      <c r="I961" t="s">
        <v>2175</v>
      </c>
      <c r="J961">
        <v>34416</v>
      </c>
      <c r="K961">
        <v>1032</v>
      </c>
      <c r="L961">
        <v>11.9</v>
      </c>
      <c r="M961">
        <v>13.1</v>
      </c>
      <c r="N961">
        <v>6</v>
      </c>
      <c r="O961">
        <v>10539</v>
      </c>
      <c r="P961" t="s">
        <v>2175</v>
      </c>
      <c r="Q961">
        <v>20</v>
      </c>
      <c r="R961">
        <v>25</v>
      </c>
      <c r="S961">
        <v>43</v>
      </c>
      <c r="T961">
        <v>391</v>
      </c>
      <c r="U961" t="s">
        <v>2166</v>
      </c>
      <c r="W961" t="s">
        <v>2209</v>
      </c>
      <c r="X961" t="s">
        <v>2211</v>
      </c>
      <c r="Y961" t="s">
        <v>2212</v>
      </c>
      <c r="Z961" s="1">
        <v>45535</v>
      </c>
      <c r="AA961" s="1">
        <v>45552</v>
      </c>
      <c r="AB961" t="s">
        <v>2215</v>
      </c>
      <c r="AC961" t="s">
        <v>2208</v>
      </c>
      <c r="AD961" t="s">
        <v>2218</v>
      </c>
      <c r="AE961" t="s">
        <v>2166</v>
      </c>
      <c r="AG961" t="s">
        <v>2221</v>
      </c>
      <c r="AH961">
        <v>88</v>
      </c>
      <c r="AI961">
        <v>105</v>
      </c>
      <c r="AJ961">
        <v>17</v>
      </c>
      <c r="AK961">
        <v>6</v>
      </c>
      <c r="AL961" t="s">
        <v>2223</v>
      </c>
      <c r="AM961">
        <v>0</v>
      </c>
      <c r="AN961" t="s">
        <v>2175</v>
      </c>
      <c r="AO961" t="s">
        <v>2177</v>
      </c>
      <c r="AP961" t="s">
        <v>2177</v>
      </c>
      <c r="AQ961">
        <v>155.88999999999999</v>
      </c>
      <c r="AR961">
        <v>3</v>
      </c>
      <c r="AS961">
        <v>3</v>
      </c>
      <c r="AT961">
        <v>2</v>
      </c>
      <c r="AU961">
        <v>2</v>
      </c>
      <c r="AV961">
        <v>2.333333333333333</v>
      </c>
      <c r="AW961">
        <v>4.8</v>
      </c>
      <c r="AY961">
        <v>4.3</v>
      </c>
      <c r="AZ961">
        <v>3</v>
      </c>
      <c r="BA961">
        <v>3</v>
      </c>
      <c r="BB961">
        <v>45</v>
      </c>
      <c r="BC961">
        <v>25</v>
      </c>
      <c r="BD961">
        <v>39.200000000000003</v>
      </c>
      <c r="BE961">
        <v>186</v>
      </c>
      <c r="BF961">
        <v>87.1</v>
      </c>
      <c r="BG961">
        <v>36</v>
      </c>
      <c r="BH961">
        <v>25</v>
      </c>
      <c r="BI961">
        <v>31.92</v>
      </c>
      <c r="BJ961">
        <v>149</v>
      </c>
      <c r="BK961">
        <v>88.7</v>
      </c>
      <c r="BL961">
        <v>186</v>
      </c>
      <c r="BM961">
        <v>7.3997000000000002</v>
      </c>
    </row>
    <row r="962" spans="1:65" x14ac:dyDescent="0.25">
      <c r="A962" t="s">
        <v>1025</v>
      </c>
      <c r="B962" t="s">
        <v>2002</v>
      </c>
      <c r="C962" t="s">
        <v>2157</v>
      </c>
      <c r="D962" s="1">
        <v>45279</v>
      </c>
      <c r="E962" s="1">
        <v>45299</v>
      </c>
      <c r="F962" s="1">
        <v>45444</v>
      </c>
      <c r="G962" t="s">
        <v>2166</v>
      </c>
      <c r="I962" t="s">
        <v>2175</v>
      </c>
      <c r="J962">
        <v>44723</v>
      </c>
      <c r="K962">
        <v>1341</v>
      </c>
      <c r="L962">
        <v>15.9</v>
      </c>
      <c r="M962">
        <v>13.6</v>
      </c>
      <c r="N962">
        <v>8</v>
      </c>
      <c r="O962">
        <v>16129</v>
      </c>
      <c r="P962" t="s">
        <v>2178</v>
      </c>
      <c r="Q962">
        <v>30</v>
      </c>
      <c r="R962">
        <v>39</v>
      </c>
      <c r="S962">
        <v>63</v>
      </c>
      <c r="T962">
        <v>338</v>
      </c>
      <c r="U962" t="s">
        <v>2166</v>
      </c>
      <c r="W962" t="s">
        <v>2208</v>
      </c>
      <c r="X962" t="s">
        <v>2210</v>
      </c>
      <c r="Y962" t="s">
        <v>2212</v>
      </c>
      <c r="Z962" s="1">
        <v>45431</v>
      </c>
      <c r="AA962" s="1">
        <v>45450</v>
      </c>
      <c r="AB962" t="s">
        <v>2214</v>
      </c>
      <c r="AC962" t="s">
        <v>2209</v>
      </c>
      <c r="AD962" t="s">
        <v>2216</v>
      </c>
      <c r="AE962" t="s">
        <v>2166</v>
      </c>
      <c r="AG962" t="s">
        <v>2220</v>
      </c>
      <c r="AH962">
        <v>132</v>
      </c>
      <c r="AI962">
        <v>151</v>
      </c>
      <c r="AJ962">
        <v>19</v>
      </c>
      <c r="AK962">
        <v>1</v>
      </c>
      <c r="AL962" t="s">
        <v>2233</v>
      </c>
      <c r="AM962">
        <v>0</v>
      </c>
      <c r="AN962" t="s">
        <v>2175</v>
      </c>
      <c r="AO962" t="s">
        <v>2175</v>
      </c>
      <c r="AP962" t="s">
        <v>2175</v>
      </c>
      <c r="AQ962">
        <v>216.24</v>
      </c>
      <c r="AR962">
        <v>3</v>
      </c>
      <c r="AS962">
        <v>3</v>
      </c>
      <c r="AT962">
        <v>3</v>
      </c>
      <c r="AU962">
        <v>3</v>
      </c>
      <c r="AV962">
        <v>3</v>
      </c>
      <c r="AW962">
        <v>4.8</v>
      </c>
      <c r="AY962">
        <v>4.8</v>
      </c>
      <c r="AZ962">
        <v>3</v>
      </c>
      <c r="BA962">
        <v>3</v>
      </c>
      <c r="BB962">
        <v>40</v>
      </c>
      <c r="BC962">
        <v>27</v>
      </c>
      <c r="BD962">
        <v>35.07</v>
      </c>
      <c r="BE962">
        <v>181</v>
      </c>
      <c r="BF962">
        <v>87.7</v>
      </c>
      <c r="BG962">
        <v>40</v>
      </c>
      <c r="BH962">
        <v>27</v>
      </c>
      <c r="BI962">
        <v>35.07</v>
      </c>
      <c r="BJ962">
        <v>181</v>
      </c>
      <c r="BK962">
        <v>87.7</v>
      </c>
      <c r="BL962">
        <v>181</v>
      </c>
      <c r="BM962">
        <v>9.1494999999999997</v>
      </c>
    </row>
    <row r="963" spans="1:65" x14ac:dyDescent="0.25">
      <c r="A963" t="s">
        <v>1026</v>
      </c>
      <c r="B963" t="s">
        <v>2003</v>
      </c>
      <c r="C963" t="s">
        <v>2158</v>
      </c>
      <c r="D963" s="1">
        <v>45306</v>
      </c>
      <c r="E963" s="1">
        <v>45353</v>
      </c>
      <c r="F963" s="1">
        <v>45501</v>
      </c>
      <c r="G963" t="s">
        <v>2166</v>
      </c>
      <c r="I963" t="s">
        <v>2175</v>
      </c>
      <c r="J963">
        <v>38616</v>
      </c>
      <c r="K963">
        <v>1158</v>
      </c>
      <c r="L963">
        <v>17.5</v>
      </c>
      <c r="M963">
        <v>16.399999999999999</v>
      </c>
      <c r="N963">
        <v>8</v>
      </c>
      <c r="O963">
        <v>15544</v>
      </c>
      <c r="P963" t="s">
        <v>2178</v>
      </c>
      <c r="Q963">
        <v>32</v>
      </c>
      <c r="R963">
        <v>50</v>
      </c>
      <c r="S963">
        <v>52</v>
      </c>
      <c r="T963">
        <v>288</v>
      </c>
      <c r="U963" t="s">
        <v>2166</v>
      </c>
      <c r="W963" t="s">
        <v>2208</v>
      </c>
      <c r="X963" t="s">
        <v>2210</v>
      </c>
      <c r="Y963" t="s">
        <v>2212</v>
      </c>
      <c r="Z963" s="1">
        <v>45487</v>
      </c>
      <c r="AA963" s="1">
        <v>45501</v>
      </c>
      <c r="AB963" t="s">
        <v>2214</v>
      </c>
      <c r="AC963" t="s">
        <v>2209</v>
      </c>
      <c r="AD963" t="s">
        <v>2216</v>
      </c>
      <c r="AE963" t="s">
        <v>2166</v>
      </c>
      <c r="AG963" t="s">
        <v>2220</v>
      </c>
      <c r="AH963">
        <v>134</v>
      </c>
      <c r="AI963">
        <v>148</v>
      </c>
      <c r="AJ963">
        <v>14</v>
      </c>
      <c r="AK963">
        <v>3</v>
      </c>
      <c r="AL963" t="s">
        <v>2227</v>
      </c>
      <c r="AM963">
        <v>0</v>
      </c>
      <c r="AN963" t="s">
        <v>2175</v>
      </c>
      <c r="AO963" t="s">
        <v>2175</v>
      </c>
      <c r="AP963" t="s">
        <v>2175</v>
      </c>
      <c r="AQ963">
        <v>287</v>
      </c>
      <c r="AR963">
        <v>3</v>
      </c>
      <c r="AS963">
        <v>3</v>
      </c>
      <c r="AT963">
        <v>3</v>
      </c>
      <c r="AU963">
        <v>3</v>
      </c>
      <c r="AV963">
        <v>3</v>
      </c>
      <c r="AW963">
        <v>4.8</v>
      </c>
      <c r="AY963">
        <v>4.8</v>
      </c>
      <c r="AZ963">
        <v>2</v>
      </c>
      <c r="BA963">
        <v>3</v>
      </c>
      <c r="BB963">
        <v>49</v>
      </c>
      <c r="BC963">
        <v>26</v>
      </c>
      <c r="BD963">
        <v>43.12</v>
      </c>
      <c r="BE963">
        <v>216</v>
      </c>
      <c r="BF963">
        <v>88</v>
      </c>
      <c r="BG963">
        <v>49</v>
      </c>
      <c r="BH963">
        <v>26</v>
      </c>
      <c r="BI963">
        <v>43.12</v>
      </c>
      <c r="BJ963">
        <v>216</v>
      </c>
      <c r="BK963">
        <v>88</v>
      </c>
      <c r="BL963">
        <v>216</v>
      </c>
      <c r="BM963">
        <v>6.8747999999999996</v>
      </c>
    </row>
    <row r="964" spans="1:65" x14ac:dyDescent="0.25">
      <c r="A964" t="s">
        <v>1027</v>
      </c>
      <c r="B964" t="s">
        <v>2004</v>
      </c>
      <c r="C964" t="s">
        <v>2158</v>
      </c>
      <c r="D964" s="1">
        <v>45497</v>
      </c>
      <c r="E964" s="1">
        <v>45521</v>
      </c>
      <c r="F964" s="1">
        <v>45596</v>
      </c>
      <c r="G964" t="s">
        <v>2166</v>
      </c>
      <c r="I964" t="s">
        <v>2175</v>
      </c>
      <c r="J964">
        <v>20615</v>
      </c>
      <c r="K964">
        <v>618</v>
      </c>
      <c r="L964">
        <v>16.3</v>
      </c>
      <c r="M964">
        <v>16.5</v>
      </c>
      <c r="N964">
        <v>7</v>
      </c>
      <c r="O964">
        <v>19617</v>
      </c>
      <c r="P964" t="s">
        <v>2178</v>
      </c>
      <c r="Q964">
        <v>12</v>
      </c>
      <c r="R964">
        <v>16</v>
      </c>
      <c r="S964">
        <v>29</v>
      </c>
      <c r="T964">
        <v>361</v>
      </c>
      <c r="U964" t="s">
        <v>2166</v>
      </c>
      <c r="W964" t="s">
        <v>2208</v>
      </c>
      <c r="X964" t="s">
        <v>2210</v>
      </c>
      <c r="Y964" t="s">
        <v>2212</v>
      </c>
      <c r="Z964" s="1">
        <v>45578</v>
      </c>
      <c r="AA964" s="1">
        <v>45598</v>
      </c>
      <c r="AB964" t="s">
        <v>2214</v>
      </c>
      <c r="AC964" t="s">
        <v>2209</v>
      </c>
      <c r="AD964" t="s">
        <v>2216</v>
      </c>
      <c r="AE964" t="s">
        <v>2166</v>
      </c>
      <c r="AG964" t="s">
        <v>2220</v>
      </c>
      <c r="AH964">
        <v>57</v>
      </c>
      <c r="AI964">
        <v>77</v>
      </c>
      <c r="AJ964">
        <v>20</v>
      </c>
      <c r="AK964">
        <v>8</v>
      </c>
      <c r="AL964" t="s">
        <v>2232</v>
      </c>
      <c r="AM964">
        <v>0</v>
      </c>
      <c r="AN964" t="s">
        <v>2175</v>
      </c>
      <c r="AO964" t="s">
        <v>2175</v>
      </c>
      <c r="AP964" t="s">
        <v>2175</v>
      </c>
      <c r="AQ964">
        <v>268.95</v>
      </c>
      <c r="AR964">
        <v>3</v>
      </c>
      <c r="AS964">
        <v>3</v>
      </c>
      <c r="AT964">
        <v>3</v>
      </c>
      <c r="AU964">
        <v>3</v>
      </c>
      <c r="AV964">
        <v>3</v>
      </c>
      <c r="AW964">
        <v>4.8</v>
      </c>
      <c r="AY964">
        <v>4.8</v>
      </c>
      <c r="AZ964">
        <v>2</v>
      </c>
      <c r="BA964">
        <v>3</v>
      </c>
      <c r="BB964">
        <v>41</v>
      </c>
      <c r="BC964">
        <v>26</v>
      </c>
      <c r="BD964">
        <v>36.15</v>
      </c>
      <c r="BE964">
        <v>176</v>
      </c>
      <c r="BF964">
        <v>88.2</v>
      </c>
      <c r="BG964">
        <v>41</v>
      </c>
      <c r="BH964">
        <v>26</v>
      </c>
      <c r="BI964">
        <v>36.15</v>
      </c>
      <c r="BJ964">
        <v>176</v>
      </c>
      <c r="BK964">
        <v>88.2</v>
      </c>
      <c r="BL964">
        <v>176</v>
      </c>
      <c r="BM964">
        <v>4.5039999999999996</v>
      </c>
    </row>
    <row r="965" spans="1:65" x14ac:dyDescent="0.25">
      <c r="A965" t="s">
        <v>1028</v>
      </c>
      <c r="B965" t="s">
        <v>2005</v>
      </c>
      <c r="C965" t="s">
        <v>2160</v>
      </c>
      <c r="D965" s="1">
        <v>45294</v>
      </c>
      <c r="E965" s="1">
        <v>45325</v>
      </c>
      <c r="F965" s="1">
        <v>45465</v>
      </c>
      <c r="G965" t="s">
        <v>2165</v>
      </c>
      <c r="I965" t="s">
        <v>2175</v>
      </c>
      <c r="J965">
        <v>33320</v>
      </c>
      <c r="K965">
        <v>999</v>
      </c>
      <c r="L965">
        <v>10.4</v>
      </c>
      <c r="M965">
        <v>14.3</v>
      </c>
      <c r="N965">
        <v>8</v>
      </c>
      <c r="O965">
        <v>15792</v>
      </c>
      <c r="P965" t="s">
        <v>2178</v>
      </c>
      <c r="Q965">
        <v>32</v>
      </c>
      <c r="R965">
        <v>51</v>
      </c>
      <c r="S965">
        <v>45</v>
      </c>
      <c r="T965">
        <v>260</v>
      </c>
      <c r="U965" t="s">
        <v>2165</v>
      </c>
      <c r="W965" t="s">
        <v>2208</v>
      </c>
      <c r="X965" t="s">
        <v>2210</v>
      </c>
      <c r="Y965" t="s">
        <v>2212</v>
      </c>
      <c r="Z965" s="1">
        <v>45453</v>
      </c>
      <c r="AA965" s="1">
        <v>45468</v>
      </c>
      <c r="AB965" t="s">
        <v>2215</v>
      </c>
      <c r="AC965" t="s">
        <v>2208</v>
      </c>
      <c r="AD965" t="s">
        <v>2216</v>
      </c>
      <c r="AE965" t="s">
        <v>2165</v>
      </c>
      <c r="AG965" t="s">
        <v>2220</v>
      </c>
      <c r="AH965">
        <v>128</v>
      </c>
      <c r="AI965">
        <v>143</v>
      </c>
      <c r="AJ965">
        <v>15</v>
      </c>
      <c r="AK965">
        <v>2</v>
      </c>
      <c r="AL965" t="s">
        <v>2228</v>
      </c>
      <c r="AM965">
        <v>0</v>
      </c>
      <c r="AN965" t="s">
        <v>2175</v>
      </c>
      <c r="AO965" t="s">
        <v>2175</v>
      </c>
      <c r="AP965" t="s">
        <v>2175</v>
      </c>
      <c r="AQ965">
        <v>148.72</v>
      </c>
      <c r="AR965">
        <v>3</v>
      </c>
      <c r="AS965">
        <v>3</v>
      </c>
      <c r="AT965">
        <v>3</v>
      </c>
      <c r="AU965">
        <v>3</v>
      </c>
      <c r="AV965">
        <v>3</v>
      </c>
      <c r="AW965">
        <v>4.5999999999999996</v>
      </c>
      <c r="AY965">
        <v>4.5999999999999996</v>
      </c>
      <c r="AZ965">
        <v>1</v>
      </c>
      <c r="BA965">
        <v>3</v>
      </c>
      <c r="BB965">
        <v>36</v>
      </c>
      <c r="BC965">
        <v>24</v>
      </c>
      <c r="BD965">
        <v>31.79</v>
      </c>
      <c r="BE965">
        <v>142</v>
      </c>
      <c r="BF965">
        <v>88.3</v>
      </c>
      <c r="BG965">
        <v>36</v>
      </c>
      <c r="BH965">
        <v>24</v>
      </c>
      <c r="BI965">
        <v>31.79</v>
      </c>
      <c r="BJ965">
        <v>142</v>
      </c>
      <c r="BK965">
        <v>88.3</v>
      </c>
      <c r="BL965">
        <v>142</v>
      </c>
      <c r="BM965">
        <v>9.7741000000000007</v>
      </c>
    </row>
    <row r="966" spans="1:65" x14ac:dyDescent="0.25">
      <c r="A966" t="s">
        <v>1029</v>
      </c>
      <c r="B966" t="s">
        <v>2006</v>
      </c>
      <c r="C966" t="s">
        <v>2160</v>
      </c>
      <c r="D966" s="1">
        <v>45298</v>
      </c>
      <c r="E966" s="1">
        <v>45330</v>
      </c>
      <c r="F966" s="1">
        <v>45412</v>
      </c>
      <c r="G966" t="s">
        <v>2165</v>
      </c>
      <c r="I966" t="s">
        <v>2175</v>
      </c>
      <c r="J966">
        <v>23234</v>
      </c>
      <c r="K966">
        <v>697</v>
      </c>
      <c r="L966">
        <v>14.1</v>
      </c>
      <c r="M966">
        <v>11</v>
      </c>
      <c r="N966">
        <v>7</v>
      </c>
      <c r="O966">
        <v>16780</v>
      </c>
      <c r="P966" t="s">
        <v>2178</v>
      </c>
      <c r="Q966">
        <v>18</v>
      </c>
      <c r="R966">
        <v>24</v>
      </c>
      <c r="S966">
        <v>31</v>
      </c>
      <c r="T966">
        <v>318</v>
      </c>
      <c r="U966" t="s">
        <v>2165</v>
      </c>
      <c r="W966" t="s">
        <v>2208</v>
      </c>
      <c r="X966" t="s">
        <v>2210</v>
      </c>
      <c r="Y966" t="s">
        <v>2212</v>
      </c>
      <c r="Z966" s="1">
        <v>45403</v>
      </c>
      <c r="AA966" s="1">
        <v>45423</v>
      </c>
      <c r="AB966" t="s">
        <v>2215</v>
      </c>
      <c r="AC966" t="s">
        <v>2208</v>
      </c>
      <c r="AD966" t="s">
        <v>2216</v>
      </c>
      <c r="AE966" t="s">
        <v>2165</v>
      </c>
      <c r="AG966" t="s">
        <v>2220</v>
      </c>
      <c r="AH966">
        <v>73</v>
      </c>
      <c r="AI966">
        <v>93</v>
      </c>
      <c r="AJ966">
        <v>20</v>
      </c>
      <c r="AK966">
        <v>2</v>
      </c>
      <c r="AL966" t="s">
        <v>2228</v>
      </c>
      <c r="AM966">
        <v>0</v>
      </c>
      <c r="AN966" t="s">
        <v>2175</v>
      </c>
      <c r="AO966" t="s">
        <v>2175</v>
      </c>
      <c r="AP966" t="s">
        <v>2175</v>
      </c>
      <c r="AQ966">
        <v>155.1</v>
      </c>
      <c r="AR966">
        <v>3</v>
      </c>
      <c r="AS966">
        <v>3</v>
      </c>
      <c r="AT966">
        <v>3</v>
      </c>
      <c r="AU966">
        <v>3</v>
      </c>
      <c r="AV966">
        <v>3</v>
      </c>
      <c r="AW966">
        <v>4.5999999999999996</v>
      </c>
      <c r="AY966">
        <v>4.5999999999999996</v>
      </c>
      <c r="AZ966">
        <v>1</v>
      </c>
      <c r="BA966">
        <v>3</v>
      </c>
      <c r="BB966">
        <v>36</v>
      </c>
      <c r="BC966">
        <v>24</v>
      </c>
      <c r="BD966">
        <v>31.79</v>
      </c>
      <c r="BE966">
        <v>142</v>
      </c>
      <c r="BF966">
        <v>88.3</v>
      </c>
      <c r="BG966">
        <v>36</v>
      </c>
      <c r="BH966">
        <v>24</v>
      </c>
      <c r="BI966">
        <v>31.79</v>
      </c>
      <c r="BJ966">
        <v>142</v>
      </c>
      <c r="BK966">
        <v>88.3</v>
      </c>
      <c r="BL966">
        <v>142</v>
      </c>
      <c r="BM966">
        <v>6.8155000000000001</v>
      </c>
    </row>
    <row r="967" spans="1:65" x14ac:dyDescent="0.25">
      <c r="A967" t="s">
        <v>1030</v>
      </c>
      <c r="B967" t="s">
        <v>2007</v>
      </c>
      <c r="C967" t="s">
        <v>2158</v>
      </c>
      <c r="D967" s="1">
        <v>45296</v>
      </c>
      <c r="E967" s="1">
        <v>45333</v>
      </c>
      <c r="F967" s="1">
        <v>45470</v>
      </c>
      <c r="G967" t="s">
        <v>2166</v>
      </c>
      <c r="I967" t="s">
        <v>2175</v>
      </c>
      <c r="J967">
        <v>38467</v>
      </c>
      <c r="K967">
        <v>1154</v>
      </c>
      <c r="L967">
        <v>12.9</v>
      </c>
      <c r="M967">
        <v>15</v>
      </c>
      <c r="N967">
        <v>7</v>
      </c>
      <c r="O967">
        <v>15298</v>
      </c>
      <c r="P967" t="s">
        <v>2178</v>
      </c>
      <c r="Q967">
        <v>28</v>
      </c>
      <c r="R967">
        <v>46</v>
      </c>
      <c r="S967">
        <v>53</v>
      </c>
      <c r="T967">
        <v>302</v>
      </c>
      <c r="U967" t="s">
        <v>2166</v>
      </c>
      <c r="W967" t="s">
        <v>2208</v>
      </c>
      <c r="X967" t="s">
        <v>2210</v>
      </c>
      <c r="Y967" t="s">
        <v>2212</v>
      </c>
      <c r="Z967" s="1">
        <v>45460</v>
      </c>
      <c r="AA967" s="1">
        <v>45476</v>
      </c>
      <c r="AB967" t="s">
        <v>2215</v>
      </c>
      <c r="AC967" t="s">
        <v>2208</v>
      </c>
      <c r="AD967" t="s">
        <v>2216</v>
      </c>
      <c r="AE967" t="s">
        <v>2166</v>
      </c>
      <c r="AG967" t="s">
        <v>2220</v>
      </c>
      <c r="AH967">
        <v>127</v>
      </c>
      <c r="AI967">
        <v>143</v>
      </c>
      <c r="AJ967">
        <v>16</v>
      </c>
      <c r="AK967">
        <v>2</v>
      </c>
      <c r="AL967" t="s">
        <v>2228</v>
      </c>
      <c r="AM967">
        <v>0</v>
      </c>
      <c r="AN967" t="s">
        <v>2175</v>
      </c>
      <c r="AO967" t="s">
        <v>2175</v>
      </c>
      <c r="AP967" t="s">
        <v>2175</v>
      </c>
      <c r="AQ967">
        <v>193.5</v>
      </c>
      <c r="AR967">
        <v>3</v>
      </c>
      <c r="AS967">
        <v>3</v>
      </c>
      <c r="AT967">
        <v>3</v>
      </c>
      <c r="AU967">
        <v>3</v>
      </c>
      <c r="AV967">
        <v>3</v>
      </c>
      <c r="AW967">
        <v>4.8</v>
      </c>
      <c r="AY967">
        <v>4.8</v>
      </c>
      <c r="AZ967">
        <v>2</v>
      </c>
      <c r="BA967">
        <v>3</v>
      </c>
      <c r="BB967">
        <v>40</v>
      </c>
      <c r="BC967">
        <v>24</v>
      </c>
      <c r="BD967">
        <v>35.54</v>
      </c>
      <c r="BE967">
        <v>160</v>
      </c>
      <c r="BF967">
        <v>88.8</v>
      </c>
      <c r="BG967">
        <v>40</v>
      </c>
      <c r="BH967">
        <v>24</v>
      </c>
      <c r="BI967">
        <v>35.54</v>
      </c>
      <c r="BJ967">
        <v>160</v>
      </c>
      <c r="BK967">
        <v>88.8</v>
      </c>
      <c r="BL967">
        <v>160</v>
      </c>
      <c r="BM967">
        <v>10.014799999999999</v>
      </c>
    </row>
    <row r="968" spans="1:65" x14ac:dyDescent="0.25">
      <c r="A968" t="s">
        <v>1031</v>
      </c>
      <c r="B968" t="s">
        <v>2008</v>
      </c>
      <c r="C968" t="s">
        <v>2159</v>
      </c>
      <c r="D968" s="1">
        <v>45419</v>
      </c>
      <c r="E968" s="1">
        <v>45457</v>
      </c>
      <c r="F968" s="1">
        <v>45536</v>
      </c>
      <c r="G968" t="s">
        <v>2165</v>
      </c>
      <c r="I968" t="s">
        <v>2175</v>
      </c>
      <c r="J968">
        <v>17889</v>
      </c>
      <c r="K968">
        <v>536</v>
      </c>
      <c r="L968">
        <v>12.5</v>
      </c>
      <c r="M968">
        <v>14.1</v>
      </c>
      <c r="N968">
        <v>8</v>
      </c>
      <c r="O968">
        <v>17755</v>
      </c>
      <c r="P968" t="s">
        <v>2178</v>
      </c>
      <c r="Q968">
        <v>15</v>
      </c>
      <c r="R968">
        <v>22</v>
      </c>
      <c r="S968">
        <v>25</v>
      </c>
      <c r="T968">
        <v>288</v>
      </c>
      <c r="U968" t="s">
        <v>2165</v>
      </c>
      <c r="W968" t="s">
        <v>2208</v>
      </c>
      <c r="X968" t="s">
        <v>2210</v>
      </c>
      <c r="Y968" t="s">
        <v>2212</v>
      </c>
      <c r="Z968" s="1">
        <v>45519</v>
      </c>
      <c r="AA968" s="1">
        <v>45538</v>
      </c>
      <c r="AB968" t="s">
        <v>2214</v>
      </c>
      <c r="AC968" t="s">
        <v>2209</v>
      </c>
      <c r="AD968" t="s">
        <v>2216</v>
      </c>
      <c r="AE968" t="s">
        <v>2165</v>
      </c>
      <c r="AG968" t="s">
        <v>2220</v>
      </c>
      <c r="AH968">
        <v>62</v>
      </c>
      <c r="AI968">
        <v>81</v>
      </c>
      <c r="AJ968">
        <v>19</v>
      </c>
      <c r="AK968">
        <v>6</v>
      </c>
      <c r="AL968" t="s">
        <v>2223</v>
      </c>
      <c r="AM968">
        <v>0</v>
      </c>
      <c r="AN968" t="s">
        <v>2175</v>
      </c>
      <c r="AO968" t="s">
        <v>2175</v>
      </c>
      <c r="AP968" t="s">
        <v>2175</v>
      </c>
      <c r="AQ968">
        <v>176.25</v>
      </c>
      <c r="AR968">
        <v>3</v>
      </c>
      <c r="AS968">
        <v>3</v>
      </c>
      <c r="AT968">
        <v>3</v>
      </c>
      <c r="AU968">
        <v>3</v>
      </c>
      <c r="AV968">
        <v>3</v>
      </c>
      <c r="AW968">
        <v>4.5999999999999996</v>
      </c>
      <c r="AY968">
        <v>4.5999999999999996</v>
      </c>
      <c r="AZ968">
        <v>0</v>
      </c>
      <c r="BA968">
        <v>3</v>
      </c>
      <c r="BB968">
        <v>40</v>
      </c>
      <c r="BC968">
        <v>25</v>
      </c>
      <c r="BD968">
        <v>34.72</v>
      </c>
      <c r="BE968">
        <v>161</v>
      </c>
      <c r="BF968">
        <v>86.8</v>
      </c>
      <c r="BG968">
        <v>40</v>
      </c>
      <c r="BH968">
        <v>25</v>
      </c>
      <c r="BI968">
        <v>34.72</v>
      </c>
      <c r="BJ968">
        <v>161</v>
      </c>
      <c r="BK968">
        <v>86.8</v>
      </c>
      <c r="BL968">
        <v>161</v>
      </c>
      <c r="BM968">
        <v>4.4433999999999996</v>
      </c>
    </row>
    <row r="969" spans="1:65" x14ac:dyDescent="0.25">
      <c r="A969" t="s">
        <v>1032</v>
      </c>
      <c r="B969" t="s">
        <v>2009</v>
      </c>
      <c r="C969" t="s">
        <v>2159</v>
      </c>
      <c r="D969" s="1">
        <v>45387</v>
      </c>
      <c r="E969" s="1">
        <v>45419</v>
      </c>
      <c r="F969" s="1">
        <v>45487</v>
      </c>
      <c r="G969" t="s">
        <v>2166</v>
      </c>
      <c r="I969" t="s">
        <v>2175</v>
      </c>
      <c r="J969">
        <v>16861</v>
      </c>
      <c r="K969">
        <v>505</v>
      </c>
      <c r="L969">
        <v>10.6</v>
      </c>
      <c r="M969">
        <v>17.3</v>
      </c>
      <c r="N969">
        <v>7</v>
      </c>
      <c r="O969">
        <v>15680</v>
      </c>
      <c r="P969" t="s">
        <v>2178</v>
      </c>
      <c r="Q969">
        <v>11</v>
      </c>
      <c r="R969">
        <v>18</v>
      </c>
      <c r="S969">
        <v>25</v>
      </c>
      <c r="T969">
        <v>312</v>
      </c>
      <c r="U969" t="s">
        <v>2166</v>
      </c>
      <c r="W969" t="s">
        <v>2208</v>
      </c>
      <c r="X969" t="s">
        <v>2210</v>
      </c>
      <c r="Y969" t="s">
        <v>2212</v>
      </c>
      <c r="Z969" s="1">
        <v>45473</v>
      </c>
      <c r="AA969" s="1">
        <v>45489</v>
      </c>
      <c r="AB969" t="s">
        <v>2214</v>
      </c>
      <c r="AC969" t="s">
        <v>2209</v>
      </c>
      <c r="AD969" t="s">
        <v>2216</v>
      </c>
      <c r="AE969" t="s">
        <v>2166</v>
      </c>
      <c r="AG969" t="s">
        <v>2220</v>
      </c>
      <c r="AH969">
        <v>54</v>
      </c>
      <c r="AI969">
        <v>70</v>
      </c>
      <c r="AJ969">
        <v>16</v>
      </c>
      <c r="AK969">
        <v>5</v>
      </c>
      <c r="AL969" t="s">
        <v>2224</v>
      </c>
      <c r="AM969">
        <v>0</v>
      </c>
      <c r="AN969" t="s">
        <v>2175</v>
      </c>
      <c r="AO969" t="s">
        <v>2175</v>
      </c>
      <c r="AP969" t="s">
        <v>2175</v>
      </c>
      <c r="AQ969">
        <v>183.38</v>
      </c>
      <c r="AR969">
        <v>3</v>
      </c>
      <c r="AS969">
        <v>3</v>
      </c>
      <c r="AT969">
        <v>3</v>
      </c>
      <c r="AU969">
        <v>3</v>
      </c>
      <c r="AV969">
        <v>3</v>
      </c>
      <c r="AW969">
        <v>4.8</v>
      </c>
      <c r="AY969">
        <v>4.8</v>
      </c>
      <c r="AZ969">
        <v>0</v>
      </c>
      <c r="BA969">
        <v>3</v>
      </c>
      <c r="BB969">
        <v>43</v>
      </c>
      <c r="BC969">
        <v>27</v>
      </c>
      <c r="BD969">
        <v>37.299999999999997</v>
      </c>
      <c r="BE969">
        <v>193</v>
      </c>
      <c r="BF969">
        <v>86.7</v>
      </c>
      <c r="BG969">
        <v>43</v>
      </c>
      <c r="BH969">
        <v>27</v>
      </c>
      <c r="BI969">
        <v>37.299999999999997</v>
      </c>
      <c r="BJ969">
        <v>193</v>
      </c>
      <c r="BK969">
        <v>86.7</v>
      </c>
      <c r="BL969">
        <v>193</v>
      </c>
      <c r="BM969">
        <v>3.2349999999999999</v>
      </c>
    </row>
    <row r="970" spans="1:65" x14ac:dyDescent="0.25">
      <c r="A970" t="s">
        <v>1033</v>
      </c>
      <c r="B970" t="s">
        <v>2010</v>
      </c>
      <c r="C970" t="s">
        <v>2159</v>
      </c>
      <c r="D970" s="1">
        <v>45331</v>
      </c>
      <c r="E970" s="1">
        <v>45352</v>
      </c>
      <c r="F970" s="1">
        <v>45432</v>
      </c>
      <c r="G970" t="s">
        <v>2165</v>
      </c>
      <c r="I970" t="s">
        <v>2175</v>
      </c>
      <c r="J970">
        <v>24921</v>
      </c>
      <c r="K970">
        <v>747</v>
      </c>
      <c r="L970">
        <v>10.7</v>
      </c>
      <c r="M970">
        <v>15</v>
      </c>
      <c r="N970">
        <v>8</v>
      </c>
      <c r="O970">
        <v>17529</v>
      </c>
      <c r="P970" t="s">
        <v>2178</v>
      </c>
      <c r="Q970">
        <v>15</v>
      </c>
      <c r="R970">
        <v>25</v>
      </c>
      <c r="S970">
        <v>24</v>
      </c>
      <c r="T970">
        <v>389</v>
      </c>
      <c r="U970" t="s">
        <v>2165</v>
      </c>
      <c r="W970" t="s">
        <v>2208</v>
      </c>
      <c r="X970" t="s">
        <v>2210</v>
      </c>
      <c r="Y970" t="s">
        <v>2212</v>
      </c>
      <c r="Z970" s="1">
        <v>45416</v>
      </c>
      <c r="AA970" s="1">
        <v>45436</v>
      </c>
      <c r="AB970" t="s">
        <v>2214</v>
      </c>
      <c r="AC970" t="s">
        <v>2209</v>
      </c>
      <c r="AD970" t="s">
        <v>2216</v>
      </c>
      <c r="AE970" t="s">
        <v>2165</v>
      </c>
      <c r="AG970" t="s">
        <v>2220</v>
      </c>
      <c r="AH970">
        <v>64</v>
      </c>
      <c r="AI970">
        <v>84</v>
      </c>
      <c r="AJ970">
        <v>20</v>
      </c>
      <c r="AK970">
        <v>3</v>
      </c>
      <c r="AL970" t="s">
        <v>2227</v>
      </c>
      <c r="AM970">
        <v>0</v>
      </c>
      <c r="AN970" t="s">
        <v>2175</v>
      </c>
      <c r="AO970" t="s">
        <v>2175</v>
      </c>
      <c r="AP970" t="s">
        <v>2175</v>
      </c>
      <c r="AQ970">
        <v>160.5</v>
      </c>
      <c r="AR970">
        <v>3</v>
      </c>
      <c r="AS970">
        <v>3</v>
      </c>
      <c r="AT970">
        <v>3</v>
      </c>
      <c r="AU970">
        <v>3</v>
      </c>
      <c r="AV970">
        <v>3</v>
      </c>
      <c r="AW970">
        <v>4.5999999999999996</v>
      </c>
      <c r="AY970">
        <v>4.5999999999999996</v>
      </c>
      <c r="AZ970">
        <v>0</v>
      </c>
      <c r="BA970">
        <v>3</v>
      </c>
      <c r="BB970">
        <v>48</v>
      </c>
      <c r="BC970">
        <v>26</v>
      </c>
      <c r="BD970">
        <v>42.38</v>
      </c>
      <c r="BE970">
        <v>212</v>
      </c>
      <c r="BF970">
        <v>88.3</v>
      </c>
      <c r="BG970">
        <v>48</v>
      </c>
      <c r="BH970">
        <v>26</v>
      </c>
      <c r="BI970">
        <v>42.38</v>
      </c>
      <c r="BJ970">
        <v>212</v>
      </c>
      <c r="BK970">
        <v>88.3</v>
      </c>
      <c r="BL970">
        <v>212</v>
      </c>
      <c r="BM970">
        <v>4.5204000000000004</v>
      </c>
    </row>
    <row r="971" spans="1:65" x14ac:dyDescent="0.25">
      <c r="A971" t="s">
        <v>1034</v>
      </c>
      <c r="B971" t="s">
        <v>2011</v>
      </c>
      <c r="C971" t="s">
        <v>2160</v>
      </c>
      <c r="D971" s="1">
        <v>45449</v>
      </c>
      <c r="E971" s="1">
        <v>45485</v>
      </c>
      <c r="F971" s="1">
        <v>45598</v>
      </c>
      <c r="G971" t="s">
        <v>2165</v>
      </c>
      <c r="I971" t="s">
        <v>2175</v>
      </c>
      <c r="J971">
        <v>34381</v>
      </c>
      <c r="K971">
        <v>1031</v>
      </c>
      <c r="L971">
        <v>11.6</v>
      </c>
      <c r="M971">
        <v>12.6</v>
      </c>
      <c r="N971">
        <v>7</v>
      </c>
      <c r="O971">
        <v>19477</v>
      </c>
      <c r="P971" t="s">
        <v>2178</v>
      </c>
      <c r="Q971">
        <v>24</v>
      </c>
      <c r="R971">
        <v>33</v>
      </c>
      <c r="S971">
        <v>48</v>
      </c>
      <c r="T971">
        <v>327</v>
      </c>
      <c r="U971" t="s">
        <v>2165</v>
      </c>
      <c r="W971" t="s">
        <v>2208</v>
      </c>
      <c r="X971" t="s">
        <v>2210</v>
      </c>
      <c r="Y971" t="s">
        <v>2212</v>
      </c>
      <c r="Z971" s="1">
        <v>45590</v>
      </c>
      <c r="AA971" s="1">
        <v>45608</v>
      </c>
      <c r="AB971" t="s">
        <v>2215</v>
      </c>
      <c r="AC971" t="s">
        <v>2208</v>
      </c>
      <c r="AD971" t="s">
        <v>2216</v>
      </c>
      <c r="AE971" t="s">
        <v>2165</v>
      </c>
      <c r="AG971" t="s">
        <v>2220</v>
      </c>
      <c r="AH971">
        <v>105</v>
      </c>
      <c r="AI971">
        <v>123</v>
      </c>
      <c r="AJ971">
        <v>18</v>
      </c>
      <c r="AK971">
        <v>7</v>
      </c>
      <c r="AL971" t="s">
        <v>2226</v>
      </c>
      <c r="AM971">
        <v>0</v>
      </c>
      <c r="AN971" t="s">
        <v>2175</v>
      </c>
      <c r="AO971" t="s">
        <v>2175</v>
      </c>
      <c r="AP971" t="s">
        <v>2175</v>
      </c>
      <c r="AQ971">
        <v>146.16</v>
      </c>
      <c r="AR971">
        <v>3</v>
      </c>
      <c r="AS971">
        <v>3</v>
      </c>
      <c r="AT971">
        <v>3</v>
      </c>
      <c r="AU971">
        <v>3</v>
      </c>
      <c r="AV971">
        <v>3</v>
      </c>
      <c r="AW971">
        <v>4.5999999999999996</v>
      </c>
      <c r="AY971">
        <v>4.5999999999999996</v>
      </c>
      <c r="AZ971">
        <v>1</v>
      </c>
      <c r="BA971">
        <v>3</v>
      </c>
      <c r="BB971">
        <v>38</v>
      </c>
      <c r="BC971">
        <v>27</v>
      </c>
      <c r="BD971">
        <v>34</v>
      </c>
      <c r="BE971">
        <v>174</v>
      </c>
      <c r="BF971">
        <v>89.5</v>
      </c>
      <c r="BG971">
        <v>38</v>
      </c>
      <c r="BH971">
        <v>27</v>
      </c>
      <c r="BI971">
        <v>34</v>
      </c>
      <c r="BJ971">
        <v>174</v>
      </c>
      <c r="BK971">
        <v>89.5</v>
      </c>
      <c r="BL971">
        <v>174</v>
      </c>
      <c r="BM971">
        <v>7.3167</v>
      </c>
    </row>
    <row r="972" spans="1:65" x14ac:dyDescent="0.25">
      <c r="A972" t="s">
        <v>1035</v>
      </c>
      <c r="B972" t="s">
        <v>2012</v>
      </c>
      <c r="C972" t="s">
        <v>2157</v>
      </c>
      <c r="D972" s="1">
        <v>45288</v>
      </c>
      <c r="E972" s="1">
        <v>45325</v>
      </c>
      <c r="F972" s="1">
        <v>45456</v>
      </c>
      <c r="G972" t="s">
        <v>2166</v>
      </c>
      <c r="I972" t="s">
        <v>2175</v>
      </c>
      <c r="J972">
        <v>40025</v>
      </c>
      <c r="K972">
        <v>1200</v>
      </c>
      <c r="L972">
        <v>16.7</v>
      </c>
      <c r="M972">
        <v>16</v>
      </c>
      <c r="N972">
        <v>7</v>
      </c>
      <c r="O972">
        <v>18102</v>
      </c>
      <c r="P972" t="s">
        <v>2178</v>
      </c>
      <c r="Q972">
        <v>31</v>
      </c>
      <c r="R972">
        <v>46</v>
      </c>
      <c r="S972">
        <v>45</v>
      </c>
      <c r="T972">
        <v>328</v>
      </c>
      <c r="U972" t="s">
        <v>2166</v>
      </c>
      <c r="W972" t="s">
        <v>2208</v>
      </c>
      <c r="X972" t="s">
        <v>2210</v>
      </c>
      <c r="Y972" t="s">
        <v>2212</v>
      </c>
      <c r="Z972" s="1">
        <v>45447</v>
      </c>
      <c r="AA972" s="1">
        <v>45467</v>
      </c>
      <c r="AB972" t="s">
        <v>2215</v>
      </c>
      <c r="AC972" t="s">
        <v>2208</v>
      </c>
      <c r="AD972" t="s">
        <v>2216</v>
      </c>
      <c r="AE972" t="s">
        <v>2166</v>
      </c>
      <c r="AG972" t="s">
        <v>2220</v>
      </c>
      <c r="AH972">
        <v>122</v>
      </c>
      <c r="AI972">
        <v>142</v>
      </c>
      <c r="AJ972">
        <v>20</v>
      </c>
      <c r="AK972">
        <v>2</v>
      </c>
      <c r="AL972" t="s">
        <v>2228</v>
      </c>
      <c r="AM972">
        <v>0</v>
      </c>
      <c r="AN972" t="s">
        <v>2175</v>
      </c>
      <c r="AO972" t="s">
        <v>2175</v>
      </c>
      <c r="AP972" t="s">
        <v>2175</v>
      </c>
      <c r="AQ972">
        <v>267.2</v>
      </c>
      <c r="AR972">
        <v>3</v>
      </c>
      <c r="AS972">
        <v>3</v>
      </c>
      <c r="AT972">
        <v>3</v>
      </c>
      <c r="AU972">
        <v>3</v>
      </c>
      <c r="AV972">
        <v>3</v>
      </c>
      <c r="AW972">
        <v>4.8</v>
      </c>
      <c r="AY972">
        <v>4.8</v>
      </c>
      <c r="AZ972">
        <v>3</v>
      </c>
      <c r="BA972">
        <v>3</v>
      </c>
      <c r="BB972">
        <v>40</v>
      </c>
      <c r="BC972">
        <v>24</v>
      </c>
      <c r="BD972">
        <v>35.54</v>
      </c>
      <c r="BE972">
        <v>160</v>
      </c>
      <c r="BF972">
        <v>88.8</v>
      </c>
      <c r="BG972">
        <v>40</v>
      </c>
      <c r="BH972">
        <v>24</v>
      </c>
      <c r="BI972">
        <v>35.54</v>
      </c>
      <c r="BJ972">
        <v>160</v>
      </c>
      <c r="BK972">
        <v>88.8</v>
      </c>
      <c r="BL972">
        <v>160</v>
      </c>
      <c r="BM972">
        <v>10.420500000000001</v>
      </c>
    </row>
    <row r="973" spans="1:65" x14ac:dyDescent="0.25">
      <c r="A973" t="s">
        <v>1036</v>
      </c>
      <c r="B973" t="s">
        <v>2013</v>
      </c>
      <c r="C973" t="s">
        <v>2160</v>
      </c>
      <c r="D973" s="1">
        <v>45371</v>
      </c>
      <c r="E973" s="1">
        <v>45399</v>
      </c>
      <c r="F973" s="1">
        <v>45476</v>
      </c>
      <c r="G973" t="s">
        <v>2166</v>
      </c>
      <c r="I973" t="s">
        <v>2175</v>
      </c>
      <c r="J973">
        <v>27222</v>
      </c>
      <c r="K973">
        <v>816</v>
      </c>
      <c r="L973">
        <v>12.1</v>
      </c>
      <c r="M973">
        <v>10.4</v>
      </c>
      <c r="N973">
        <v>7</v>
      </c>
      <c r="O973">
        <v>19323</v>
      </c>
      <c r="P973" t="s">
        <v>2178</v>
      </c>
      <c r="Q973">
        <v>15</v>
      </c>
      <c r="R973">
        <v>19</v>
      </c>
      <c r="S973">
        <v>33</v>
      </c>
      <c r="T973">
        <v>406</v>
      </c>
      <c r="U973" t="s">
        <v>2166</v>
      </c>
      <c r="W973" t="s">
        <v>2208</v>
      </c>
      <c r="X973" t="s">
        <v>2210</v>
      </c>
      <c r="Y973" t="s">
        <v>2212</v>
      </c>
      <c r="Z973" s="1">
        <v>45466</v>
      </c>
      <c r="AA973" s="1">
        <v>45479</v>
      </c>
      <c r="AB973" t="s">
        <v>2215</v>
      </c>
      <c r="AC973" t="s">
        <v>2208</v>
      </c>
      <c r="AD973" t="s">
        <v>2216</v>
      </c>
      <c r="AE973" t="s">
        <v>2166</v>
      </c>
      <c r="AG973" t="s">
        <v>2220</v>
      </c>
      <c r="AH973">
        <v>67</v>
      </c>
      <c r="AI973">
        <v>80</v>
      </c>
      <c r="AJ973">
        <v>13</v>
      </c>
      <c r="AK973">
        <v>4</v>
      </c>
      <c r="AL973" t="s">
        <v>2225</v>
      </c>
      <c r="AM973">
        <v>0</v>
      </c>
      <c r="AN973" t="s">
        <v>2175</v>
      </c>
      <c r="AO973" t="s">
        <v>2175</v>
      </c>
      <c r="AP973" t="s">
        <v>2175</v>
      </c>
      <c r="AQ973">
        <v>125.84</v>
      </c>
      <c r="AR973">
        <v>3</v>
      </c>
      <c r="AS973">
        <v>3</v>
      </c>
      <c r="AT973">
        <v>3</v>
      </c>
      <c r="AU973">
        <v>3</v>
      </c>
      <c r="AV973">
        <v>3</v>
      </c>
      <c r="AW973">
        <v>4.8</v>
      </c>
      <c r="AY973">
        <v>4.8</v>
      </c>
      <c r="AZ973">
        <v>1</v>
      </c>
      <c r="BA973">
        <v>3</v>
      </c>
      <c r="BB973">
        <v>45</v>
      </c>
      <c r="BC973">
        <v>26</v>
      </c>
      <c r="BD973">
        <v>40.270000000000003</v>
      </c>
      <c r="BE973">
        <v>199</v>
      </c>
      <c r="BF973">
        <v>89.5</v>
      </c>
      <c r="BG973">
        <v>45</v>
      </c>
      <c r="BH973">
        <v>26</v>
      </c>
      <c r="BI973">
        <v>40.270000000000003</v>
      </c>
      <c r="BJ973">
        <v>199</v>
      </c>
      <c r="BK973">
        <v>89.5</v>
      </c>
      <c r="BL973">
        <v>199</v>
      </c>
      <c r="BM973">
        <v>5.2603</v>
      </c>
    </row>
    <row r="974" spans="1:65" x14ac:dyDescent="0.25">
      <c r="A974" t="s">
        <v>1037</v>
      </c>
      <c r="B974" t="s">
        <v>2014</v>
      </c>
      <c r="C974" t="s">
        <v>2160</v>
      </c>
      <c r="D974" s="1">
        <v>45275</v>
      </c>
      <c r="E974" s="1">
        <v>45324</v>
      </c>
      <c r="F974" s="1">
        <v>45389</v>
      </c>
      <c r="G974" t="s">
        <v>2165</v>
      </c>
      <c r="I974" t="s">
        <v>2175</v>
      </c>
      <c r="J974">
        <v>22060</v>
      </c>
      <c r="K974">
        <v>661</v>
      </c>
      <c r="L974">
        <v>15.2</v>
      </c>
      <c r="M974">
        <v>13</v>
      </c>
      <c r="N974">
        <v>8</v>
      </c>
      <c r="O974">
        <v>18738</v>
      </c>
      <c r="P974" t="s">
        <v>2178</v>
      </c>
      <c r="Q974">
        <v>13</v>
      </c>
      <c r="R974">
        <v>17</v>
      </c>
      <c r="S974">
        <v>25</v>
      </c>
      <c r="T974">
        <v>401</v>
      </c>
      <c r="U974" t="s">
        <v>2165</v>
      </c>
      <c r="W974" t="s">
        <v>2208</v>
      </c>
      <c r="X974" t="s">
        <v>2210</v>
      </c>
      <c r="Y974" t="s">
        <v>2212</v>
      </c>
      <c r="Z974" s="1">
        <v>45379</v>
      </c>
      <c r="AA974" s="1">
        <v>45399</v>
      </c>
      <c r="AB974" t="s">
        <v>2215</v>
      </c>
      <c r="AC974" t="s">
        <v>2208</v>
      </c>
      <c r="AD974" t="s">
        <v>2216</v>
      </c>
      <c r="AE974" t="s">
        <v>2165</v>
      </c>
      <c r="AG974" t="s">
        <v>2220</v>
      </c>
      <c r="AH974">
        <v>55</v>
      </c>
      <c r="AI974">
        <v>75</v>
      </c>
      <c r="AJ974">
        <v>20</v>
      </c>
      <c r="AK974">
        <v>2</v>
      </c>
      <c r="AL974" t="s">
        <v>2228</v>
      </c>
      <c r="AM974">
        <v>0</v>
      </c>
      <c r="AN974" t="s">
        <v>2175</v>
      </c>
      <c r="AO974" t="s">
        <v>2175</v>
      </c>
      <c r="AP974" t="s">
        <v>2175</v>
      </c>
      <c r="AQ974">
        <v>197.6</v>
      </c>
      <c r="AR974">
        <v>3</v>
      </c>
      <c r="AS974">
        <v>3</v>
      </c>
      <c r="AT974">
        <v>3</v>
      </c>
      <c r="AU974">
        <v>3</v>
      </c>
      <c r="AV974">
        <v>3</v>
      </c>
      <c r="AW974">
        <v>4.5999999999999996</v>
      </c>
      <c r="AY974">
        <v>4.5999999999999996</v>
      </c>
      <c r="AZ974">
        <v>1</v>
      </c>
      <c r="BA974">
        <v>3</v>
      </c>
      <c r="BB974">
        <v>36</v>
      </c>
      <c r="BC974">
        <v>24</v>
      </c>
      <c r="BD974">
        <v>31.79</v>
      </c>
      <c r="BE974">
        <v>142</v>
      </c>
      <c r="BF974">
        <v>88.3</v>
      </c>
      <c r="BG974">
        <v>36</v>
      </c>
      <c r="BH974">
        <v>24</v>
      </c>
      <c r="BI974">
        <v>31.79</v>
      </c>
      <c r="BJ974">
        <v>142</v>
      </c>
      <c r="BK974">
        <v>88.3</v>
      </c>
      <c r="BL974">
        <v>142</v>
      </c>
      <c r="BM974">
        <v>6.4710999999999999</v>
      </c>
    </row>
    <row r="975" spans="1:65" x14ac:dyDescent="0.25">
      <c r="A975" t="s">
        <v>1038</v>
      </c>
      <c r="B975" t="s">
        <v>2015</v>
      </c>
      <c r="C975" t="s">
        <v>2157</v>
      </c>
      <c r="D975" s="1">
        <v>45385</v>
      </c>
      <c r="E975" s="1">
        <v>45417</v>
      </c>
      <c r="F975" s="1">
        <v>45502</v>
      </c>
      <c r="G975" t="s">
        <v>2165</v>
      </c>
      <c r="I975" t="s">
        <v>2175</v>
      </c>
      <c r="J975">
        <v>24967</v>
      </c>
      <c r="K975">
        <v>749</v>
      </c>
      <c r="L975">
        <v>14.4</v>
      </c>
      <c r="M975">
        <v>15.2</v>
      </c>
      <c r="N975">
        <v>8</v>
      </c>
      <c r="O975">
        <v>15076</v>
      </c>
      <c r="P975" t="s">
        <v>2178</v>
      </c>
      <c r="Q975">
        <v>20</v>
      </c>
      <c r="R975">
        <v>32</v>
      </c>
      <c r="S975">
        <v>22</v>
      </c>
      <c r="T975">
        <v>337</v>
      </c>
      <c r="U975" t="s">
        <v>2165</v>
      </c>
      <c r="W975" t="s">
        <v>2208</v>
      </c>
      <c r="X975" t="s">
        <v>2210</v>
      </c>
      <c r="Y975" t="s">
        <v>2212</v>
      </c>
      <c r="Z975" s="1">
        <v>45491</v>
      </c>
      <c r="AA975" s="1">
        <v>45509</v>
      </c>
      <c r="AB975" t="s">
        <v>2215</v>
      </c>
      <c r="AC975" t="s">
        <v>2208</v>
      </c>
      <c r="AD975" t="s">
        <v>2216</v>
      </c>
      <c r="AE975" t="s">
        <v>2165</v>
      </c>
      <c r="AG975" t="s">
        <v>2220</v>
      </c>
      <c r="AH975">
        <v>74</v>
      </c>
      <c r="AI975">
        <v>92</v>
      </c>
      <c r="AJ975">
        <v>18</v>
      </c>
      <c r="AK975">
        <v>5</v>
      </c>
      <c r="AL975" t="s">
        <v>2224</v>
      </c>
      <c r="AM975">
        <v>0</v>
      </c>
      <c r="AN975" t="s">
        <v>2175</v>
      </c>
      <c r="AO975" t="s">
        <v>2175</v>
      </c>
      <c r="AP975" t="s">
        <v>2175</v>
      </c>
      <c r="AQ975">
        <v>218.88</v>
      </c>
      <c r="AR975">
        <v>3</v>
      </c>
      <c r="AS975">
        <v>3</v>
      </c>
      <c r="AT975">
        <v>3</v>
      </c>
      <c r="AU975">
        <v>3</v>
      </c>
      <c r="AV975">
        <v>3</v>
      </c>
      <c r="AW975">
        <v>4.5999999999999996</v>
      </c>
      <c r="AY975">
        <v>4.5999999999999996</v>
      </c>
      <c r="AZ975">
        <v>3</v>
      </c>
      <c r="BA975">
        <v>3</v>
      </c>
      <c r="BB975">
        <v>36</v>
      </c>
      <c r="BC975">
        <v>27</v>
      </c>
      <c r="BD975">
        <v>31.37</v>
      </c>
      <c r="BE975">
        <v>158</v>
      </c>
      <c r="BF975">
        <v>87.1</v>
      </c>
      <c r="BG975">
        <v>36</v>
      </c>
      <c r="BH975">
        <v>27</v>
      </c>
      <c r="BI975">
        <v>31.37</v>
      </c>
      <c r="BJ975">
        <v>158</v>
      </c>
      <c r="BK975">
        <v>87.1</v>
      </c>
      <c r="BL975">
        <v>158</v>
      </c>
      <c r="BM975">
        <v>5.8512000000000004</v>
      </c>
    </row>
    <row r="976" spans="1:65" x14ac:dyDescent="0.25">
      <c r="A976" t="s">
        <v>1039</v>
      </c>
      <c r="B976" t="s">
        <v>2016</v>
      </c>
      <c r="C976" t="s">
        <v>2158</v>
      </c>
      <c r="D976" s="1">
        <v>45360</v>
      </c>
      <c r="E976" s="1">
        <v>45399</v>
      </c>
      <c r="F976" s="1">
        <v>45549</v>
      </c>
      <c r="G976" t="s">
        <v>2165</v>
      </c>
      <c r="I976" t="s">
        <v>2175</v>
      </c>
      <c r="J976">
        <v>34257</v>
      </c>
      <c r="K976">
        <v>1027</v>
      </c>
      <c r="L976">
        <v>14.6</v>
      </c>
      <c r="M976">
        <v>13.1</v>
      </c>
      <c r="N976">
        <v>8</v>
      </c>
      <c r="O976">
        <v>15981</v>
      </c>
      <c r="P976" t="s">
        <v>2178</v>
      </c>
      <c r="Q976">
        <v>31</v>
      </c>
      <c r="R976">
        <v>52</v>
      </c>
      <c r="S976">
        <v>50</v>
      </c>
      <c r="T976">
        <v>257</v>
      </c>
      <c r="U976" t="s">
        <v>2165</v>
      </c>
      <c r="W976" t="s">
        <v>2208</v>
      </c>
      <c r="X976" t="s">
        <v>2210</v>
      </c>
      <c r="Y976" t="s">
        <v>2212</v>
      </c>
      <c r="Z976" s="1">
        <v>45532</v>
      </c>
      <c r="AA976" s="1">
        <v>45553</v>
      </c>
      <c r="AB976" t="s">
        <v>2214</v>
      </c>
      <c r="AC976" t="s">
        <v>2209</v>
      </c>
      <c r="AD976" t="s">
        <v>2216</v>
      </c>
      <c r="AE976" t="s">
        <v>2165</v>
      </c>
      <c r="AG976" t="s">
        <v>2220</v>
      </c>
      <c r="AH976">
        <v>133</v>
      </c>
      <c r="AI976">
        <v>154</v>
      </c>
      <c r="AJ976">
        <v>21</v>
      </c>
      <c r="AK976">
        <v>4</v>
      </c>
      <c r="AL976" t="s">
        <v>2225</v>
      </c>
      <c r="AM976">
        <v>0</v>
      </c>
      <c r="AN976" t="s">
        <v>2175</v>
      </c>
      <c r="AO976" t="s">
        <v>2175</v>
      </c>
      <c r="AP976" t="s">
        <v>2175</v>
      </c>
      <c r="AQ976">
        <v>191.26</v>
      </c>
      <c r="AR976">
        <v>3</v>
      </c>
      <c r="AS976">
        <v>3</v>
      </c>
      <c r="AT976">
        <v>3</v>
      </c>
      <c r="AU976">
        <v>3</v>
      </c>
      <c r="AV976">
        <v>3</v>
      </c>
      <c r="AW976">
        <v>4.5999999999999996</v>
      </c>
      <c r="AY976">
        <v>4.5999999999999996</v>
      </c>
      <c r="AZ976">
        <v>2</v>
      </c>
      <c r="BA976">
        <v>3</v>
      </c>
      <c r="BB976">
        <v>46</v>
      </c>
      <c r="BC976">
        <v>26</v>
      </c>
      <c r="BD976">
        <v>40.729999999999997</v>
      </c>
      <c r="BE976">
        <v>203</v>
      </c>
      <c r="BF976">
        <v>88.5</v>
      </c>
      <c r="BG976">
        <v>46</v>
      </c>
      <c r="BH976">
        <v>26</v>
      </c>
      <c r="BI976">
        <v>40.729999999999997</v>
      </c>
      <c r="BJ976">
        <v>203</v>
      </c>
      <c r="BK976">
        <v>88.5</v>
      </c>
      <c r="BL976">
        <v>203</v>
      </c>
      <c r="BM976">
        <v>6.4893000000000001</v>
      </c>
    </row>
    <row r="977" spans="1:65" x14ac:dyDescent="0.25">
      <c r="A977" t="s">
        <v>1040</v>
      </c>
      <c r="B977" t="s">
        <v>2017</v>
      </c>
      <c r="C977" t="s">
        <v>2158</v>
      </c>
      <c r="D977" s="1">
        <v>45311</v>
      </c>
      <c r="E977" s="1">
        <v>45363</v>
      </c>
      <c r="F977" s="1">
        <v>45433</v>
      </c>
      <c r="G977" t="s">
        <v>2165</v>
      </c>
      <c r="I977" t="s">
        <v>2175</v>
      </c>
      <c r="J977">
        <v>19640</v>
      </c>
      <c r="K977">
        <v>589</v>
      </c>
      <c r="L977">
        <v>11.9</v>
      </c>
      <c r="M977">
        <v>17.3</v>
      </c>
      <c r="N977">
        <v>8</v>
      </c>
      <c r="O977">
        <v>16660</v>
      </c>
      <c r="P977" t="s">
        <v>2178</v>
      </c>
      <c r="Q977">
        <v>17</v>
      </c>
      <c r="R977">
        <v>23</v>
      </c>
      <c r="S977">
        <v>21</v>
      </c>
      <c r="T977">
        <v>321</v>
      </c>
      <c r="U977" t="s">
        <v>2165</v>
      </c>
      <c r="W977" t="s">
        <v>2208</v>
      </c>
      <c r="X977" t="s">
        <v>2210</v>
      </c>
      <c r="Y977" t="s">
        <v>2212</v>
      </c>
      <c r="Z977" s="1">
        <v>45424</v>
      </c>
      <c r="AA977" s="1">
        <v>45440</v>
      </c>
      <c r="AB977" t="s">
        <v>2215</v>
      </c>
      <c r="AC977" t="s">
        <v>2208</v>
      </c>
      <c r="AD977" t="s">
        <v>2216</v>
      </c>
      <c r="AE977" t="s">
        <v>2165</v>
      </c>
      <c r="AG977" t="s">
        <v>2220</v>
      </c>
      <c r="AH977">
        <v>61</v>
      </c>
      <c r="AI977">
        <v>77</v>
      </c>
      <c r="AJ977">
        <v>16</v>
      </c>
      <c r="AK977">
        <v>3</v>
      </c>
      <c r="AL977" t="s">
        <v>2227</v>
      </c>
      <c r="AM977">
        <v>0</v>
      </c>
      <c r="AN977" t="s">
        <v>2175</v>
      </c>
      <c r="AO977" t="s">
        <v>2175</v>
      </c>
      <c r="AP977" t="s">
        <v>2175</v>
      </c>
      <c r="AQ977">
        <v>205.87</v>
      </c>
      <c r="AR977">
        <v>3</v>
      </c>
      <c r="AS977">
        <v>3</v>
      </c>
      <c r="AT977">
        <v>3</v>
      </c>
      <c r="AU977">
        <v>3</v>
      </c>
      <c r="AV977">
        <v>3</v>
      </c>
      <c r="AW977">
        <v>4.5999999999999996</v>
      </c>
      <c r="AY977">
        <v>4.5999999999999996</v>
      </c>
      <c r="AZ977">
        <v>2</v>
      </c>
      <c r="BA977">
        <v>3</v>
      </c>
      <c r="BB977">
        <v>48</v>
      </c>
      <c r="BC977">
        <v>26</v>
      </c>
      <c r="BD977">
        <v>42.38</v>
      </c>
      <c r="BE977">
        <v>212</v>
      </c>
      <c r="BF977">
        <v>88.3</v>
      </c>
      <c r="BG977">
        <v>48</v>
      </c>
      <c r="BH977">
        <v>26</v>
      </c>
      <c r="BI977">
        <v>42.38</v>
      </c>
      <c r="BJ977">
        <v>212</v>
      </c>
      <c r="BK977">
        <v>88.3</v>
      </c>
      <c r="BL977">
        <v>212</v>
      </c>
      <c r="BM977">
        <v>3.5625</v>
      </c>
    </row>
    <row r="978" spans="1:65" x14ac:dyDescent="0.25">
      <c r="A978" t="s">
        <v>1041</v>
      </c>
      <c r="B978" t="s">
        <v>2018</v>
      </c>
      <c r="C978" t="s">
        <v>2160</v>
      </c>
      <c r="D978" s="1">
        <v>45323</v>
      </c>
      <c r="E978" s="1">
        <v>45353</v>
      </c>
      <c r="F978" s="1">
        <v>45443</v>
      </c>
      <c r="G978" t="s">
        <v>2166</v>
      </c>
      <c r="I978" t="s">
        <v>2175</v>
      </c>
      <c r="J978">
        <v>26595</v>
      </c>
      <c r="K978">
        <v>797</v>
      </c>
      <c r="L978">
        <v>10.9</v>
      </c>
      <c r="M978">
        <v>10.6</v>
      </c>
      <c r="N978">
        <v>8</v>
      </c>
      <c r="O978">
        <v>18301</v>
      </c>
      <c r="P978" t="s">
        <v>2178</v>
      </c>
      <c r="Q978">
        <v>21</v>
      </c>
      <c r="R978">
        <v>30</v>
      </c>
      <c r="S978">
        <v>25</v>
      </c>
      <c r="T978">
        <v>349</v>
      </c>
      <c r="U978" t="s">
        <v>2166</v>
      </c>
      <c r="W978" t="s">
        <v>2208</v>
      </c>
      <c r="X978" t="s">
        <v>2210</v>
      </c>
      <c r="Y978" t="s">
        <v>2212</v>
      </c>
      <c r="Z978" s="1">
        <v>45429</v>
      </c>
      <c r="AA978" s="1">
        <v>45449</v>
      </c>
      <c r="AB978" t="s">
        <v>2214</v>
      </c>
      <c r="AC978" t="s">
        <v>2209</v>
      </c>
      <c r="AD978" t="s">
        <v>2216</v>
      </c>
      <c r="AE978" t="s">
        <v>2166</v>
      </c>
      <c r="AG978" t="s">
        <v>2220</v>
      </c>
      <c r="AH978">
        <v>76</v>
      </c>
      <c r="AI978">
        <v>96</v>
      </c>
      <c r="AJ978">
        <v>20</v>
      </c>
      <c r="AK978">
        <v>3</v>
      </c>
      <c r="AL978" t="s">
        <v>2227</v>
      </c>
      <c r="AM978">
        <v>0</v>
      </c>
      <c r="AN978" t="s">
        <v>2175</v>
      </c>
      <c r="AO978" t="s">
        <v>2175</v>
      </c>
      <c r="AP978" t="s">
        <v>2175</v>
      </c>
      <c r="AQ978">
        <v>115.54</v>
      </c>
      <c r="AR978">
        <v>3</v>
      </c>
      <c r="AS978">
        <v>3</v>
      </c>
      <c r="AT978">
        <v>3</v>
      </c>
      <c r="AU978">
        <v>3</v>
      </c>
      <c r="AV978">
        <v>3</v>
      </c>
      <c r="AW978">
        <v>4.8</v>
      </c>
      <c r="AY978">
        <v>4.8</v>
      </c>
      <c r="AZ978">
        <v>1</v>
      </c>
      <c r="BA978">
        <v>3</v>
      </c>
      <c r="BB978">
        <v>49</v>
      </c>
      <c r="BC978">
        <v>26</v>
      </c>
      <c r="BD978">
        <v>43.12</v>
      </c>
      <c r="BE978">
        <v>216</v>
      </c>
      <c r="BF978">
        <v>88</v>
      </c>
      <c r="BG978">
        <v>49</v>
      </c>
      <c r="BH978">
        <v>26</v>
      </c>
      <c r="BI978">
        <v>43.12</v>
      </c>
      <c r="BJ978">
        <v>216</v>
      </c>
      <c r="BK978">
        <v>88</v>
      </c>
      <c r="BL978">
        <v>216</v>
      </c>
      <c r="BM978">
        <v>4.7347000000000001</v>
      </c>
    </row>
    <row r="979" spans="1:65" x14ac:dyDescent="0.25">
      <c r="A979" t="s">
        <v>1042</v>
      </c>
      <c r="B979" t="s">
        <v>2019</v>
      </c>
      <c r="C979" t="s">
        <v>2159</v>
      </c>
      <c r="D979" s="1">
        <v>45380</v>
      </c>
      <c r="E979" s="1">
        <v>45424</v>
      </c>
      <c r="F979" s="1">
        <v>45478</v>
      </c>
      <c r="G979" t="s">
        <v>2166</v>
      </c>
      <c r="I979" t="s">
        <v>2175</v>
      </c>
      <c r="J979">
        <v>16725</v>
      </c>
      <c r="K979">
        <v>501</v>
      </c>
      <c r="L979">
        <v>11.6</v>
      </c>
      <c r="M979">
        <v>14.3</v>
      </c>
      <c r="N979">
        <v>8</v>
      </c>
      <c r="O979">
        <v>18414</v>
      </c>
      <c r="P979" t="s">
        <v>2178</v>
      </c>
      <c r="Q979">
        <v>10</v>
      </c>
      <c r="R979">
        <v>16</v>
      </c>
      <c r="S979">
        <v>18</v>
      </c>
      <c r="T979">
        <v>380</v>
      </c>
      <c r="U979" t="s">
        <v>2166</v>
      </c>
      <c r="W979" t="s">
        <v>2208</v>
      </c>
      <c r="X979" t="s">
        <v>2210</v>
      </c>
      <c r="Y979" t="s">
        <v>2212</v>
      </c>
      <c r="Z979" s="1">
        <v>45468</v>
      </c>
      <c r="AA979" s="1">
        <v>45485</v>
      </c>
      <c r="AB979" t="s">
        <v>2215</v>
      </c>
      <c r="AC979" t="s">
        <v>2208</v>
      </c>
      <c r="AD979" t="s">
        <v>2216</v>
      </c>
      <c r="AE979" t="s">
        <v>2166</v>
      </c>
      <c r="AG979" t="s">
        <v>2220</v>
      </c>
      <c r="AH979">
        <v>44</v>
      </c>
      <c r="AI979">
        <v>61</v>
      </c>
      <c r="AJ979">
        <v>17</v>
      </c>
      <c r="AK979">
        <v>5</v>
      </c>
      <c r="AL979" t="s">
        <v>2224</v>
      </c>
      <c r="AM979">
        <v>0</v>
      </c>
      <c r="AN979" t="s">
        <v>2175</v>
      </c>
      <c r="AO979" t="s">
        <v>2175</v>
      </c>
      <c r="AP979" t="s">
        <v>2175</v>
      </c>
      <c r="AQ979">
        <v>165.88</v>
      </c>
      <c r="AR979">
        <v>3</v>
      </c>
      <c r="AS979">
        <v>3</v>
      </c>
      <c r="AT979">
        <v>3</v>
      </c>
      <c r="AU979">
        <v>3</v>
      </c>
      <c r="AV979">
        <v>3</v>
      </c>
      <c r="AW979">
        <v>4.8</v>
      </c>
      <c r="AY979">
        <v>4.8</v>
      </c>
      <c r="AZ979">
        <v>0</v>
      </c>
      <c r="BA979">
        <v>3</v>
      </c>
      <c r="BB979">
        <v>43</v>
      </c>
      <c r="BC979">
        <v>27</v>
      </c>
      <c r="BD979">
        <v>37.299999999999997</v>
      </c>
      <c r="BE979">
        <v>193</v>
      </c>
      <c r="BF979">
        <v>86.7</v>
      </c>
      <c r="BG979">
        <v>43</v>
      </c>
      <c r="BH979">
        <v>27</v>
      </c>
      <c r="BI979">
        <v>37.299999999999997</v>
      </c>
      <c r="BJ979">
        <v>193</v>
      </c>
      <c r="BK979">
        <v>86.7</v>
      </c>
      <c r="BL979">
        <v>193</v>
      </c>
      <c r="BM979">
        <v>3.2088999999999999</v>
      </c>
    </row>
    <row r="980" spans="1:65" x14ac:dyDescent="0.25">
      <c r="A980" t="s">
        <v>1043</v>
      </c>
      <c r="B980" t="s">
        <v>2020</v>
      </c>
      <c r="C980" t="s">
        <v>2157</v>
      </c>
      <c r="D980" s="1">
        <v>45492</v>
      </c>
      <c r="E980" s="1">
        <v>45521</v>
      </c>
      <c r="F980" s="1">
        <v>45592</v>
      </c>
      <c r="G980" t="s">
        <v>2165</v>
      </c>
      <c r="I980" t="s">
        <v>2175</v>
      </c>
      <c r="J980">
        <v>20295</v>
      </c>
      <c r="K980">
        <v>608</v>
      </c>
      <c r="L980">
        <v>11.3</v>
      </c>
      <c r="M980">
        <v>17.2</v>
      </c>
      <c r="N980">
        <v>7</v>
      </c>
      <c r="O980">
        <v>18432</v>
      </c>
      <c r="P980" t="s">
        <v>2178</v>
      </c>
      <c r="Q980">
        <v>12</v>
      </c>
      <c r="R980">
        <v>19</v>
      </c>
      <c r="S980">
        <v>27</v>
      </c>
      <c r="T980">
        <v>349</v>
      </c>
      <c r="U980" t="s">
        <v>2165</v>
      </c>
      <c r="W980" t="s">
        <v>2208</v>
      </c>
      <c r="X980" t="s">
        <v>2210</v>
      </c>
      <c r="Y980" t="s">
        <v>2212</v>
      </c>
      <c r="Z980" s="1">
        <v>45579</v>
      </c>
      <c r="AA980" s="1">
        <v>45593</v>
      </c>
      <c r="AB980" t="s">
        <v>2214</v>
      </c>
      <c r="AC980" t="s">
        <v>2209</v>
      </c>
      <c r="AD980" t="s">
        <v>2216</v>
      </c>
      <c r="AE980" t="s">
        <v>2165</v>
      </c>
      <c r="AG980" t="s">
        <v>2220</v>
      </c>
      <c r="AH980">
        <v>58</v>
      </c>
      <c r="AI980">
        <v>72</v>
      </c>
      <c r="AJ980">
        <v>14</v>
      </c>
      <c r="AK980">
        <v>8</v>
      </c>
      <c r="AL980" t="s">
        <v>2232</v>
      </c>
      <c r="AM980">
        <v>0</v>
      </c>
      <c r="AN980" t="s">
        <v>2175</v>
      </c>
      <c r="AO980" t="s">
        <v>2175</v>
      </c>
      <c r="AP980" t="s">
        <v>2175</v>
      </c>
      <c r="AQ980">
        <v>194.36</v>
      </c>
      <c r="AR980">
        <v>3</v>
      </c>
      <c r="AS980">
        <v>3</v>
      </c>
      <c r="AT980">
        <v>3</v>
      </c>
      <c r="AU980">
        <v>3</v>
      </c>
      <c r="AV980">
        <v>3</v>
      </c>
      <c r="AW980">
        <v>4.5999999999999996</v>
      </c>
      <c r="AY980">
        <v>4.5999999999999996</v>
      </c>
      <c r="AZ980">
        <v>3</v>
      </c>
      <c r="BA980">
        <v>3</v>
      </c>
      <c r="BB980">
        <v>36</v>
      </c>
      <c r="BC980">
        <v>26</v>
      </c>
      <c r="BD980">
        <v>31.73</v>
      </c>
      <c r="BE980">
        <v>152</v>
      </c>
      <c r="BF980">
        <v>88.1</v>
      </c>
      <c r="BG980">
        <v>36</v>
      </c>
      <c r="BH980">
        <v>26</v>
      </c>
      <c r="BI980">
        <v>31.73</v>
      </c>
      <c r="BJ980">
        <v>152</v>
      </c>
      <c r="BK980">
        <v>88.1</v>
      </c>
      <c r="BL980">
        <v>152</v>
      </c>
      <c r="BM980">
        <v>5.1341000000000001</v>
      </c>
    </row>
    <row r="981" spans="1:65" x14ac:dyDescent="0.25">
      <c r="A981" t="s">
        <v>1044</v>
      </c>
      <c r="B981" t="s">
        <v>2021</v>
      </c>
      <c r="C981" t="s">
        <v>2159</v>
      </c>
      <c r="D981" s="1">
        <v>45259</v>
      </c>
      <c r="E981" s="1">
        <v>45298</v>
      </c>
      <c r="F981" s="1">
        <v>45371</v>
      </c>
      <c r="G981" t="s">
        <v>2166</v>
      </c>
      <c r="I981" t="s">
        <v>2175</v>
      </c>
      <c r="J981">
        <v>21766</v>
      </c>
      <c r="K981">
        <v>652</v>
      </c>
      <c r="L981">
        <v>15.5</v>
      </c>
      <c r="M981">
        <v>13.1</v>
      </c>
      <c r="N981">
        <v>7</v>
      </c>
      <c r="O981">
        <v>16506</v>
      </c>
      <c r="P981" t="s">
        <v>2178</v>
      </c>
      <c r="Q981">
        <v>12</v>
      </c>
      <c r="R981">
        <v>18</v>
      </c>
      <c r="S981">
        <v>29</v>
      </c>
      <c r="T981">
        <v>368</v>
      </c>
      <c r="U981" t="s">
        <v>2166</v>
      </c>
      <c r="W981" t="s">
        <v>2208</v>
      </c>
      <c r="X981" t="s">
        <v>2210</v>
      </c>
      <c r="Y981" t="s">
        <v>2212</v>
      </c>
      <c r="Z981" s="1">
        <v>45357</v>
      </c>
      <c r="AA981" s="1">
        <v>45374</v>
      </c>
      <c r="AB981" t="s">
        <v>2214</v>
      </c>
      <c r="AC981" t="s">
        <v>2209</v>
      </c>
      <c r="AD981" t="s">
        <v>2216</v>
      </c>
      <c r="AE981" t="s">
        <v>2166</v>
      </c>
      <c r="AG981" t="s">
        <v>2220</v>
      </c>
      <c r="AH981">
        <v>59</v>
      </c>
      <c r="AI981">
        <v>76</v>
      </c>
      <c r="AJ981">
        <v>17</v>
      </c>
      <c r="AK981">
        <v>1</v>
      </c>
      <c r="AL981" t="s">
        <v>2233</v>
      </c>
      <c r="AM981">
        <v>0</v>
      </c>
      <c r="AN981" t="s">
        <v>2175</v>
      </c>
      <c r="AO981" t="s">
        <v>2175</v>
      </c>
      <c r="AP981" t="s">
        <v>2175</v>
      </c>
      <c r="AQ981">
        <v>203.05</v>
      </c>
      <c r="AR981">
        <v>3</v>
      </c>
      <c r="AS981">
        <v>3</v>
      </c>
      <c r="AT981">
        <v>3</v>
      </c>
      <c r="AU981">
        <v>3</v>
      </c>
      <c r="AV981">
        <v>3</v>
      </c>
      <c r="AW981">
        <v>4.8</v>
      </c>
      <c r="AY981">
        <v>4.8</v>
      </c>
      <c r="AZ981">
        <v>0</v>
      </c>
      <c r="BA981">
        <v>3</v>
      </c>
      <c r="BB981">
        <v>40</v>
      </c>
      <c r="BC981">
        <v>27</v>
      </c>
      <c r="BD981">
        <v>35.07</v>
      </c>
      <c r="BE981">
        <v>181</v>
      </c>
      <c r="BF981">
        <v>87.7</v>
      </c>
      <c r="BG981">
        <v>40</v>
      </c>
      <c r="BH981">
        <v>27</v>
      </c>
      <c r="BI981">
        <v>35.07</v>
      </c>
      <c r="BJ981">
        <v>181</v>
      </c>
      <c r="BK981">
        <v>87.7</v>
      </c>
      <c r="BL981">
        <v>181</v>
      </c>
      <c r="BM981">
        <v>4.4528999999999996</v>
      </c>
    </row>
    <row r="982" spans="1:65" x14ac:dyDescent="0.25">
      <c r="A982" t="s">
        <v>1045</v>
      </c>
      <c r="B982" t="s">
        <v>2022</v>
      </c>
      <c r="C982" t="s">
        <v>2159</v>
      </c>
      <c r="D982" s="1">
        <v>45533</v>
      </c>
      <c r="E982" s="1">
        <v>45569</v>
      </c>
      <c r="F982" s="1">
        <v>45689</v>
      </c>
      <c r="G982" t="s">
        <v>2166</v>
      </c>
      <c r="I982" t="s">
        <v>2175</v>
      </c>
      <c r="J982">
        <v>27616</v>
      </c>
      <c r="K982">
        <v>828</v>
      </c>
      <c r="L982">
        <v>10.199999999999999</v>
      </c>
      <c r="M982">
        <v>10.3</v>
      </c>
      <c r="N982">
        <v>7</v>
      </c>
      <c r="O982">
        <v>17970</v>
      </c>
      <c r="P982" t="s">
        <v>2178</v>
      </c>
      <c r="Q982">
        <v>26</v>
      </c>
      <c r="R982">
        <v>36</v>
      </c>
      <c r="S982">
        <v>44</v>
      </c>
      <c r="T982">
        <v>260</v>
      </c>
      <c r="U982" t="s">
        <v>2166</v>
      </c>
      <c r="W982" t="s">
        <v>2208</v>
      </c>
      <c r="X982" t="s">
        <v>2210</v>
      </c>
      <c r="Y982" t="s">
        <v>2212</v>
      </c>
      <c r="Z982" s="1">
        <v>45675</v>
      </c>
      <c r="AA982" s="1">
        <v>45690</v>
      </c>
      <c r="AB982" t="s">
        <v>2214</v>
      </c>
      <c r="AC982" t="s">
        <v>2209</v>
      </c>
      <c r="AD982" t="s">
        <v>2216</v>
      </c>
      <c r="AE982" t="s">
        <v>2166</v>
      </c>
      <c r="AG982" t="s">
        <v>2220</v>
      </c>
      <c r="AH982">
        <v>106</v>
      </c>
      <c r="AI982">
        <v>121</v>
      </c>
      <c r="AJ982">
        <v>15</v>
      </c>
      <c r="AK982">
        <v>10</v>
      </c>
      <c r="AL982" t="s">
        <v>2230</v>
      </c>
      <c r="AM982">
        <v>1</v>
      </c>
      <c r="AN982" t="s">
        <v>2175</v>
      </c>
      <c r="AO982" t="s">
        <v>2175</v>
      </c>
      <c r="AP982" t="s">
        <v>2175</v>
      </c>
      <c r="AQ982">
        <v>105.06</v>
      </c>
      <c r="AR982">
        <v>3</v>
      </c>
      <c r="AS982">
        <v>3</v>
      </c>
      <c r="AT982">
        <v>3</v>
      </c>
      <c r="AU982">
        <v>3</v>
      </c>
      <c r="AV982">
        <v>3</v>
      </c>
      <c r="AW982">
        <v>4.8</v>
      </c>
      <c r="AY982">
        <v>4.8</v>
      </c>
      <c r="AZ982">
        <v>0</v>
      </c>
      <c r="BA982">
        <v>3</v>
      </c>
      <c r="BB982">
        <v>50</v>
      </c>
      <c r="BC982">
        <v>27</v>
      </c>
      <c r="BD982">
        <v>42.44</v>
      </c>
      <c r="BE982">
        <v>220</v>
      </c>
      <c r="BF982">
        <v>84.9</v>
      </c>
      <c r="BG982">
        <v>50</v>
      </c>
      <c r="BH982">
        <v>27</v>
      </c>
      <c r="BI982">
        <v>42.44</v>
      </c>
      <c r="BJ982">
        <v>220</v>
      </c>
      <c r="BK982">
        <v>84.9</v>
      </c>
      <c r="BL982">
        <v>220</v>
      </c>
      <c r="BM982">
        <v>4.6483999999999996</v>
      </c>
    </row>
    <row r="983" spans="1:65" x14ac:dyDescent="0.25">
      <c r="A983" t="s">
        <v>1046</v>
      </c>
      <c r="B983" t="s">
        <v>2023</v>
      </c>
      <c r="C983" t="s">
        <v>2160</v>
      </c>
      <c r="D983" s="1">
        <v>45333</v>
      </c>
      <c r="E983" s="1">
        <v>45363</v>
      </c>
      <c r="F983" s="1">
        <v>45501</v>
      </c>
      <c r="G983" t="s">
        <v>2165</v>
      </c>
      <c r="I983" t="s">
        <v>2175</v>
      </c>
      <c r="J983">
        <v>39256</v>
      </c>
      <c r="K983">
        <v>1177</v>
      </c>
      <c r="L983">
        <v>13.1</v>
      </c>
      <c r="M983">
        <v>11.2</v>
      </c>
      <c r="N983">
        <v>8</v>
      </c>
      <c r="O983">
        <v>18688</v>
      </c>
      <c r="P983" t="s">
        <v>2178</v>
      </c>
      <c r="Q983">
        <v>32</v>
      </c>
      <c r="R983">
        <v>52</v>
      </c>
      <c r="S983">
        <v>43</v>
      </c>
      <c r="T983">
        <v>309</v>
      </c>
      <c r="U983" t="s">
        <v>2165</v>
      </c>
      <c r="W983" t="s">
        <v>2208</v>
      </c>
      <c r="X983" t="s">
        <v>2210</v>
      </c>
      <c r="Y983" t="s">
        <v>2212</v>
      </c>
      <c r="Z983" s="1">
        <v>45490</v>
      </c>
      <c r="AA983" s="1">
        <v>45506</v>
      </c>
      <c r="AB983" t="s">
        <v>2215</v>
      </c>
      <c r="AC983" t="s">
        <v>2208</v>
      </c>
      <c r="AD983" t="s">
        <v>2216</v>
      </c>
      <c r="AE983" t="s">
        <v>2165</v>
      </c>
      <c r="AG983" t="s">
        <v>2220</v>
      </c>
      <c r="AH983">
        <v>127</v>
      </c>
      <c r="AI983">
        <v>143</v>
      </c>
      <c r="AJ983">
        <v>16</v>
      </c>
      <c r="AK983">
        <v>3</v>
      </c>
      <c r="AL983" t="s">
        <v>2227</v>
      </c>
      <c r="AM983">
        <v>0</v>
      </c>
      <c r="AN983" t="s">
        <v>2175</v>
      </c>
      <c r="AO983" t="s">
        <v>2175</v>
      </c>
      <c r="AP983" t="s">
        <v>2175</v>
      </c>
      <c r="AQ983">
        <v>146.72</v>
      </c>
      <c r="AR983">
        <v>3</v>
      </c>
      <c r="AS983">
        <v>3</v>
      </c>
      <c r="AT983">
        <v>3</v>
      </c>
      <c r="AU983">
        <v>3</v>
      </c>
      <c r="AV983">
        <v>3</v>
      </c>
      <c r="AW983">
        <v>4.5999999999999996</v>
      </c>
      <c r="AY983">
        <v>4.5999999999999996</v>
      </c>
      <c r="AZ983">
        <v>1</v>
      </c>
      <c r="BA983">
        <v>3</v>
      </c>
      <c r="BB983">
        <v>48</v>
      </c>
      <c r="BC983">
        <v>26</v>
      </c>
      <c r="BD983">
        <v>42.38</v>
      </c>
      <c r="BE983">
        <v>212</v>
      </c>
      <c r="BF983">
        <v>88.3</v>
      </c>
      <c r="BG983">
        <v>48</v>
      </c>
      <c r="BH983">
        <v>26</v>
      </c>
      <c r="BI983">
        <v>42.38</v>
      </c>
      <c r="BJ983">
        <v>212</v>
      </c>
      <c r="BK983">
        <v>88.3</v>
      </c>
      <c r="BL983">
        <v>212</v>
      </c>
      <c r="BM983">
        <v>7.1205999999999996</v>
      </c>
    </row>
    <row r="984" spans="1:65" x14ac:dyDescent="0.25">
      <c r="A984" t="s">
        <v>1047</v>
      </c>
      <c r="B984" t="s">
        <v>2024</v>
      </c>
      <c r="C984" t="s">
        <v>2157</v>
      </c>
      <c r="D984" s="1">
        <v>45377</v>
      </c>
      <c r="E984" s="1">
        <v>45421</v>
      </c>
      <c r="F984" s="1">
        <v>45527</v>
      </c>
      <c r="G984" t="s">
        <v>2165</v>
      </c>
      <c r="I984" t="s">
        <v>2175</v>
      </c>
      <c r="J984">
        <v>39977</v>
      </c>
      <c r="K984">
        <v>1199</v>
      </c>
      <c r="L984">
        <v>12.1</v>
      </c>
      <c r="M984">
        <v>14.7</v>
      </c>
      <c r="N984">
        <v>7</v>
      </c>
      <c r="O984">
        <v>19221</v>
      </c>
      <c r="P984" t="s">
        <v>2178</v>
      </c>
      <c r="Q984">
        <v>26</v>
      </c>
      <c r="R984">
        <v>35</v>
      </c>
      <c r="S984">
        <v>34</v>
      </c>
      <c r="T984">
        <v>420</v>
      </c>
      <c r="U984" t="s">
        <v>2165</v>
      </c>
      <c r="W984" t="s">
        <v>2208</v>
      </c>
      <c r="X984" t="s">
        <v>2210</v>
      </c>
      <c r="Y984" t="s">
        <v>2212</v>
      </c>
      <c r="Z984" s="1">
        <v>45516</v>
      </c>
      <c r="AA984" s="1">
        <v>45530</v>
      </c>
      <c r="AB984" t="s">
        <v>2215</v>
      </c>
      <c r="AC984" t="s">
        <v>2208</v>
      </c>
      <c r="AD984" t="s">
        <v>2216</v>
      </c>
      <c r="AE984" t="s">
        <v>2165</v>
      </c>
      <c r="AG984" t="s">
        <v>2220</v>
      </c>
      <c r="AH984">
        <v>95</v>
      </c>
      <c r="AI984">
        <v>109</v>
      </c>
      <c r="AJ984">
        <v>14</v>
      </c>
      <c r="AK984">
        <v>5</v>
      </c>
      <c r="AL984" t="s">
        <v>2224</v>
      </c>
      <c r="AM984">
        <v>0</v>
      </c>
      <c r="AN984" t="s">
        <v>2175</v>
      </c>
      <c r="AO984" t="s">
        <v>2175</v>
      </c>
      <c r="AP984" t="s">
        <v>2175</v>
      </c>
      <c r="AQ984">
        <v>177.87</v>
      </c>
      <c r="AR984">
        <v>3</v>
      </c>
      <c r="AS984">
        <v>3</v>
      </c>
      <c r="AT984">
        <v>3</v>
      </c>
      <c r="AU984">
        <v>3</v>
      </c>
      <c r="AV984">
        <v>3</v>
      </c>
      <c r="AW984">
        <v>4.5999999999999996</v>
      </c>
      <c r="AY984">
        <v>4.5999999999999996</v>
      </c>
      <c r="AZ984">
        <v>3</v>
      </c>
      <c r="BA984">
        <v>3</v>
      </c>
      <c r="BB984">
        <v>36</v>
      </c>
      <c r="BC984">
        <v>27</v>
      </c>
      <c r="BD984">
        <v>31.37</v>
      </c>
      <c r="BE984">
        <v>158</v>
      </c>
      <c r="BF984">
        <v>87.1</v>
      </c>
      <c r="BG984">
        <v>36</v>
      </c>
      <c r="BH984">
        <v>27</v>
      </c>
      <c r="BI984">
        <v>31.37</v>
      </c>
      <c r="BJ984">
        <v>158</v>
      </c>
      <c r="BK984">
        <v>87.1</v>
      </c>
      <c r="BL984">
        <v>158</v>
      </c>
      <c r="BM984">
        <v>9.3689</v>
      </c>
    </row>
    <row r="985" spans="1:65" x14ac:dyDescent="0.25">
      <c r="A985" t="s">
        <v>1048</v>
      </c>
      <c r="B985" t="s">
        <v>2025</v>
      </c>
      <c r="C985" t="s">
        <v>2158</v>
      </c>
      <c r="D985" s="1">
        <v>45490</v>
      </c>
      <c r="E985" s="1">
        <v>45539</v>
      </c>
      <c r="F985" s="1">
        <v>45655</v>
      </c>
      <c r="G985" t="s">
        <v>2165</v>
      </c>
      <c r="I985" t="s">
        <v>2175</v>
      </c>
      <c r="J985">
        <v>28663</v>
      </c>
      <c r="K985">
        <v>859</v>
      </c>
      <c r="L985">
        <v>17</v>
      </c>
      <c r="M985">
        <v>14.2</v>
      </c>
      <c r="N985">
        <v>7</v>
      </c>
      <c r="O985">
        <v>15146</v>
      </c>
      <c r="P985" t="s">
        <v>2178</v>
      </c>
      <c r="Q985">
        <v>28</v>
      </c>
      <c r="R985">
        <v>38</v>
      </c>
      <c r="S985">
        <v>32</v>
      </c>
      <c r="T985">
        <v>292</v>
      </c>
      <c r="U985" t="s">
        <v>2165</v>
      </c>
      <c r="W985" t="s">
        <v>2208</v>
      </c>
      <c r="X985" t="s">
        <v>2210</v>
      </c>
      <c r="Y985" t="s">
        <v>2212</v>
      </c>
      <c r="Z985" s="1">
        <v>45637</v>
      </c>
      <c r="AA985" s="1">
        <v>45656</v>
      </c>
      <c r="AB985" t="s">
        <v>2214</v>
      </c>
      <c r="AC985" t="s">
        <v>2209</v>
      </c>
      <c r="AD985" t="s">
        <v>2216</v>
      </c>
      <c r="AE985" t="s">
        <v>2165</v>
      </c>
      <c r="AG985" t="s">
        <v>2220</v>
      </c>
      <c r="AH985">
        <v>98</v>
      </c>
      <c r="AI985">
        <v>117</v>
      </c>
      <c r="AJ985">
        <v>19</v>
      </c>
      <c r="AK985">
        <v>9</v>
      </c>
      <c r="AL985" t="s">
        <v>2234</v>
      </c>
      <c r="AM985">
        <v>0</v>
      </c>
      <c r="AN985" t="s">
        <v>2175</v>
      </c>
      <c r="AO985" t="s">
        <v>2175</v>
      </c>
      <c r="AP985" t="s">
        <v>2175</v>
      </c>
      <c r="AQ985">
        <v>241.4</v>
      </c>
      <c r="AR985">
        <v>3</v>
      </c>
      <c r="AS985">
        <v>3</v>
      </c>
      <c r="AT985">
        <v>3</v>
      </c>
      <c r="AU985">
        <v>3</v>
      </c>
      <c r="AV985">
        <v>3</v>
      </c>
      <c r="AW985">
        <v>4.5999999999999996</v>
      </c>
      <c r="AY985">
        <v>4.5999999999999996</v>
      </c>
      <c r="AZ985">
        <v>2</v>
      </c>
      <c r="BA985">
        <v>3</v>
      </c>
      <c r="BB985">
        <v>45</v>
      </c>
      <c r="BC985">
        <v>26</v>
      </c>
      <c r="BD985">
        <v>39.85</v>
      </c>
      <c r="BE985">
        <v>196</v>
      </c>
      <c r="BF985">
        <v>88.6</v>
      </c>
      <c r="BG985">
        <v>45</v>
      </c>
      <c r="BH985">
        <v>26</v>
      </c>
      <c r="BI985">
        <v>39.85</v>
      </c>
      <c r="BJ985">
        <v>196</v>
      </c>
      <c r="BK985">
        <v>88.6</v>
      </c>
      <c r="BL985">
        <v>196</v>
      </c>
      <c r="BM985">
        <v>5.6234999999999999</v>
      </c>
    </row>
    <row r="986" spans="1:65" x14ac:dyDescent="0.25">
      <c r="A986" t="s">
        <v>1049</v>
      </c>
      <c r="B986" t="s">
        <v>2026</v>
      </c>
      <c r="C986" t="s">
        <v>2160</v>
      </c>
      <c r="D986" s="1">
        <v>45272</v>
      </c>
      <c r="E986" s="1">
        <v>45306</v>
      </c>
      <c r="F986" s="1">
        <v>45463</v>
      </c>
      <c r="G986" t="s">
        <v>2165</v>
      </c>
      <c r="I986" t="s">
        <v>2175</v>
      </c>
      <c r="J986">
        <v>39864</v>
      </c>
      <c r="K986">
        <v>1195</v>
      </c>
      <c r="L986">
        <v>13.7</v>
      </c>
      <c r="M986">
        <v>10.1</v>
      </c>
      <c r="N986">
        <v>7</v>
      </c>
      <c r="O986">
        <v>16195</v>
      </c>
      <c r="P986" t="s">
        <v>2178</v>
      </c>
      <c r="Q986">
        <v>39</v>
      </c>
      <c r="R986">
        <v>59</v>
      </c>
      <c r="S986">
        <v>42</v>
      </c>
      <c r="T986">
        <v>284</v>
      </c>
      <c r="U986" t="s">
        <v>2165</v>
      </c>
      <c r="W986" t="s">
        <v>2208</v>
      </c>
      <c r="X986" t="s">
        <v>2210</v>
      </c>
      <c r="Y986" t="s">
        <v>2212</v>
      </c>
      <c r="Z986" s="1">
        <v>45446</v>
      </c>
      <c r="AA986" s="1">
        <v>45466</v>
      </c>
      <c r="AB986" t="s">
        <v>2214</v>
      </c>
      <c r="AC986" t="s">
        <v>2209</v>
      </c>
      <c r="AD986" t="s">
        <v>2216</v>
      </c>
      <c r="AE986" t="s">
        <v>2165</v>
      </c>
      <c r="AG986" t="s">
        <v>2220</v>
      </c>
      <c r="AH986">
        <v>140</v>
      </c>
      <c r="AI986">
        <v>160</v>
      </c>
      <c r="AJ986">
        <v>20</v>
      </c>
      <c r="AK986">
        <v>1</v>
      </c>
      <c r="AL986" t="s">
        <v>2233</v>
      </c>
      <c r="AM986">
        <v>0</v>
      </c>
      <c r="AN986" t="s">
        <v>2175</v>
      </c>
      <c r="AO986" t="s">
        <v>2175</v>
      </c>
      <c r="AP986" t="s">
        <v>2175</v>
      </c>
      <c r="AQ986">
        <v>138.37</v>
      </c>
      <c r="AR986">
        <v>3</v>
      </c>
      <c r="AS986">
        <v>3</v>
      </c>
      <c r="AT986">
        <v>3</v>
      </c>
      <c r="AU986">
        <v>3</v>
      </c>
      <c r="AV986">
        <v>3</v>
      </c>
      <c r="AW986">
        <v>4.5999999999999996</v>
      </c>
      <c r="AY986">
        <v>4.5999999999999996</v>
      </c>
      <c r="AZ986">
        <v>1</v>
      </c>
      <c r="BA986">
        <v>3</v>
      </c>
      <c r="BB986">
        <v>43</v>
      </c>
      <c r="BC986">
        <v>27</v>
      </c>
      <c r="BD986">
        <v>38.299999999999997</v>
      </c>
      <c r="BE986">
        <v>197</v>
      </c>
      <c r="BF986">
        <v>89.1</v>
      </c>
      <c r="BG986">
        <v>43</v>
      </c>
      <c r="BH986">
        <v>27</v>
      </c>
      <c r="BI986">
        <v>38.299999999999997</v>
      </c>
      <c r="BJ986">
        <v>197</v>
      </c>
      <c r="BK986">
        <v>89.1</v>
      </c>
      <c r="BL986">
        <v>197</v>
      </c>
      <c r="BM986">
        <v>7.4931999999999999</v>
      </c>
    </row>
    <row r="987" spans="1:65" x14ac:dyDescent="0.25">
      <c r="A987" t="s">
        <v>1050</v>
      </c>
      <c r="B987" t="s">
        <v>2027</v>
      </c>
      <c r="C987" t="s">
        <v>2158</v>
      </c>
      <c r="D987" s="1">
        <v>45366</v>
      </c>
      <c r="E987" s="1">
        <v>45417</v>
      </c>
      <c r="F987" s="1">
        <v>45565</v>
      </c>
      <c r="G987" t="s">
        <v>2165</v>
      </c>
      <c r="I987" t="s">
        <v>2175</v>
      </c>
      <c r="J987">
        <v>43545</v>
      </c>
      <c r="K987">
        <v>1306</v>
      </c>
      <c r="L987">
        <v>13.5</v>
      </c>
      <c r="M987">
        <v>15</v>
      </c>
      <c r="N987">
        <v>7</v>
      </c>
      <c r="O987">
        <v>15372</v>
      </c>
      <c r="P987" t="s">
        <v>2178</v>
      </c>
      <c r="Q987">
        <v>40</v>
      </c>
      <c r="R987">
        <v>54</v>
      </c>
      <c r="S987">
        <v>39</v>
      </c>
      <c r="T987">
        <v>327</v>
      </c>
      <c r="U987" t="s">
        <v>2165</v>
      </c>
      <c r="W987" t="s">
        <v>2208</v>
      </c>
      <c r="X987" t="s">
        <v>2210</v>
      </c>
      <c r="Y987" t="s">
        <v>2212</v>
      </c>
      <c r="Z987" s="1">
        <v>45550</v>
      </c>
      <c r="AA987" s="1">
        <v>45563</v>
      </c>
      <c r="AB987" t="s">
        <v>2214</v>
      </c>
      <c r="AC987" t="s">
        <v>2209</v>
      </c>
      <c r="AD987" t="s">
        <v>2216</v>
      </c>
      <c r="AE987" t="s">
        <v>2165</v>
      </c>
      <c r="AG987" t="s">
        <v>2220</v>
      </c>
      <c r="AH987">
        <v>133</v>
      </c>
      <c r="AI987">
        <v>146</v>
      </c>
      <c r="AJ987">
        <v>13</v>
      </c>
      <c r="AK987">
        <v>5</v>
      </c>
      <c r="AL987" t="s">
        <v>2224</v>
      </c>
      <c r="AM987">
        <v>0</v>
      </c>
      <c r="AN987" t="s">
        <v>2175</v>
      </c>
      <c r="AO987" t="s">
        <v>2175</v>
      </c>
      <c r="AP987" t="s">
        <v>2175</v>
      </c>
      <c r="AQ987">
        <v>202.5</v>
      </c>
      <c r="AR987">
        <v>3</v>
      </c>
      <c r="AS987">
        <v>3</v>
      </c>
      <c r="AT987">
        <v>3</v>
      </c>
      <c r="AU987">
        <v>3</v>
      </c>
      <c r="AV987">
        <v>3</v>
      </c>
      <c r="AW987">
        <v>4.5999999999999996</v>
      </c>
      <c r="AY987">
        <v>4.5999999999999996</v>
      </c>
      <c r="AZ987">
        <v>2</v>
      </c>
      <c r="BA987">
        <v>3</v>
      </c>
      <c r="BB987">
        <v>36</v>
      </c>
      <c r="BC987">
        <v>27</v>
      </c>
      <c r="BD987">
        <v>31.37</v>
      </c>
      <c r="BE987">
        <v>158</v>
      </c>
      <c r="BF987">
        <v>87.1</v>
      </c>
      <c r="BG987">
        <v>36</v>
      </c>
      <c r="BH987">
        <v>27</v>
      </c>
      <c r="BI987">
        <v>31.37</v>
      </c>
      <c r="BJ987">
        <v>158</v>
      </c>
      <c r="BK987">
        <v>87.1</v>
      </c>
      <c r="BL987">
        <v>158</v>
      </c>
      <c r="BM987">
        <v>10.2051</v>
      </c>
    </row>
    <row r="988" spans="1:65" x14ac:dyDescent="0.25">
      <c r="A988" t="s">
        <v>1051</v>
      </c>
      <c r="B988" t="s">
        <v>2028</v>
      </c>
      <c r="C988" t="s">
        <v>2159</v>
      </c>
      <c r="D988" s="1">
        <v>45335</v>
      </c>
      <c r="E988" s="1">
        <v>45363</v>
      </c>
      <c r="F988" s="1">
        <v>45469</v>
      </c>
      <c r="G988" t="s">
        <v>2166</v>
      </c>
      <c r="I988" t="s">
        <v>2175</v>
      </c>
      <c r="J988">
        <v>25585</v>
      </c>
      <c r="K988">
        <v>767</v>
      </c>
      <c r="L988">
        <v>10.3</v>
      </c>
      <c r="M988">
        <v>14.7</v>
      </c>
      <c r="N988">
        <v>7</v>
      </c>
      <c r="O988">
        <v>16038</v>
      </c>
      <c r="P988" t="s">
        <v>2178</v>
      </c>
      <c r="Q988">
        <v>23</v>
      </c>
      <c r="R988">
        <v>32</v>
      </c>
      <c r="S988">
        <v>32</v>
      </c>
      <c r="T988">
        <v>294</v>
      </c>
      <c r="U988" t="s">
        <v>2166</v>
      </c>
      <c r="W988" t="s">
        <v>2208</v>
      </c>
      <c r="X988" t="s">
        <v>2210</v>
      </c>
      <c r="Y988" t="s">
        <v>2212</v>
      </c>
      <c r="Z988" s="1">
        <v>45450</v>
      </c>
      <c r="AA988" s="1">
        <v>45471</v>
      </c>
      <c r="AB988" t="s">
        <v>2214</v>
      </c>
      <c r="AC988" t="s">
        <v>2209</v>
      </c>
      <c r="AD988" t="s">
        <v>2216</v>
      </c>
      <c r="AE988" t="s">
        <v>2166</v>
      </c>
      <c r="AG988" t="s">
        <v>2220</v>
      </c>
      <c r="AH988">
        <v>87</v>
      </c>
      <c r="AI988">
        <v>108</v>
      </c>
      <c r="AJ988">
        <v>21</v>
      </c>
      <c r="AK988">
        <v>3</v>
      </c>
      <c r="AL988" t="s">
        <v>2227</v>
      </c>
      <c r="AM988">
        <v>0</v>
      </c>
      <c r="AN988" t="s">
        <v>2175</v>
      </c>
      <c r="AO988" t="s">
        <v>2175</v>
      </c>
      <c r="AP988" t="s">
        <v>2175</v>
      </c>
      <c r="AQ988">
        <v>151.41</v>
      </c>
      <c r="AR988">
        <v>3</v>
      </c>
      <c r="AS988">
        <v>3</v>
      </c>
      <c r="AT988">
        <v>3</v>
      </c>
      <c r="AU988">
        <v>3</v>
      </c>
      <c r="AV988">
        <v>3</v>
      </c>
      <c r="AW988">
        <v>4.8</v>
      </c>
      <c r="AY988">
        <v>4.8</v>
      </c>
      <c r="AZ988">
        <v>0</v>
      </c>
      <c r="BA988">
        <v>3</v>
      </c>
      <c r="BB988">
        <v>49</v>
      </c>
      <c r="BC988">
        <v>26</v>
      </c>
      <c r="BD988">
        <v>43.12</v>
      </c>
      <c r="BE988">
        <v>216</v>
      </c>
      <c r="BF988">
        <v>88</v>
      </c>
      <c r="BG988">
        <v>49</v>
      </c>
      <c r="BH988">
        <v>26</v>
      </c>
      <c r="BI988">
        <v>43.12</v>
      </c>
      <c r="BJ988">
        <v>216</v>
      </c>
      <c r="BK988">
        <v>88</v>
      </c>
      <c r="BL988">
        <v>216</v>
      </c>
      <c r="BM988">
        <v>4.5548999999999999</v>
      </c>
    </row>
    <row r="989" spans="1:65" x14ac:dyDescent="0.25">
      <c r="A989" t="s">
        <v>1052</v>
      </c>
      <c r="B989" t="s">
        <v>2029</v>
      </c>
      <c r="C989" t="s">
        <v>2157</v>
      </c>
      <c r="D989" s="1">
        <v>45269</v>
      </c>
      <c r="E989" s="1">
        <v>45298</v>
      </c>
      <c r="F989" s="1">
        <v>45381</v>
      </c>
      <c r="G989" t="s">
        <v>2165</v>
      </c>
      <c r="I989" t="s">
        <v>2175</v>
      </c>
      <c r="J989">
        <v>22195</v>
      </c>
      <c r="K989">
        <v>665</v>
      </c>
      <c r="L989">
        <v>15.2</v>
      </c>
      <c r="M989">
        <v>12.2</v>
      </c>
      <c r="N989">
        <v>8</v>
      </c>
      <c r="O989">
        <v>18175</v>
      </c>
      <c r="P989" t="s">
        <v>2178</v>
      </c>
      <c r="Q989">
        <v>21</v>
      </c>
      <c r="R989">
        <v>27</v>
      </c>
      <c r="S989">
        <v>26</v>
      </c>
      <c r="T989">
        <v>299</v>
      </c>
      <c r="U989" t="s">
        <v>2165</v>
      </c>
      <c r="W989" t="s">
        <v>2208</v>
      </c>
      <c r="X989" t="s">
        <v>2210</v>
      </c>
      <c r="Y989" t="s">
        <v>2212</v>
      </c>
      <c r="Z989" s="1">
        <v>45372</v>
      </c>
      <c r="AA989" s="1">
        <v>45389</v>
      </c>
      <c r="AB989" t="s">
        <v>2215</v>
      </c>
      <c r="AC989" t="s">
        <v>2208</v>
      </c>
      <c r="AD989" t="s">
        <v>2216</v>
      </c>
      <c r="AE989" t="s">
        <v>2165</v>
      </c>
      <c r="AG989" t="s">
        <v>2220</v>
      </c>
      <c r="AH989">
        <v>74</v>
      </c>
      <c r="AI989">
        <v>91</v>
      </c>
      <c r="AJ989">
        <v>17</v>
      </c>
      <c r="AK989">
        <v>1</v>
      </c>
      <c r="AL989" t="s">
        <v>2233</v>
      </c>
      <c r="AM989">
        <v>0</v>
      </c>
      <c r="AN989" t="s">
        <v>2175</v>
      </c>
      <c r="AO989" t="s">
        <v>2175</v>
      </c>
      <c r="AP989" t="s">
        <v>2175</v>
      </c>
      <c r="AQ989">
        <v>185.44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4.5999999999999996</v>
      </c>
      <c r="AY989">
        <v>4.5999999999999996</v>
      </c>
      <c r="AZ989">
        <v>3</v>
      </c>
      <c r="BA989">
        <v>3</v>
      </c>
      <c r="BB989">
        <v>43</v>
      </c>
      <c r="BC989">
        <v>27</v>
      </c>
      <c r="BD989">
        <v>38.299999999999997</v>
      </c>
      <c r="BE989">
        <v>197</v>
      </c>
      <c r="BF989">
        <v>89.1</v>
      </c>
      <c r="BG989">
        <v>43</v>
      </c>
      <c r="BH989">
        <v>27</v>
      </c>
      <c r="BI989">
        <v>38.299999999999997</v>
      </c>
      <c r="BJ989">
        <v>197</v>
      </c>
      <c r="BK989">
        <v>89.1</v>
      </c>
      <c r="BL989">
        <v>197</v>
      </c>
      <c r="BM989">
        <v>4.1719999999999997</v>
      </c>
    </row>
    <row r="990" spans="1:65" x14ac:dyDescent="0.25">
      <c r="A990" t="s">
        <v>1053</v>
      </c>
      <c r="B990" t="s">
        <v>2030</v>
      </c>
      <c r="C990" t="s">
        <v>2160</v>
      </c>
      <c r="D990" s="1">
        <v>45416</v>
      </c>
      <c r="E990" s="1">
        <v>45450</v>
      </c>
      <c r="F990" s="1">
        <v>45576</v>
      </c>
      <c r="G990" t="s">
        <v>2165</v>
      </c>
      <c r="I990" t="s">
        <v>2175</v>
      </c>
      <c r="J990">
        <v>34790</v>
      </c>
      <c r="K990">
        <v>1043</v>
      </c>
      <c r="L990">
        <v>17.100000000000001</v>
      </c>
      <c r="M990">
        <v>13.3</v>
      </c>
      <c r="N990">
        <v>8</v>
      </c>
      <c r="O990">
        <v>19644</v>
      </c>
      <c r="P990" t="s">
        <v>2178</v>
      </c>
      <c r="Q990">
        <v>30</v>
      </c>
      <c r="R990">
        <v>39</v>
      </c>
      <c r="S990">
        <v>40</v>
      </c>
      <c r="T990">
        <v>319</v>
      </c>
      <c r="U990" t="s">
        <v>2165</v>
      </c>
      <c r="W990" t="s">
        <v>2208</v>
      </c>
      <c r="X990" t="s">
        <v>2210</v>
      </c>
      <c r="Y990" t="s">
        <v>2212</v>
      </c>
      <c r="Z990" s="1">
        <v>45559</v>
      </c>
      <c r="AA990" s="1">
        <v>45578</v>
      </c>
      <c r="AB990" t="s">
        <v>2214</v>
      </c>
      <c r="AC990" t="s">
        <v>2209</v>
      </c>
      <c r="AD990" t="s">
        <v>2216</v>
      </c>
      <c r="AE990" t="s">
        <v>2165</v>
      </c>
      <c r="AG990" t="s">
        <v>2220</v>
      </c>
      <c r="AH990">
        <v>109</v>
      </c>
      <c r="AI990">
        <v>128</v>
      </c>
      <c r="AJ990">
        <v>19</v>
      </c>
      <c r="AK990">
        <v>6</v>
      </c>
      <c r="AL990" t="s">
        <v>2223</v>
      </c>
      <c r="AM990">
        <v>0</v>
      </c>
      <c r="AN990" t="s">
        <v>2175</v>
      </c>
      <c r="AO990" t="s">
        <v>2175</v>
      </c>
      <c r="AP990" t="s">
        <v>2175</v>
      </c>
      <c r="AQ990">
        <v>227.43</v>
      </c>
      <c r="AR990">
        <v>3</v>
      </c>
      <c r="AS990">
        <v>3</v>
      </c>
      <c r="AT990">
        <v>3</v>
      </c>
      <c r="AU990">
        <v>3</v>
      </c>
      <c r="AV990">
        <v>3</v>
      </c>
      <c r="AW990">
        <v>4.5999999999999996</v>
      </c>
      <c r="AY990">
        <v>4.5999999999999996</v>
      </c>
      <c r="AZ990">
        <v>1</v>
      </c>
      <c r="BA990">
        <v>3</v>
      </c>
      <c r="BB990">
        <v>40</v>
      </c>
      <c r="BC990">
        <v>25</v>
      </c>
      <c r="BD990">
        <v>34.72</v>
      </c>
      <c r="BE990">
        <v>161</v>
      </c>
      <c r="BF990">
        <v>86.8</v>
      </c>
      <c r="BG990">
        <v>40</v>
      </c>
      <c r="BH990">
        <v>25</v>
      </c>
      <c r="BI990">
        <v>34.72</v>
      </c>
      <c r="BJ990">
        <v>161</v>
      </c>
      <c r="BK990">
        <v>86.8</v>
      </c>
      <c r="BL990">
        <v>161</v>
      </c>
      <c r="BM990">
        <v>8.6412999999999993</v>
      </c>
    </row>
    <row r="991" spans="1:65" x14ac:dyDescent="0.25">
      <c r="A991" t="s">
        <v>1054</v>
      </c>
      <c r="B991" t="s">
        <v>2031</v>
      </c>
      <c r="C991" t="s">
        <v>2159</v>
      </c>
      <c r="D991" s="1">
        <v>45526</v>
      </c>
      <c r="E991" s="1">
        <v>45567</v>
      </c>
      <c r="F991" s="1">
        <v>45660</v>
      </c>
      <c r="G991" t="s">
        <v>2165</v>
      </c>
      <c r="I991" t="s">
        <v>2175</v>
      </c>
      <c r="J991">
        <v>27388</v>
      </c>
      <c r="K991">
        <v>821</v>
      </c>
      <c r="L991">
        <v>15.5</v>
      </c>
      <c r="M991">
        <v>14.6</v>
      </c>
      <c r="N991">
        <v>7</v>
      </c>
      <c r="O991">
        <v>15108</v>
      </c>
      <c r="P991" t="s">
        <v>2178</v>
      </c>
      <c r="Q991">
        <v>20</v>
      </c>
      <c r="R991">
        <v>32</v>
      </c>
      <c r="S991">
        <v>27</v>
      </c>
      <c r="T991">
        <v>346</v>
      </c>
      <c r="U991" t="s">
        <v>2165</v>
      </c>
      <c r="W991" t="s">
        <v>2208</v>
      </c>
      <c r="X991" t="s">
        <v>2210</v>
      </c>
      <c r="Y991" t="s">
        <v>2212</v>
      </c>
      <c r="Z991" s="1">
        <v>45646</v>
      </c>
      <c r="AA991" s="1">
        <v>45666</v>
      </c>
      <c r="AB991" t="s">
        <v>2214</v>
      </c>
      <c r="AC991" t="s">
        <v>2209</v>
      </c>
      <c r="AD991" t="s">
        <v>2216</v>
      </c>
      <c r="AE991" t="s">
        <v>2165</v>
      </c>
      <c r="AG991" t="s">
        <v>2220</v>
      </c>
      <c r="AH991">
        <v>79</v>
      </c>
      <c r="AI991">
        <v>99</v>
      </c>
      <c r="AJ991">
        <v>20</v>
      </c>
      <c r="AK991">
        <v>10</v>
      </c>
      <c r="AL991" t="s">
        <v>2230</v>
      </c>
      <c r="AM991">
        <v>1</v>
      </c>
      <c r="AN991" t="s">
        <v>2175</v>
      </c>
      <c r="AO991" t="s">
        <v>2175</v>
      </c>
      <c r="AP991" t="s">
        <v>2175</v>
      </c>
      <c r="AQ991">
        <v>226.3</v>
      </c>
      <c r="AR991">
        <v>3</v>
      </c>
      <c r="AS991">
        <v>3</v>
      </c>
      <c r="AT991">
        <v>3</v>
      </c>
      <c r="AU991">
        <v>3</v>
      </c>
      <c r="AV991">
        <v>3</v>
      </c>
      <c r="AW991">
        <v>4.5999999999999996</v>
      </c>
      <c r="AY991">
        <v>4.5999999999999996</v>
      </c>
      <c r="AZ991">
        <v>0</v>
      </c>
      <c r="BA991">
        <v>3</v>
      </c>
      <c r="BB991">
        <v>43</v>
      </c>
      <c r="BC991">
        <v>27</v>
      </c>
      <c r="BD991">
        <v>37.33</v>
      </c>
      <c r="BE991">
        <v>194</v>
      </c>
      <c r="BF991">
        <v>86.8</v>
      </c>
      <c r="BG991">
        <v>43</v>
      </c>
      <c r="BH991">
        <v>27</v>
      </c>
      <c r="BI991">
        <v>37.33</v>
      </c>
      <c r="BJ991">
        <v>194</v>
      </c>
      <c r="BK991">
        <v>86.8</v>
      </c>
      <c r="BL991">
        <v>194</v>
      </c>
      <c r="BM991">
        <v>5.2276999999999996</v>
      </c>
    </row>
    <row r="992" spans="1:65" x14ac:dyDescent="0.25">
      <c r="A992" t="s">
        <v>1055</v>
      </c>
      <c r="B992" t="s">
        <v>2032</v>
      </c>
      <c r="C992" t="s">
        <v>2157</v>
      </c>
      <c r="D992" s="1">
        <v>45366</v>
      </c>
      <c r="E992" s="1">
        <v>45415</v>
      </c>
      <c r="F992" s="1">
        <v>45538</v>
      </c>
      <c r="G992" t="s">
        <v>2166</v>
      </c>
      <c r="I992" t="s">
        <v>2175</v>
      </c>
      <c r="J992">
        <v>35921</v>
      </c>
      <c r="K992">
        <v>1077</v>
      </c>
      <c r="L992">
        <v>13.8</v>
      </c>
      <c r="M992">
        <v>11.4</v>
      </c>
      <c r="N992">
        <v>8</v>
      </c>
      <c r="O992">
        <v>15838</v>
      </c>
      <c r="P992" t="s">
        <v>2178</v>
      </c>
      <c r="Q992">
        <v>29</v>
      </c>
      <c r="R992">
        <v>46</v>
      </c>
      <c r="S992">
        <v>40</v>
      </c>
      <c r="T992">
        <v>312</v>
      </c>
      <c r="U992" t="s">
        <v>2166</v>
      </c>
      <c r="W992" t="s">
        <v>2208</v>
      </c>
      <c r="X992" t="s">
        <v>2210</v>
      </c>
      <c r="Y992" t="s">
        <v>2212</v>
      </c>
      <c r="Z992" s="1">
        <v>45530</v>
      </c>
      <c r="AA992" s="1">
        <v>45544</v>
      </c>
      <c r="AB992" t="s">
        <v>2215</v>
      </c>
      <c r="AC992" t="s">
        <v>2208</v>
      </c>
      <c r="AD992" t="s">
        <v>2216</v>
      </c>
      <c r="AE992" t="s">
        <v>2166</v>
      </c>
      <c r="AG992" t="s">
        <v>2220</v>
      </c>
      <c r="AH992">
        <v>115</v>
      </c>
      <c r="AI992">
        <v>129</v>
      </c>
      <c r="AJ992">
        <v>14</v>
      </c>
      <c r="AK992">
        <v>5</v>
      </c>
      <c r="AL992" t="s">
        <v>2224</v>
      </c>
      <c r="AM992">
        <v>0</v>
      </c>
      <c r="AN992" t="s">
        <v>2175</v>
      </c>
      <c r="AO992" t="s">
        <v>2175</v>
      </c>
      <c r="AP992" t="s">
        <v>2175</v>
      </c>
      <c r="AQ992">
        <v>157.32</v>
      </c>
      <c r="AR992">
        <v>3</v>
      </c>
      <c r="AS992">
        <v>3</v>
      </c>
      <c r="AT992">
        <v>3</v>
      </c>
      <c r="AU992">
        <v>3</v>
      </c>
      <c r="AV992">
        <v>3</v>
      </c>
      <c r="AW992">
        <v>4.8</v>
      </c>
      <c r="AY992">
        <v>4.8</v>
      </c>
      <c r="AZ992">
        <v>3</v>
      </c>
      <c r="BA992">
        <v>3</v>
      </c>
      <c r="BB992">
        <v>43</v>
      </c>
      <c r="BC992">
        <v>27</v>
      </c>
      <c r="BD992">
        <v>37.299999999999997</v>
      </c>
      <c r="BE992">
        <v>193</v>
      </c>
      <c r="BF992">
        <v>86.7</v>
      </c>
      <c r="BG992">
        <v>43</v>
      </c>
      <c r="BH992">
        <v>27</v>
      </c>
      <c r="BI992">
        <v>37.299999999999997</v>
      </c>
      <c r="BJ992">
        <v>193</v>
      </c>
      <c r="BK992">
        <v>86.7</v>
      </c>
      <c r="BL992">
        <v>193</v>
      </c>
      <c r="BM992">
        <v>6.8920000000000003</v>
      </c>
    </row>
    <row r="993" spans="1:65" x14ac:dyDescent="0.25">
      <c r="A993" t="s">
        <v>1056</v>
      </c>
      <c r="B993" t="s">
        <v>2033</v>
      </c>
      <c r="C993" t="s">
        <v>2158</v>
      </c>
      <c r="D993" s="1">
        <v>45437</v>
      </c>
      <c r="E993" s="1">
        <v>45488</v>
      </c>
      <c r="F993" s="1">
        <v>45603</v>
      </c>
      <c r="G993" t="s">
        <v>2166</v>
      </c>
      <c r="I993" t="s">
        <v>2175</v>
      </c>
      <c r="J993">
        <v>37613</v>
      </c>
      <c r="K993">
        <v>1128</v>
      </c>
      <c r="L993">
        <v>17.600000000000001</v>
      </c>
      <c r="M993">
        <v>11.1</v>
      </c>
      <c r="N993">
        <v>8</v>
      </c>
      <c r="O993">
        <v>19446</v>
      </c>
      <c r="P993" t="s">
        <v>2178</v>
      </c>
      <c r="Q993">
        <v>21</v>
      </c>
      <c r="R993">
        <v>34</v>
      </c>
      <c r="S993">
        <v>43</v>
      </c>
      <c r="T993">
        <v>383</v>
      </c>
      <c r="U993" t="s">
        <v>2166</v>
      </c>
      <c r="W993" t="s">
        <v>2208</v>
      </c>
      <c r="X993" t="s">
        <v>2210</v>
      </c>
      <c r="Y993" t="s">
        <v>2212</v>
      </c>
      <c r="Z993" s="1">
        <v>45586</v>
      </c>
      <c r="AA993" s="1">
        <v>45602</v>
      </c>
      <c r="AB993" t="s">
        <v>2214</v>
      </c>
      <c r="AC993" t="s">
        <v>2209</v>
      </c>
      <c r="AD993" t="s">
        <v>2216</v>
      </c>
      <c r="AE993" t="s">
        <v>2166</v>
      </c>
      <c r="AG993" t="s">
        <v>2220</v>
      </c>
      <c r="AH993">
        <v>98</v>
      </c>
      <c r="AI993">
        <v>114</v>
      </c>
      <c r="AJ993">
        <v>16</v>
      </c>
      <c r="AK993">
        <v>7</v>
      </c>
      <c r="AL993" t="s">
        <v>2226</v>
      </c>
      <c r="AM993">
        <v>0</v>
      </c>
      <c r="AN993" t="s">
        <v>2175</v>
      </c>
      <c r="AO993" t="s">
        <v>2175</v>
      </c>
      <c r="AP993" t="s">
        <v>2175</v>
      </c>
      <c r="AQ993">
        <v>195.36</v>
      </c>
      <c r="AR993">
        <v>3</v>
      </c>
      <c r="AS993">
        <v>3</v>
      </c>
      <c r="AT993">
        <v>3</v>
      </c>
      <c r="AU993">
        <v>3</v>
      </c>
      <c r="AV993">
        <v>3</v>
      </c>
      <c r="AW993">
        <v>4.8</v>
      </c>
      <c r="AY993">
        <v>4.8</v>
      </c>
      <c r="AZ993">
        <v>2</v>
      </c>
      <c r="BA993">
        <v>3</v>
      </c>
      <c r="BB993">
        <v>48</v>
      </c>
      <c r="BC993">
        <v>27</v>
      </c>
      <c r="BD993">
        <v>42.33</v>
      </c>
      <c r="BE993">
        <v>216</v>
      </c>
      <c r="BF993">
        <v>88.2</v>
      </c>
      <c r="BG993">
        <v>48</v>
      </c>
      <c r="BH993">
        <v>27</v>
      </c>
      <c r="BI993">
        <v>42.33</v>
      </c>
      <c r="BJ993">
        <v>216</v>
      </c>
      <c r="BK993">
        <v>88.2</v>
      </c>
      <c r="BL993">
        <v>216</v>
      </c>
      <c r="BM993">
        <v>6.4482999999999997</v>
      </c>
    </row>
    <row r="994" spans="1:65" x14ac:dyDescent="0.25">
      <c r="A994" t="s">
        <v>1057</v>
      </c>
      <c r="B994" t="s">
        <v>2034</v>
      </c>
      <c r="C994" t="s">
        <v>2159</v>
      </c>
      <c r="D994" s="1">
        <v>45427</v>
      </c>
      <c r="E994" s="1">
        <v>45461</v>
      </c>
      <c r="F994" s="1">
        <v>45577</v>
      </c>
      <c r="G994" t="s">
        <v>2166</v>
      </c>
      <c r="I994" t="s">
        <v>2175</v>
      </c>
      <c r="J994">
        <v>43535</v>
      </c>
      <c r="K994">
        <v>1306</v>
      </c>
      <c r="L994">
        <v>15.2</v>
      </c>
      <c r="M994">
        <v>11.9</v>
      </c>
      <c r="N994">
        <v>7</v>
      </c>
      <c r="O994">
        <v>15117</v>
      </c>
      <c r="P994" t="s">
        <v>2178</v>
      </c>
      <c r="Q994">
        <v>24</v>
      </c>
      <c r="R994">
        <v>36</v>
      </c>
      <c r="S994">
        <v>45</v>
      </c>
      <c r="T994">
        <v>414</v>
      </c>
      <c r="U994" t="s">
        <v>2166</v>
      </c>
      <c r="W994" t="s">
        <v>2208</v>
      </c>
      <c r="X994" t="s">
        <v>2210</v>
      </c>
      <c r="Y994" t="s">
        <v>2212</v>
      </c>
      <c r="Z994" s="1">
        <v>45566</v>
      </c>
      <c r="AA994" s="1">
        <v>45580</v>
      </c>
      <c r="AB994" t="s">
        <v>2215</v>
      </c>
      <c r="AC994" t="s">
        <v>2208</v>
      </c>
      <c r="AD994" t="s">
        <v>2216</v>
      </c>
      <c r="AE994" t="s">
        <v>2166</v>
      </c>
      <c r="AG994" t="s">
        <v>2220</v>
      </c>
      <c r="AH994">
        <v>105</v>
      </c>
      <c r="AI994">
        <v>119</v>
      </c>
      <c r="AJ994">
        <v>14</v>
      </c>
      <c r="AK994">
        <v>6</v>
      </c>
      <c r="AL994" t="s">
        <v>2223</v>
      </c>
      <c r="AM994">
        <v>0</v>
      </c>
      <c r="AN994" t="s">
        <v>2175</v>
      </c>
      <c r="AO994" t="s">
        <v>2175</v>
      </c>
      <c r="AP994" t="s">
        <v>2175</v>
      </c>
      <c r="AQ994">
        <v>180.88</v>
      </c>
      <c r="AR994">
        <v>3</v>
      </c>
      <c r="AS994">
        <v>3</v>
      </c>
      <c r="AT994">
        <v>3</v>
      </c>
      <c r="AU994">
        <v>3</v>
      </c>
      <c r="AV994">
        <v>3</v>
      </c>
      <c r="AW994">
        <v>4.8</v>
      </c>
      <c r="AY994">
        <v>4.8</v>
      </c>
      <c r="AZ994">
        <v>0</v>
      </c>
      <c r="BA994">
        <v>3</v>
      </c>
      <c r="BB994">
        <v>45</v>
      </c>
      <c r="BC994">
        <v>25</v>
      </c>
      <c r="BD994">
        <v>39.200000000000003</v>
      </c>
      <c r="BE994">
        <v>186</v>
      </c>
      <c r="BF994">
        <v>87.1</v>
      </c>
      <c r="BG994">
        <v>45</v>
      </c>
      <c r="BH994">
        <v>25</v>
      </c>
      <c r="BI994">
        <v>39.200000000000003</v>
      </c>
      <c r="BJ994">
        <v>186</v>
      </c>
      <c r="BK994">
        <v>87.1</v>
      </c>
      <c r="BL994">
        <v>186</v>
      </c>
      <c r="BM994">
        <v>9.3604000000000003</v>
      </c>
    </row>
    <row r="995" spans="1:65" x14ac:dyDescent="0.25">
      <c r="A995" t="s">
        <v>1058</v>
      </c>
      <c r="B995" t="s">
        <v>2035</v>
      </c>
      <c r="C995" t="s">
        <v>2160</v>
      </c>
      <c r="D995" s="1">
        <v>45302</v>
      </c>
      <c r="E995" s="1">
        <v>45353</v>
      </c>
      <c r="F995" s="1">
        <v>45466</v>
      </c>
      <c r="G995" t="s">
        <v>2166</v>
      </c>
      <c r="I995" t="s">
        <v>2175</v>
      </c>
      <c r="J995">
        <v>39682</v>
      </c>
      <c r="K995">
        <v>1190</v>
      </c>
      <c r="L995">
        <v>10.6</v>
      </c>
      <c r="M995">
        <v>16.899999999999999</v>
      </c>
      <c r="N995">
        <v>7</v>
      </c>
      <c r="O995">
        <v>18062</v>
      </c>
      <c r="P995" t="s">
        <v>2178</v>
      </c>
      <c r="Q995">
        <v>28</v>
      </c>
      <c r="R995">
        <v>39</v>
      </c>
      <c r="S995">
        <v>37</v>
      </c>
      <c r="T995">
        <v>381</v>
      </c>
      <c r="U995" t="s">
        <v>2166</v>
      </c>
      <c r="W995" t="s">
        <v>2208</v>
      </c>
      <c r="X995" t="s">
        <v>2210</v>
      </c>
      <c r="Y995" t="s">
        <v>2212</v>
      </c>
      <c r="Z995" s="1">
        <v>45457</v>
      </c>
      <c r="AA995" s="1">
        <v>45472</v>
      </c>
      <c r="AB995" t="s">
        <v>2215</v>
      </c>
      <c r="AC995" t="s">
        <v>2208</v>
      </c>
      <c r="AD995" t="s">
        <v>2216</v>
      </c>
      <c r="AE995" t="s">
        <v>2166</v>
      </c>
      <c r="AG995" t="s">
        <v>2220</v>
      </c>
      <c r="AH995">
        <v>104</v>
      </c>
      <c r="AI995">
        <v>119</v>
      </c>
      <c r="AJ995">
        <v>15</v>
      </c>
      <c r="AK995">
        <v>3</v>
      </c>
      <c r="AL995" t="s">
        <v>2227</v>
      </c>
      <c r="AM995">
        <v>0</v>
      </c>
      <c r="AN995" t="s">
        <v>2175</v>
      </c>
      <c r="AO995" t="s">
        <v>2175</v>
      </c>
      <c r="AP995" t="s">
        <v>2175</v>
      </c>
      <c r="AQ995">
        <v>179.14</v>
      </c>
      <c r="AR995">
        <v>3</v>
      </c>
      <c r="AS995">
        <v>3</v>
      </c>
      <c r="AT995">
        <v>3</v>
      </c>
      <c r="AU995">
        <v>3</v>
      </c>
      <c r="AV995">
        <v>3</v>
      </c>
      <c r="AW995">
        <v>4.8</v>
      </c>
      <c r="AY995">
        <v>4.8</v>
      </c>
      <c r="AZ995">
        <v>1</v>
      </c>
      <c r="BA995">
        <v>3</v>
      </c>
      <c r="BB995">
        <v>49</v>
      </c>
      <c r="BC995">
        <v>26</v>
      </c>
      <c r="BD995">
        <v>43.12</v>
      </c>
      <c r="BE995">
        <v>216</v>
      </c>
      <c r="BF995">
        <v>88</v>
      </c>
      <c r="BG995">
        <v>49</v>
      </c>
      <c r="BH995">
        <v>26</v>
      </c>
      <c r="BI995">
        <v>43.12</v>
      </c>
      <c r="BJ995">
        <v>216</v>
      </c>
      <c r="BK995">
        <v>88</v>
      </c>
      <c r="BL995">
        <v>216</v>
      </c>
      <c r="BM995">
        <v>7.0646000000000004</v>
      </c>
    </row>
    <row r="996" spans="1:65" x14ac:dyDescent="0.25">
      <c r="A996" t="s">
        <v>1059</v>
      </c>
      <c r="B996" t="s">
        <v>2036</v>
      </c>
      <c r="C996" t="s">
        <v>2158</v>
      </c>
      <c r="D996" s="1">
        <v>45541</v>
      </c>
      <c r="E996" s="1">
        <v>45579</v>
      </c>
      <c r="F996" s="1">
        <v>45714</v>
      </c>
      <c r="G996" t="s">
        <v>2166</v>
      </c>
      <c r="I996" t="s">
        <v>2175</v>
      </c>
      <c r="J996">
        <v>43343</v>
      </c>
      <c r="K996">
        <v>1300</v>
      </c>
      <c r="L996">
        <v>17.2</v>
      </c>
      <c r="M996">
        <v>16.5</v>
      </c>
      <c r="N996">
        <v>7</v>
      </c>
      <c r="O996">
        <v>15786</v>
      </c>
      <c r="P996" t="s">
        <v>2178</v>
      </c>
      <c r="Q996">
        <v>25</v>
      </c>
      <c r="R996">
        <v>40</v>
      </c>
      <c r="S996">
        <v>55</v>
      </c>
      <c r="T996">
        <v>361</v>
      </c>
      <c r="U996" t="s">
        <v>2166</v>
      </c>
      <c r="W996" t="s">
        <v>2208</v>
      </c>
      <c r="X996" t="s">
        <v>2210</v>
      </c>
      <c r="Y996" t="s">
        <v>2212</v>
      </c>
      <c r="Z996" s="1">
        <v>45699</v>
      </c>
      <c r="AA996" s="1">
        <v>45716</v>
      </c>
      <c r="AB996" t="s">
        <v>2214</v>
      </c>
      <c r="AC996" t="s">
        <v>2209</v>
      </c>
      <c r="AD996" t="s">
        <v>2216</v>
      </c>
      <c r="AE996" t="s">
        <v>2166</v>
      </c>
      <c r="AG996" t="s">
        <v>2220</v>
      </c>
      <c r="AH996">
        <v>120</v>
      </c>
      <c r="AI996">
        <v>137</v>
      </c>
      <c r="AJ996">
        <v>17</v>
      </c>
      <c r="AK996">
        <v>10</v>
      </c>
      <c r="AL996" t="s">
        <v>2230</v>
      </c>
      <c r="AM996">
        <v>1</v>
      </c>
      <c r="AN996" t="s">
        <v>2175</v>
      </c>
      <c r="AO996" t="s">
        <v>2175</v>
      </c>
      <c r="AP996" t="s">
        <v>2175</v>
      </c>
      <c r="AQ996">
        <v>283.8</v>
      </c>
      <c r="AR996">
        <v>3</v>
      </c>
      <c r="AS996">
        <v>3</v>
      </c>
      <c r="AT996">
        <v>3</v>
      </c>
      <c r="AU996">
        <v>3</v>
      </c>
      <c r="AV996">
        <v>3</v>
      </c>
      <c r="AW996">
        <v>4.8</v>
      </c>
      <c r="AY996">
        <v>4.8</v>
      </c>
      <c r="AZ996">
        <v>2</v>
      </c>
      <c r="BA996">
        <v>3</v>
      </c>
      <c r="BB996">
        <v>50</v>
      </c>
      <c r="BC996">
        <v>27</v>
      </c>
      <c r="BD996">
        <v>42.44</v>
      </c>
      <c r="BE996">
        <v>220</v>
      </c>
      <c r="BF996">
        <v>84.9</v>
      </c>
      <c r="BG996">
        <v>50</v>
      </c>
      <c r="BH996">
        <v>27</v>
      </c>
      <c r="BI996">
        <v>42.44</v>
      </c>
      <c r="BJ996">
        <v>220</v>
      </c>
      <c r="BK996">
        <v>84.9</v>
      </c>
      <c r="BL996">
        <v>220</v>
      </c>
      <c r="BM996">
        <v>7.2956000000000003</v>
      </c>
    </row>
    <row r="997" spans="1:65" x14ac:dyDescent="0.25">
      <c r="A997" t="s">
        <v>1060</v>
      </c>
      <c r="B997" t="s">
        <v>2037</v>
      </c>
      <c r="C997" t="s">
        <v>2157</v>
      </c>
      <c r="D997" s="1">
        <v>45387</v>
      </c>
      <c r="E997" s="1">
        <v>45431</v>
      </c>
      <c r="F997" s="1">
        <v>45547</v>
      </c>
      <c r="G997" t="s">
        <v>2165</v>
      </c>
      <c r="I997" t="s">
        <v>2175</v>
      </c>
      <c r="J997">
        <v>35140</v>
      </c>
      <c r="K997">
        <v>1054</v>
      </c>
      <c r="L997">
        <v>14</v>
      </c>
      <c r="M997">
        <v>11.9</v>
      </c>
      <c r="N997">
        <v>8</v>
      </c>
      <c r="O997">
        <v>18052</v>
      </c>
      <c r="P997" t="s">
        <v>2178</v>
      </c>
      <c r="Q997">
        <v>28</v>
      </c>
      <c r="R997">
        <v>45</v>
      </c>
      <c r="S997">
        <v>32</v>
      </c>
      <c r="T997">
        <v>334</v>
      </c>
      <c r="U997" t="s">
        <v>2165</v>
      </c>
      <c r="W997" t="s">
        <v>2208</v>
      </c>
      <c r="X997" t="s">
        <v>2210</v>
      </c>
      <c r="Y997" t="s">
        <v>2212</v>
      </c>
      <c r="Z997" s="1">
        <v>45536</v>
      </c>
      <c r="AA997" s="1">
        <v>45552</v>
      </c>
      <c r="AB997" t="s">
        <v>2215</v>
      </c>
      <c r="AC997" t="s">
        <v>2208</v>
      </c>
      <c r="AD997" t="s">
        <v>2216</v>
      </c>
      <c r="AE997" t="s">
        <v>2165</v>
      </c>
      <c r="AG997" t="s">
        <v>2220</v>
      </c>
      <c r="AH997">
        <v>105</v>
      </c>
      <c r="AI997">
        <v>121</v>
      </c>
      <c r="AJ997">
        <v>16</v>
      </c>
      <c r="AK997">
        <v>5</v>
      </c>
      <c r="AL997" t="s">
        <v>2224</v>
      </c>
      <c r="AM997">
        <v>0</v>
      </c>
      <c r="AN997" t="s">
        <v>2175</v>
      </c>
      <c r="AO997" t="s">
        <v>2175</v>
      </c>
      <c r="AP997" t="s">
        <v>2175</v>
      </c>
      <c r="AQ997">
        <v>166.6</v>
      </c>
      <c r="AR997">
        <v>3</v>
      </c>
      <c r="AS997">
        <v>3</v>
      </c>
      <c r="AT997">
        <v>3</v>
      </c>
      <c r="AU997">
        <v>3</v>
      </c>
      <c r="AV997">
        <v>3</v>
      </c>
      <c r="AW997">
        <v>4.5999999999999996</v>
      </c>
      <c r="AY997">
        <v>4.5999999999999996</v>
      </c>
      <c r="AZ997">
        <v>3</v>
      </c>
      <c r="BA997">
        <v>3</v>
      </c>
      <c r="BB997">
        <v>36</v>
      </c>
      <c r="BC997">
        <v>27</v>
      </c>
      <c r="BD997">
        <v>31.37</v>
      </c>
      <c r="BE997">
        <v>158</v>
      </c>
      <c r="BF997">
        <v>87.1</v>
      </c>
      <c r="BG997">
        <v>36</v>
      </c>
      <c r="BH997">
        <v>27</v>
      </c>
      <c r="BI997">
        <v>31.37</v>
      </c>
      <c r="BJ997">
        <v>158</v>
      </c>
      <c r="BK997">
        <v>87.1</v>
      </c>
      <c r="BL997">
        <v>158</v>
      </c>
      <c r="BM997">
        <v>8.2353000000000005</v>
      </c>
    </row>
    <row r="998" spans="1:65" x14ac:dyDescent="0.25">
      <c r="A998" t="s">
        <v>1061</v>
      </c>
      <c r="B998" t="s">
        <v>2038</v>
      </c>
      <c r="C998" t="s">
        <v>2158</v>
      </c>
      <c r="D998" s="1">
        <v>45283</v>
      </c>
      <c r="E998" s="1">
        <v>45306</v>
      </c>
      <c r="F998" s="1">
        <v>45390</v>
      </c>
      <c r="G998" t="s">
        <v>2166</v>
      </c>
      <c r="I998" t="s">
        <v>2175</v>
      </c>
      <c r="J998">
        <v>18182</v>
      </c>
      <c r="K998">
        <v>545</v>
      </c>
      <c r="L998">
        <v>13.9</v>
      </c>
      <c r="M998">
        <v>14</v>
      </c>
      <c r="N998">
        <v>7</v>
      </c>
      <c r="O998">
        <v>15870</v>
      </c>
      <c r="P998" t="s">
        <v>2178</v>
      </c>
      <c r="Q998">
        <v>16</v>
      </c>
      <c r="R998">
        <v>24</v>
      </c>
      <c r="S998">
        <v>26</v>
      </c>
      <c r="T998">
        <v>275</v>
      </c>
      <c r="U998" t="s">
        <v>2166</v>
      </c>
      <c r="W998" t="s">
        <v>2208</v>
      </c>
      <c r="X998" t="s">
        <v>2210</v>
      </c>
      <c r="Y998" t="s">
        <v>2212</v>
      </c>
      <c r="Z998" s="1">
        <v>45372</v>
      </c>
      <c r="AA998" s="1">
        <v>45387</v>
      </c>
      <c r="AB998" t="s">
        <v>2214</v>
      </c>
      <c r="AC998" t="s">
        <v>2209</v>
      </c>
      <c r="AD998" t="s">
        <v>2216</v>
      </c>
      <c r="AE998" t="s">
        <v>2166</v>
      </c>
      <c r="AG998" t="s">
        <v>2220</v>
      </c>
      <c r="AH998">
        <v>66</v>
      </c>
      <c r="AI998">
        <v>81</v>
      </c>
      <c r="AJ998">
        <v>15</v>
      </c>
      <c r="AK998">
        <v>1</v>
      </c>
      <c r="AL998" t="s">
        <v>2233</v>
      </c>
      <c r="AM998">
        <v>0</v>
      </c>
      <c r="AN998" t="s">
        <v>2175</v>
      </c>
      <c r="AO998" t="s">
        <v>2175</v>
      </c>
      <c r="AP998" t="s">
        <v>2175</v>
      </c>
      <c r="AQ998">
        <v>194.6</v>
      </c>
      <c r="AR998">
        <v>3</v>
      </c>
      <c r="AS998">
        <v>3</v>
      </c>
      <c r="AT998">
        <v>3</v>
      </c>
      <c r="AU998">
        <v>3</v>
      </c>
      <c r="AV998">
        <v>3</v>
      </c>
      <c r="AW998">
        <v>4.8</v>
      </c>
      <c r="AY998">
        <v>4.8</v>
      </c>
      <c r="AZ998">
        <v>2</v>
      </c>
      <c r="BA998">
        <v>3</v>
      </c>
      <c r="BB998">
        <v>40</v>
      </c>
      <c r="BC998">
        <v>27</v>
      </c>
      <c r="BD998">
        <v>35.07</v>
      </c>
      <c r="BE998">
        <v>181</v>
      </c>
      <c r="BF998">
        <v>87.7</v>
      </c>
      <c r="BG998">
        <v>40</v>
      </c>
      <c r="BH998">
        <v>27</v>
      </c>
      <c r="BI998">
        <v>35.07</v>
      </c>
      <c r="BJ998">
        <v>181</v>
      </c>
      <c r="BK998">
        <v>87.7</v>
      </c>
      <c r="BL998">
        <v>181</v>
      </c>
      <c r="BM998">
        <v>3.7197</v>
      </c>
    </row>
    <row r="999" spans="1:65" x14ac:dyDescent="0.25">
      <c r="A999" t="s">
        <v>1062</v>
      </c>
      <c r="B999" t="s">
        <v>2039</v>
      </c>
      <c r="C999" t="s">
        <v>2159</v>
      </c>
      <c r="D999" s="1">
        <v>45329</v>
      </c>
      <c r="E999" s="1">
        <v>45353</v>
      </c>
      <c r="F999" s="1">
        <v>45469</v>
      </c>
      <c r="G999" t="s">
        <v>2166</v>
      </c>
      <c r="I999" t="s">
        <v>2175</v>
      </c>
      <c r="J999">
        <v>39370</v>
      </c>
      <c r="K999">
        <v>1181</v>
      </c>
      <c r="L999">
        <v>15.1</v>
      </c>
      <c r="M999">
        <v>17</v>
      </c>
      <c r="N999">
        <v>8</v>
      </c>
      <c r="O999">
        <v>16712</v>
      </c>
      <c r="P999" t="s">
        <v>2178</v>
      </c>
      <c r="Q999">
        <v>25</v>
      </c>
      <c r="R999">
        <v>35</v>
      </c>
      <c r="S999">
        <v>41</v>
      </c>
      <c r="T999">
        <v>389</v>
      </c>
      <c r="U999" t="s">
        <v>2166</v>
      </c>
      <c r="W999" t="s">
        <v>2208</v>
      </c>
      <c r="X999" t="s">
        <v>2210</v>
      </c>
      <c r="Y999" t="s">
        <v>2212</v>
      </c>
      <c r="Z999" s="1">
        <v>45454</v>
      </c>
      <c r="AA999" s="1">
        <v>45475</v>
      </c>
      <c r="AB999" t="s">
        <v>2214</v>
      </c>
      <c r="AC999" t="s">
        <v>2209</v>
      </c>
      <c r="AD999" t="s">
        <v>2216</v>
      </c>
      <c r="AE999" t="s">
        <v>2166</v>
      </c>
      <c r="AG999" t="s">
        <v>2220</v>
      </c>
      <c r="AH999">
        <v>101</v>
      </c>
      <c r="AI999">
        <v>122</v>
      </c>
      <c r="AJ999">
        <v>21</v>
      </c>
      <c r="AK999">
        <v>3</v>
      </c>
      <c r="AL999" t="s">
        <v>2227</v>
      </c>
      <c r="AM999">
        <v>0</v>
      </c>
      <c r="AN999" t="s">
        <v>2175</v>
      </c>
      <c r="AO999" t="s">
        <v>2175</v>
      </c>
      <c r="AP999" t="s">
        <v>2175</v>
      </c>
      <c r="AQ999">
        <v>256.7</v>
      </c>
      <c r="AR999">
        <v>3</v>
      </c>
      <c r="AS999">
        <v>3</v>
      </c>
      <c r="AT999">
        <v>3</v>
      </c>
      <c r="AU999">
        <v>3</v>
      </c>
      <c r="AV999">
        <v>3</v>
      </c>
      <c r="AW999">
        <v>4.8</v>
      </c>
      <c r="AY999">
        <v>4.8</v>
      </c>
      <c r="AZ999">
        <v>0</v>
      </c>
      <c r="BA999">
        <v>3</v>
      </c>
      <c r="BB999">
        <v>49</v>
      </c>
      <c r="BC999">
        <v>26</v>
      </c>
      <c r="BD999">
        <v>43.12</v>
      </c>
      <c r="BE999">
        <v>216</v>
      </c>
      <c r="BF999">
        <v>88</v>
      </c>
      <c r="BG999">
        <v>49</v>
      </c>
      <c r="BH999">
        <v>26</v>
      </c>
      <c r="BI999">
        <v>43.12</v>
      </c>
      <c r="BJ999">
        <v>216</v>
      </c>
      <c r="BK999">
        <v>88</v>
      </c>
      <c r="BL999">
        <v>216</v>
      </c>
      <c r="BM999">
        <v>7.0091000000000001</v>
      </c>
    </row>
    <row r="1000" spans="1:65" x14ac:dyDescent="0.25">
      <c r="A1000" t="s">
        <v>1063</v>
      </c>
      <c r="B1000" t="s">
        <v>2040</v>
      </c>
      <c r="C1000" t="s">
        <v>2158</v>
      </c>
      <c r="D1000" s="1">
        <v>45344</v>
      </c>
      <c r="E1000" s="1">
        <v>45399</v>
      </c>
      <c r="F1000" s="1">
        <v>45511</v>
      </c>
      <c r="G1000" t="s">
        <v>2166</v>
      </c>
      <c r="I1000" t="s">
        <v>2175</v>
      </c>
      <c r="J1000">
        <v>36702</v>
      </c>
      <c r="K1000">
        <v>1101</v>
      </c>
      <c r="L1000">
        <v>11.4</v>
      </c>
      <c r="M1000">
        <v>12.1</v>
      </c>
      <c r="N1000">
        <v>8</v>
      </c>
      <c r="O1000">
        <v>17053</v>
      </c>
      <c r="P1000" t="s">
        <v>2178</v>
      </c>
      <c r="Q1000">
        <v>28</v>
      </c>
      <c r="R1000">
        <v>41</v>
      </c>
      <c r="S1000">
        <v>34</v>
      </c>
      <c r="T1000">
        <v>356</v>
      </c>
      <c r="U1000" t="s">
        <v>2166</v>
      </c>
      <c r="W1000" t="s">
        <v>2208</v>
      </c>
      <c r="X1000" t="s">
        <v>2210</v>
      </c>
      <c r="Y1000" t="s">
        <v>2212</v>
      </c>
      <c r="Z1000" s="1">
        <v>45502</v>
      </c>
      <c r="AA1000" s="1">
        <v>45520</v>
      </c>
      <c r="AB1000" t="s">
        <v>2215</v>
      </c>
      <c r="AC1000" t="s">
        <v>2208</v>
      </c>
      <c r="AD1000" t="s">
        <v>2216</v>
      </c>
      <c r="AE1000" t="s">
        <v>2166</v>
      </c>
      <c r="AG1000" t="s">
        <v>2220</v>
      </c>
      <c r="AH1000">
        <v>103</v>
      </c>
      <c r="AI1000">
        <v>121</v>
      </c>
      <c r="AJ1000">
        <v>18</v>
      </c>
      <c r="AK1000">
        <v>4</v>
      </c>
      <c r="AL1000" t="s">
        <v>2225</v>
      </c>
      <c r="AM1000">
        <v>0</v>
      </c>
      <c r="AN1000" t="s">
        <v>2175</v>
      </c>
      <c r="AO1000" t="s">
        <v>2175</v>
      </c>
      <c r="AP1000" t="s">
        <v>2175</v>
      </c>
      <c r="AQ1000">
        <v>137.94</v>
      </c>
      <c r="AR1000">
        <v>3</v>
      </c>
      <c r="AS1000">
        <v>3</v>
      </c>
      <c r="AT1000">
        <v>3</v>
      </c>
      <c r="AU1000">
        <v>3</v>
      </c>
      <c r="AV1000">
        <v>3</v>
      </c>
      <c r="AW1000">
        <v>4.8</v>
      </c>
      <c r="AY1000">
        <v>4.8</v>
      </c>
      <c r="AZ1000">
        <v>2</v>
      </c>
      <c r="BA1000">
        <v>3</v>
      </c>
      <c r="BB1000">
        <v>45</v>
      </c>
      <c r="BC1000">
        <v>26</v>
      </c>
      <c r="BD1000">
        <v>40.270000000000003</v>
      </c>
      <c r="BE1000">
        <v>199</v>
      </c>
      <c r="BF1000">
        <v>89.5</v>
      </c>
      <c r="BG1000">
        <v>45</v>
      </c>
      <c r="BH1000">
        <v>26</v>
      </c>
      <c r="BI1000">
        <v>40.270000000000003</v>
      </c>
      <c r="BJ1000">
        <v>199</v>
      </c>
      <c r="BK1000">
        <v>89.5</v>
      </c>
      <c r="BL1000">
        <v>199</v>
      </c>
      <c r="BM1000">
        <v>7.0922000000000001</v>
      </c>
    </row>
    <row r="1001" spans="1:65" x14ac:dyDescent="0.25">
      <c r="A1001" t="s">
        <v>1064</v>
      </c>
      <c r="B1001" t="s">
        <v>2041</v>
      </c>
      <c r="C1001" t="s">
        <v>2158</v>
      </c>
      <c r="D1001" s="1">
        <v>45532</v>
      </c>
      <c r="E1001" s="1">
        <v>45575</v>
      </c>
      <c r="F1001" s="1">
        <v>45635</v>
      </c>
      <c r="G1001" t="s">
        <v>2166</v>
      </c>
      <c r="I1001" t="s">
        <v>2175</v>
      </c>
      <c r="J1001">
        <v>15324</v>
      </c>
      <c r="K1001">
        <v>459</v>
      </c>
      <c r="L1001">
        <v>17.8</v>
      </c>
      <c r="M1001">
        <v>13.5</v>
      </c>
      <c r="N1001">
        <v>8</v>
      </c>
      <c r="O1001">
        <v>15364</v>
      </c>
      <c r="P1001" t="s">
        <v>2178</v>
      </c>
      <c r="Q1001">
        <v>8</v>
      </c>
      <c r="R1001">
        <v>13</v>
      </c>
      <c r="S1001">
        <v>23</v>
      </c>
      <c r="T1001">
        <v>348</v>
      </c>
      <c r="U1001" t="s">
        <v>2166</v>
      </c>
      <c r="W1001" t="s">
        <v>2208</v>
      </c>
      <c r="X1001" t="s">
        <v>2210</v>
      </c>
      <c r="Y1001" t="s">
        <v>2212</v>
      </c>
      <c r="Z1001" s="1">
        <v>45619</v>
      </c>
      <c r="AA1001" s="1">
        <v>45637</v>
      </c>
      <c r="AB1001" t="s">
        <v>2214</v>
      </c>
      <c r="AC1001" t="s">
        <v>2209</v>
      </c>
      <c r="AD1001" t="s">
        <v>2216</v>
      </c>
      <c r="AE1001" t="s">
        <v>2166</v>
      </c>
      <c r="AG1001" t="s">
        <v>2220</v>
      </c>
      <c r="AH1001">
        <v>44</v>
      </c>
      <c r="AI1001">
        <v>62</v>
      </c>
      <c r="AJ1001">
        <v>18</v>
      </c>
      <c r="AK1001">
        <v>10</v>
      </c>
      <c r="AL1001" t="s">
        <v>2230</v>
      </c>
      <c r="AM1001">
        <v>1</v>
      </c>
      <c r="AN1001" t="s">
        <v>2175</v>
      </c>
      <c r="AO1001" t="s">
        <v>2175</v>
      </c>
      <c r="AP1001" t="s">
        <v>2175</v>
      </c>
      <c r="AQ1001">
        <v>240.3</v>
      </c>
      <c r="AR1001">
        <v>3</v>
      </c>
      <c r="AS1001">
        <v>3</v>
      </c>
      <c r="AT1001">
        <v>3</v>
      </c>
      <c r="AU1001">
        <v>3</v>
      </c>
      <c r="AV1001">
        <v>3</v>
      </c>
      <c r="AW1001">
        <v>4.8</v>
      </c>
      <c r="AY1001">
        <v>4.8</v>
      </c>
      <c r="AZ1001">
        <v>2</v>
      </c>
      <c r="BA1001">
        <v>3</v>
      </c>
      <c r="BB1001">
        <v>50</v>
      </c>
      <c r="BC1001">
        <v>27</v>
      </c>
      <c r="BD1001">
        <v>42.44</v>
      </c>
      <c r="BE1001">
        <v>220</v>
      </c>
      <c r="BF1001">
        <v>84.9</v>
      </c>
      <c r="BG1001">
        <v>50</v>
      </c>
      <c r="BH1001">
        <v>27</v>
      </c>
      <c r="BI1001">
        <v>42.44</v>
      </c>
      <c r="BJ1001">
        <v>220</v>
      </c>
      <c r="BK1001">
        <v>84.9</v>
      </c>
      <c r="BL1001">
        <v>220</v>
      </c>
      <c r="BM1001">
        <v>2.5794000000000001</v>
      </c>
    </row>
    <row r="1002" spans="1:65" x14ac:dyDescent="0.25">
      <c r="A1002" t="s">
        <v>1065</v>
      </c>
      <c r="B1002" t="s">
        <v>2042</v>
      </c>
      <c r="C1002" t="s">
        <v>2159</v>
      </c>
      <c r="D1002" s="1">
        <v>45249</v>
      </c>
      <c r="E1002" s="1">
        <v>45299</v>
      </c>
      <c r="F1002" s="1">
        <v>45402</v>
      </c>
      <c r="G1002" t="s">
        <v>2166</v>
      </c>
      <c r="I1002" t="s">
        <v>2175</v>
      </c>
      <c r="J1002">
        <v>31105</v>
      </c>
      <c r="K1002">
        <v>933</v>
      </c>
      <c r="L1002">
        <v>10.1</v>
      </c>
      <c r="M1002">
        <v>13.5</v>
      </c>
      <c r="N1002">
        <v>8</v>
      </c>
      <c r="O1002">
        <v>18081</v>
      </c>
      <c r="P1002" t="s">
        <v>2178</v>
      </c>
      <c r="Q1002">
        <v>19</v>
      </c>
      <c r="R1002">
        <v>31</v>
      </c>
      <c r="S1002">
        <v>35</v>
      </c>
      <c r="T1002">
        <v>365</v>
      </c>
      <c r="U1002" t="s">
        <v>2166</v>
      </c>
      <c r="W1002" t="s">
        <v>2208</v>
      </c>
      <c r="X1002" t="s">
        <v>2210</v>
      </c>
      <c r="Y1002" t="s">
        <v>2212</v>
      </c>
      <c r="Z1002" s="1">
        <v>45384</v>
      </c>
      <c r="AA1002" s="1">
        <v>45405</v>
      </c>
      <c r="AB1002" t="s">
        <v>2214</v>
      </c>
      <c r="AC1002" t="s">
        <v>2209</v>
      </c>
      <c r="AD1002" t="s">
        <v>2216</v>
      </c>
      <c r="AE1002" t="s">
        <v>2166</v>
      </c>
      <c r="AG1002" t="s">
        <v>2220</v>
      </c>
      <c r="AH1002">
        <v>85</v>
      </c>
      <c r="AI1002">
        <v>106</v>
      </c>
      <c r="AJ1002">
        <v>21</v>
      </c>
      <c r="AK1002">
        <v>1</v>
      </c>
      <c r="AL1002" t="s">
        <v>2233</v>
      </c>
      <c r="AM1002">
        <v>0</v>
      </c>
      <c r="AN1002" t="s">
        <v>2175</v>
      </c>
      <c r="AO1002" t="s">
        <v>2175</v>
      </c>
      <c r="AP1002" t="s">
        <v>2175</v>
      </c>
      <c r="AQ1002">
        <v>136.35</v>
      </c>
      <c r="AR1002">
        <v>3</v>
      </c>
      <c r="AS1002">
        <v>3</v>
      </c>
      <c r="AT1002">
        <v>3</v>
      </c>
      <c r="AU1002">
        <v>3</v>
      </c>
      <c r="AV1002">
        <v>3</v>
      </c>
      <c r="AW1002">
        <v>4.8</v>
      </c>
      <c r="AY1002">
        <v>4.8</v>
      </c>
      <c r="AZ1002">
        <v>0</v>
      </c>
      <c r="BA1002">
        <v>3</v>
      </c>
      <c r="BB1002">
        <v>40</v>
      </c>
      <c r="BC1002">
        <v>27</v>
      </c>
      <c r="BD1002">
        <v>35.07</v>
      </c>
      <c r="BE1002">
        <v>181</v>
      </c>
      <c r="BF1002">
        <v>87.7</v>
      </c>
      <c r="BG1002">
        <v>40</v>
      </c>
      <c r="BH1002">
        <v>27</v>
      </c>
      <c r="BI1002">
        <v>35.07</v>
      </c>
      <c r="BJ1002">
        <v>181</v>
      </c>
      <c r="BK1002">
        <v>87.7</v>
      </c>
      <c r="BL1002">
        <v>181</v>
      </c>
      <c r="BM1002">
        <v>6.3635000000000002</v>
      </c>
    </row>
    <row r="1003" spans="1:65" x14ac:dyDescent="0.25">
      <c r="A1003" t="s">
        <v>1066</v>
      </c>
      <c r="B1003" t="s">
        <v>2043</v>
      </c>
      <c r="C1003" t="s">
        <v>2157</v>
      </c>
      <c r="D1003" s="1">
        <v>45246</v>
      </c>
      <c r="E1003" s="1">
        <v>45302</v>
      </c>
      <c r="F1003" s="1">
        <v>45385</v>
      </c>
      <c r="G1003" t="s">
        <v>2165</v>
      </c>
      <c r="I1003" t="s">
        <v>2175</v>
      </c>
      <c r="J1003">
        <v>22928</v>
      </c>
      <c r="K1003">
        <v>687</v>
      </c>
      <c r="L1003">
        <v>16.2</v>
      </c>
      <c r="M1003">
        <v>10.199999999999999</v>
      </c>
      <c r="N1003">
        <v>8</v>
      </c>
      <c r="O1003">
        <v>15625</v>
      </c>
      <c r="P1003" t="s">
        <v>2178</v>
      </c>
      <c r="Q1003">
        <v>12</v>
      </c>
      <c r="R1003">
        <v>18</v>
      </c>
      <c r="S1003">
        <v>38</v>
      </c>
      <c r="T1003">
        <v>337</v>
      </c>
      <c r="U1003" t="s">
        <v>2165</v>
      </c>
      <c r="W1003" t="s">
        <v>2208</v>
      </c>
      <c r="X1003" t="s">
        <v>2210</v>
      </c>
      <c r="Y1003" t="s">
        <v>2212</v>
      </c>
      <c r="Z1003" s="1">
        <v>45370</v>
      </c>
      <c r="AA1003" s="1">
        <v>45390</v>
      </c>
      <c r="AB1003" t="s">
        <v>2214</v>
      </c>
      <c r="AC1003" t="s">
        <v>2209</v>
      </c>
      <c r="AD1003" t="s">
        <v>2216</v>
      </c>
      <c r="AE1003" t="s">
        <v>2165</v>
      </c>
      <c r="AG1003" t="s">
        <v>2220</v>
      </c>
      <c r="AH1003">
        <v>68</v>
      </c>
      <c r="AI1003">
        <v>88</v>
      </c>
      <c r="AJ1003">
        <v>20</v>
      </c>
      <c r="AK1003">
        <v>1</v>
      </c>
      <c r="AL1003" t="s">
        <v>2233</v>
      </c>
      <c r="AM1003">
        <v>0</v>
      </c>
      <c r="AN1003" t="s">
        <v>2175</v>
      </c>
      <c r="AO1003" t="s">
        <v>2175</v>
      </c>
      <c r="AP1003" t="s">
        <v>2175</v>
      </c>
      <c r="AQ1003">
        <v>165.24</v>
      </c>
      <c r="AR1003">
        <v>3</v>
      </c>
      <c r="AS1003">
        <v>3</v>
      </c>
      <c r="AT1003">
        <v>3</v>
      </c>
      <c r="AU1003">
        <v>3</v>
      </c>
      <c r="AV1003">
        <v>3</v>
      </c>
      <c r="AW1003">
        <v>4.5999999999999996</v>
      </c>
      <c r="AY1003">
        <v>4.5999999999999996</v>
      </c>
      <c r="AZ1003">
        <v>3</v>
      </c>
      <c r="BA1003">
        <v>3</v>
      </c>
      <c r="BB1003">
        <v>43</v>
      </c>
      <c r="BC1003">
        <v>27</v>
      </c>
      <c r="BD1003">
        <v>38.299999999999997</v>
      </c>
      <c r="BE1003">
        <v>197</v>
      </c>
      <c r="BF1003">
        <v>89.1</v>
      </c>
      <c r="BG1003">
        <v>43</v>
      </c>
      <c r="BH1003">
        <v>27</v>
      </c>
      <c r="BI1003">
        <v>38.299999999999997</v>
      </c>
      <c r="BJ1003">
        <v>197</v>
      </c>
      <c r="BK1003">
        <v>89.1</v>
      </c>
      <c r="BL1003">
        <v>197</v>
      </c>
      <c r="BM1003">
        <v>4.3098000000000001</v>
      </c>
    </row>
    <row r="1004" spans="1:65" x14ac:dyDescent="0.25">
      <c r="A1004" t="s">
        <v>1067</v>
      </c>
      <c r="B1004" t="s">
        <v>2044</v>
      </c>
      <c r="C1004" t="s">
        <v>2160</v>
      </c>
      <c r="D1004" s="1">
        <v>45435</v>
      </c>
      <c r="E1004" s="1">
        <v>45480</v>
      </c>
      <c r="F1004" s="1">
        <v>45606</v>
      </c>
      <c r="G1004" t="s">
        <v>2165</v>
      </c>
      <c r="I1004" t="s">
        <v>2175</v>
      </c>
      <c r="J1004">
        <v>39666</v>
      </c>
      <c r="K1004">
        <v>1189</v>
      </c>
      <c r="L1004">
        <v>17.3</v>
      </c>
      <c r="M1004">
        <v>12.1</v>
      </c>
      <c r="N1004">
        <v>8</v>
      </c>
      <c r="O1004">
        <v>19490</v>
      </c>
      <c r="P1004" t="s">
        <v>2178</v>
      </c>
      <c r="Q1004">
        <v>32</v>
      </c>
      <c r="R1004">
        <v>43</v>
      </c>
      <c r="S1004">
        <v>35</v>
      </c>
      <c r="T1004">
        <v>360</v>
      </c>
      <c r="U1004" t="s">
        <v>2165</v>
      </c>
      <c r="W1004" t="s">
        <v>2208</v>
      </c>
      <c r="X1004" t="s">
        <v>2210</v>
      </c>
      <c r="Y1004" t="s">
        <v>2212</v>
      </c>
      <c r="Z1004" s="1">
        <v>45590</v>
      </c>
      <c r="AA1004" s="1">
        <v>45603</v>
      </c>
      <c r="AB1004" t="s">
        <v>2214</v>
      </c>
      <c r="AC1004" t="s">
        <v>2209</v>
      </c>
      <c r="AD1004" t="s">
        <v>2216</v>
      </c>
      <c r="AE1004" t="s">
        <v>2165</v>
      </c>
      <c r="AG1004" t="s">
        <v>2220</v>
      </c>
      <c r="AH1004">
        <v>110</v>
      </c>
      <c r="AI1004">
        <v>123</v>
      </c>
      <c r="AJ1004">
        <v>13</v>
      </c>
      <c r="AK1004">
        <v>7</v>
      </c>
      <c r="AL1004" t="s">
        <v>2226</v>
      </c>
      <c r="AM1004">
        <v>0</v>
      </c>
      <c r="AN1004" t="s">
        <v>2175</v>
      </c>
      <c r="AO1004" t="s">
        <v>2175</v>
      </c>
      <c r="AP1004" t="s">
        <v>2175</v>
      </c>
      <c r="AQ1004">
        <v>209.33</v>
      </c>
      <c r="AR1004">
        <v>3</v>
      </c>
      <c r="AS1004">
        <v>3</v>
      </c>
      <c r="AT1004">
        <v>3</v>
      </c>
      <c r="AU1004">
        <v>3</v>
      </c>
      <c r="AV1004">
        <v>3</v>
      </c>
      <c r="AW1004">
        <v>4.5999999999999996</v>
      </c>
      <c r="AY1004">
        <v>4.5999999999999996</v>
      </c>
      <c r="AZ1004">
        <v>1</v>
      </c>
      <c r="BA1004">
        <v>3</v>
      </c>
      <c r="BB1004">
        <v>38</v>
      </c>
      <c r="BC1004">
        <v>27</v>
      </c>
      <c r="BD1004">
        <v>34</v>
      </c>
      <c r="BE1004">
        <v>174</v>
      </c>
      <c r="BF1004">
        <v>89.5</v>
      </c>
      <c r="BG1004">
        <v>38</v>
      </c>
      <c r="BH1004">
        <v>27</v>
      </c>
      <c r="BI1004">
        <v>34</v>
      </c>
      <c r="BJ1004">
        <v>174</v>
      </c>
      <c r="BK1004">
        <v>89.5</v>
      </c>
      <c r="BL1004">
        <v>174</v>
      </c>
      <c r="BM1004">
        <v>8.4413999999999998</v>
      </c>
    </row>
    <row r="1005" spans="1:65" x14ac:dyDescent="0.25">
      <c r="A1005" t="s">
        <v>1068</v>
      </c>
      <c r="B1005" t="s">
        <v>2045</v>
      </c>
      <c r="C1005" t="s">
        <v>2157</v>
      </c>
      <c r="D1005" s="1">
        <v>45293</v>
      </c>
      <c r="E1005" s="1">
        <v>45326</v>
      </c>
      <c r="F1005" s="1">
        <v>45475</v>
      </c>
      <c r="G1005" t="s">
        <v>2166</v>
      </c>
      <c r="I1005" t="s">
        <v>2175</v>
      </c>
      <c r="J1005">
        <v>43812</v>
      </c>
      <c r="K1005">
        <v>1314</v>
      </c>
      <c r="L1005">
        <v>13.3</v>
      </c>
      <c r="M1005">
        <v>12.6</v>
      </c>
      <c r="N1005">
        <v>7</v>
      </c>
      <c r="O1005">
        <v>19900</v>
      </c>
      <c r="P1005" t="s">
        <v>2178</v>
      </c>
      <c r="Q1005">
        <v>38</v>
      </c>
      <c r="R1005">
        <v>54</v>
      </c>
      <c r="S1005">
        <v>44</v>
      </c>
      <c r="T1005">
        <v>322</v>
      </c>
      <c r="U1005" t="s">
        <v>2166</v>
      </c>
      <c r="W1005" t="s">
        <v>2208</v>
      </c>
      <c r="X1005" t="s">
        <v>2210</v>
      </c>
      <c r="Y1005" t="s">
        <v>2212</v>
      </c>
      <c r="Z1005" s="1">
        <v>45462</v>
      </c>
      <c r="AA1005" s="1">
        <v>45476</v>
      </c>
      <c r="AB1005" t="s">
        <v>2214</v>
      </c>
      <c r="AC1005" t="s">
        <v>2209</v>
      </c>
      <c r="AD1005" t="s">
        <v>2216</v>
      </c>
      <c r="AE1005" t="s">
        <v>2166</v>
      </c>
      <c r="AG1005" t="s">
        <v>2220</v>
      </c>
      <c r="AH1005">
        <v>136</v>
      </c>
      <c r="AI1005">
        <v>150</v>
      </c>
      <c r="AJ1005">
        <v>14</v>
      </c>
      <c r="AK1005">
        <v>2</v>
      </c>
      <c r="AL1005" t="s">
        <v>2228</v>
      </c>
      <c r="AM1005">
        <v>0</v>
      </c>
      <c r="AN1005" t="s">
        <v>2175</v>
      </c>
      <c r="AO1005" t="s">
        <v>2175</v>
      </c>
      <c r="AP1005" t="s">
        <v>2175</v>
      </c>
      <c r="AQ1005">
        <v>167.58</v>
      </c>
      <c r="AR1005">
        <v>3</v>
      </c>
      <c r="AS1005">
        <v>3</v>
      </c>
      <c r="AT1005">
        <v>3</v>
      </c>
      <c r="AU1005">
        <v>3</v>
      </c>
      <c r="AV1005">
        <v>3</v>
      </c>
      <c r="AW1005">
        <v>4.8</v>
      </c>
      <c r="AY1005">
        <v>4.8</v>
      </c>
      <c r="AZ1005">
        <v>3</v>
      </c>
      <c r="BA1005">
        <v>3</v>
      </c>
      <c r="BB1005">
        <v>40</v>
      </c>
      <c r="BC1005">
        <v>24</v>
      </c>
      <c r="BD1005">
        <v>35.54</v>
      </c>
      <c r="BE1005">
        <v>160</v>
      </c>
      <c r="BF1005">
        <v>88.8</v>
      </c>
      <c r="BG1005">
        <v>40</v>
      </c>
      <c r="BH1005">
        <v>24</v>
      </c>
      <c r="BI1005">
        <v>35.54</v>
      </c>
      <c r="BJ1005">
        <v>160</v>
      </c>
      <c r="BK1005">
        <v>88.8</v>
      </c>
      <c r="BL1005">
        <v>160</v>
      </c>
      <c r="BM1005">
        <v>11.4064</v>
      </c>
    </row>
    <row r="1006" spans="1:65" x14ac:dyDescent="0.25">
      <c r="A1006" t="s">
        <v>1069</v>
      </c>
      <c r="B1006" t="s">
        <v>2046</v>
      </c>
      <c r="C1006" t="s">
        <v>2157</v>
      </c>
      <c r="D1006" s="1">
        <v>45246</v>
      </c>
      <c r="E1006" s="1">
        <v>45298</v>
      </c>
      <c r="F1006" s="1">
        <v>45444</v>
      </c>
      <c r="G1006" t="s">
        <v>2166</v>
      </c>
      <c r="I1006" t="s">
        <v>2175</v>
      </c>
      <c r="J1006">
        <v>43537</v>
      </c>
      <c r="K1006">
        <v>1306</v>
      </c>
      <c r="L1006">
        <v>10.199999999999999</v>
      </c>
      <c r="M1006">
        <v>10.6</v>
      </c>
      <c r="N1006">
        <v>7</v>
      </c>
      <c r="O1006">
        <v>18988</v>
      </c>
      <c r="P1006" t="s">
        <v>2178</v>
      </c>
      <c r="Q1006">
        <v>30</v>
      </c>
      <c r="R1006">
        <v>50</v>
      </c>
      <c r="S1006">
        <v>52</v>
      </c>
      <c r="T1006">
        <v>329</v>
      </c>
      <c r="U1006" t="s">
        <v>2166</v>
      </c>
      <c r="W1006" t="s">
        <v>2208</v>
      </c>
      <c r="X1006" t="s">
        <v>2210</v>
      </c>
      <c r="Y1006" t="s">
        <v>2212</v>
      </c>
      <c r="Z1006" s="1">
        <v>45430</v>
      </c>
      <c r="AA1006" s="1">
        <v>45443</v>
      </c>
      <c r="AB1006" t="s">
        <v>2214</v>
      </c>
      <c r="AC1006" t="s">
        <v>2209</v>
      </c>
      <c r="AD1006" t="s">
        <v>2216</v>
      </c>
      <c r="AE1006" t="s">
        <v>2166</v>
      </c>
      <c r="AG1006" t="s">
        <v>2220</v>
      </c>
      <c r="AH1006">
        <v>132</v>
      </c>
      <c r="AI1006">
        <v>145</v>
      </c>
      <c r="AJ1006">
        <v>13</v>
      </c>
      <c r="AK1006">
        <v>1</v>
      </c>
      <c r="AL1006" t="s">
        <v>2233</v>
      </c>
      <c r="AM1006">
        <v>0</v>
      </c>
      <c r="AN1006" t="s">
        <v>2175</v>
      </c>
      <c r="AO1006" t="s">
        <v>2175</v>
      </c>
      <c r="AP1006" t="s">
        <v>2175</v>
      </c>
      <c r="AQ1006">
        <v>108.12</v>
      </c>
      <c r="AR1006">
        <v>3</v>
      </c>
      <c r="AS1006">
        <v>3</v>
      </c>
      <c r="AT1006">
        <v>3</v>
      </c>
      <c r="AU1006">
        <v>3</v>
      </c>
      <c r="AV1006">
        <v>3</v>
      </c>
      <c r="AW1006">
        <v>4.8</v>
      </c>
      <c r="AY1006">
        <v>4.8</v>
      </c>
      <c r="AZ1006">
        <v>3</v>
      </c>
      <c r="BA1006">
        <v>3</v>
      </c>
      <c r="BB1006">
        <v>40</v>
      </c>
      <c r="BC1006">
        <v>27</v>
      </c>
      <c r="BD1006">
        <v>35.07</v>
      </c>
      <c r="BE1006">
        <v>181</v>
      </c>
      <c r="BF1006">
        <v>87.7</v>
      </c>
      <c r="BG1006">
        <v>40</v>
      </c>
      <c r="BH1006">
        <v>27</v>
      </c>
      <c r="BI1006">
        <v>35.07</v>
      </c>
      <c r="BJ1006">
        <v>181</v>
      </c>
      <c r="BK1006">
        <v>87.7</v>
      </c>
      <c r="BL1006">
        <v>181</v>
      </c>
      <c r="BM1006">
        <v>8.9069000000000003</v>
      </c>
    </row>
    <row r="1007" spans="1:65" x14ac:dyDescent="0.25">
      <c r="A1007" t="s">
        <v>1070</v>
      </c>
      <c r="B1007" t="s">
        <v>2047</v>
      </c>
      <c r="C1007" t="s">
        <v>2160</v>
      </c>
      <c r="D1007" s="1">
        <v>45339</v>
      </c>
      <c r="E1007" s="1">
        <v>45363</v>
      </c>
      <c r="F1007" s="1">
        <v>45452</v>
      </c>
      <c r="G1007" t="s">
        <v>2166</v>
      </c>
      <c r="I1007" t="s">
        <v>2175</v>
      </c>
      <c r="J1007">
        <v>27697</v>
      </c>
      <c r="K1007">
        <v>830</v>
      </c>
      <c r="L1007">
        <v>14</v>
      </c>
      <c r="M1007">
        <v>14.4</v>
      </c>
      <c r="N1007">
        <v>8</v>
      </c>
      <c r="O1007">
        <v>15432</v>
      </c>
      <c r="P1007" t="s">
        <v>2178</v>
      </c>
      <c r="Q1007">
        <v>17</v>
      </c>
      <c r="R1007">
        <v>28</v>
      </c>
      <c r="S1007">
        <v>28</v>
      </c>
      <c r="T1007">
        <v>379</v>
      </c>
      <c r="U1007" t="s">
        <v>2166</v>
      </c>
      <c r="W1007" t="s">
        <v>2208</v>
      </c>
      <c r="X1007" t="s">
        <v>2210</v>
      </c>
      <c r="Y1007" t="s">
        <v>2212</v>
      </c>
      <c r="Z1007" s="1">
        <v>45436</v>
      </c>
      <c r="AA1007" s="1">
        <v>45456</v>
      </c>
      <c r="AB1007" t="s">
        <v>2214</v>
      </c>
      <c r="AC1007" t="s">
        <v>2209</v>
      </c>
      <c r="AD1007" t="s">
        <v>2216</v>
      </c>
      <c r="AE1007" t="s">
        <v>2166</v>
      </c>
      <c r="AG1007" t="s">
        <v>2220</v>
      </c>
      <c r="AH1007">
        <v>73</v>
      </c>
      <c r="AI1007">
        <v>93</v>
      </c>
      <c r="AJ1007">
        <v>20</v>
      </c>
      <c r="AK1007">
        <v>3</v>
      </c>
      <c r="AL1007" t="s">
        <v>2227</v>
      </c>
      <c r="AM1007">
        <v>0</v>
      </c>
      <c r="AN1007" t="s">
        <v>2175</v>
      </c>
      <c r="AO1007" t="s">
        <v>2175</v>
      </c>
      <c r="AP1007" t="s">
        <v>2175</v>
      </c>
      <c r="AQ1007">
        <v>201.6</v>
      </c>
      <c r="AR1007">
        <v>3</v>
      </c>
      <c r="AS1007">
        <v>3</v>
      </c>
      <c r="AT1007">
        <v>3</v>
      </c>
      <c r="AU1007">
        <v>3</v>
      </c>
      <c r="AV1007">
        <v>3</v>
      </c>
      <c r="AW1007">
        <v>4.8</v>
      </c>
      <c r="AY1007">
        <v>4.8</v>
      </c>
      <c r="AZ1007">
        <v>1</v>
      </c>
      <c r="BA1007">
        <v>3</v>
      </c>
      <c r="BB1007">
        <v>49</v>
      </c>
      <c r="BC1007">
        <v>26</v>
      </c>
      <c r="BD1007">
        <v>43.12</v>
      </c>
      <c r="BE1007">
        <v>216</v>
      </c>
      <c r="BF1007">
        <v>88</v>
      </c>
      <c r="BG1007">
        <v>49</v>
      </c>
      <c r="BH1007">
        <v>26</v>
      </c>
      <c r="BI1007">
        <v>43.12</v>
      </c>
      <c r="BJ1007">
        <v>216</v>
      </c>
      <c r="BK1007">
        <v>88</v>
      </c>
      <c r="BL1007">
        <v>216</v>
      </c>
      <c r="BM1007">
        <v>4.9309000000000003</v>
      </c>
    </row>
    <row r="1008" spans="1:65" x14ac:dyDescent="0.25">
      <c r="A1008" t="s">
        <v>1071</v>
      </c>
      <c r="B1008" t="s">
        <v>2048</v>
      </c>
      <c r="C1008" t="s">
        <v>2157</v>
      </c>
      <c r="D1008" s="1">
        <v>45396</v>
      </c>
      <c r="E1008" s="1">
        <v>45424</v>
      </c>
      <c r="F1008" s="1">
        <v>45536</v>
      </c>
      <c r="G1008" t="s">
        <v>2165</v>
      </c>
      <c r="I1008" t="s">
        <v>2175</v>
      </c>
      <c r="J1008">
        <v>36381</v>
      </c>
      <c r="K1008">
        <v>1091</v>
      </c>
      <c r="L1008">
        <v>17.2</v>
      </c>
      <c r="M1008">
        <v>15.2</v>
      </c>
      <c r="N1008">
        <v>7</v>
      </c>
      <c r="O1008">
        <v>17460</v>
      </c>
      <c r="P1008" t="s">
        <v>2178</v>
      </c>
      <c r="Q1008">
        <v>25</v>
      </c>
      <c r="R1008">
        <v>37</v>
      </c>
      <c r="S1008">
        <v>33</v>
      </c>
      <c r="T1008">
        <v>382</v>
      </c>
      <c r="U1008" t="s">
        <v>2165</v>
      </c>
      <c r="W1008" t="s">
        <v>2208</v>
      </c>
      <c r="X1008" t="s">
        <v>2210</v>
      </c>
      <c r="Y1008" t="s">
        <v>2212</v>
      </c>
      <c r="Z1008" s="1">
        <v>45519</v>
      </c>
      <c r="AA1008" s="1">
        <v>45533</v>
      </c>
      <c r="AB1008" t="s">
        <v>2214</v>
      </c>
      <c r="AC1008" t="s">
        <v>2209</v>
      </c>
      <c r="AD1008" t="s">
        <v>2216</v>
      </c>
      <c r="AE1008" t="s">
        <v>2165</v>
      </c>
      <c r="AG1008" t="s">
        <v>2220</v>
      </c>
      <c r="AH1008">
        <v>95</v>
      </c>
      <c r="AI1008">
        <v>109</v>
      </c>
      <c r="AJ1008">
        <v>14</v>
      </c>
      <c r="AK1008">
        <v>5</v>
      </c>
      <c r="AL1008" t="s">
        <v>2224</v>
      </c>
      <c r="AM1008">
        <v>0</v>
      </c>
      <c r="AN1008" t="s">
        <v>2175</v>
      </c>
      <c r="AO1008" t="s">
        <v>2175</v>
      </c>
      <c r="AP1008" t="s">
        <v>2175</v>
      </c>
      <c r="AQ1008">
        <v>261.44</v>
      </c>
      <c r="AR1008">
        <v>3</v>
      </c>
      <c r="AS1008">
        <v>3</v>
      </c>
      <c r="AT1008">
        <v>3</v>
      </c>
      <c r="AU1008">
        <v>3</v>
      </c>
      <c r="AV1008">
        <v>3</v>
      </c>
      <c r="AW1008">
        <v>4.5999999999999996</v>
      </c>
      <c r="AY1008">
        <v>4.5999999999999996</v>
      </c>
      <c r="AZ1008">
        <v>3</v>
      </c>
      <c r="BA1008">
        <v>3</v>
      </c>
      <c r="BB1008">
        <v>36</v>
      </c>
      <c r="BC1008">
        <v>27</v>
      </c>
      <c r="BD1008">
        <v>31.37</v>
      </c>
      <c r="BE1008">
        <v>158</v>
      </c>
      <c r="BF1008">
        <v>87.1</v>
      </c>
      <c r="BG1008">
        <v>36</v>
      </c>
      <c r="BH1008">
        <v>27</v>
      </c>
      <c r="BI1008">
        <v>31.37</v>
      </c>
      <c r="BJ1008">
        <v>158</v>
      </c>
      <c r="BK1008">
        <v>87.1</v>
      </c>
      <c r="BL1008">
        <v>158</v>
      </c>
      <c r="BM1008">
        <v>8.5260999999999996</v>
      </c>
    </row>
    <row r="1009" spans="1:65" x14ac:dyDescent="0.25">
      <c r="A1009" t="s">
        <v>1072</v>
      </c>
      <c r="B1009" t="s">
        <v>2049</v>
      </c>
      <c r="C1009" t="s">
        <v>2157</v>
      </c>
      <c r="D1009" s="1">
        <v>45474</v>
      </c>
      <c r="E1009" s="1">
        <v>45508</v>
      </c>
      <c r="F1009" s="1">
        <v>45600</v>
      </c>
      <c r="G1009" t="s">
        <v>2166</v>
      </c>
      <c r="I1009" t="s">
        <v>2175</v>
      </c>
      <c r="J1009">
        <v>29267</v>
      </c>
      <c r="K1009">
        <v>878</v>
      </c>
      <c r="L1009">
        <v>10.6</v>
      </c>
      <c r="M1009">
        <v>12.1</v>
      </c>
      <c r="N1009">
        <v>7</v>
      </c>
      <c r="O1009">
        <v>15976</v>
      </c>
      <c r="P1009" t="s">
        <v>2178</v>
      </c>
      <c r="Q1009">
        <v>20</v>
      </c>
      <c r="R1009">
        <v>28</v>
      </c>
      <c r="S1009">
        <v>25</v>
      </c>
      <c r="T1009">
        <v>400</v>
      </c>
      <c r="U1009" t="s">
        <v>2166</v>
      </c>
      <c r="W1009" t="s">
        <v>2208</v>
      </c>
      <c r="X1009" t="s">
        <v>2210</v>
      </c>
      <c r="Y1009" t="s">
        <v>2212</v>
      </c>
      <c r="Z1009" s="1">
        <v>45581</v>
      </c>
      <c r="AA1009" s="1">
        <v>45595</v>
      </c>
      <c r="AB1009" t="s">
        <v>2214</v>
      </c>
      <c r="AC1009" t="s">
        <v>2209</v>
      </c>
      <c r="AD1009" t="s">
        <v>2216</v>
      </c>
      <c r="AE1009" t="s">
        <v>2166</v>
      </c>
      <c r="AG1009" t="s">
        <v>2220</v>
      </c>
      <c r="AH1009">
        <v>73</v>
      </c>
      <c r="AI1009">
        <v>87</v>
      </c>
      <c r="AJ1009">
        <v>14</v>
      </c>
      <c r="AK1009">
        <v>8</v>
      </c>
      <c r="AL1009" t="s">
        <v>2232</v>
      </c>
      <c r="AM1009">
        <v>0</v>
      </c>
      <c r="AN1009" t="s">
        <v>2175</v>
      </c>
      <c r="AO1009" t="s">
        <v>2175</v>
      </c>
      <c r="AP1009" t="s">
        <v>2175</v>
      </c>
      <c r="AQ1009">
        <v>128.26</v>
      </c>
      <c r="AR1009">
        <v>3</v>
      </c>
      <c r="AS1009">
        <v>3</v>
      </c>
      <c r="AT1009">
        <v>3</v>
      </c>
      <c r="AU1009">
        <v>3</v>
      </c>
      <c r="AV1009">
        <v>3</v>
      </c>
      <c r="AW1009">
        <v>4.8</v>
      </c>
      <c r="AY1009">
        <v>4.8</v>
      </c>
      <c r="AZ1009">
        <v>3</v>
      </c>
      <c r="BA1009">
        <v>3</v>
      </c>
      <c r="BB1009">
        <v>41</v>
      </c>
      <c r="BC1009">
        <v>26</v>
      </c>
      <c r="BD1009">
        <v>36.15</v>
      </c>
      <c r="BE1009">
        <v>176</v>
      </c>
      <c r="BF1009">
        <v>88.2</v>
      </c>
      <c r="BG1009">
        <v>41</v>
      </c>
      <c r="BH1009">
        <v>26</v>
      </c>
      <c r="BI1009">
        <v>36.15</v>
      </c>
      <c r="BJ1009">
        <v>176</v>
      </c>
      <c r="BK1009">
        <v>88.2</v>
      </c>
      <c r="BL1009">
        <v>176</v>
      </c>
      <c r="BM1009">
        <v>6.3944000000000001</v>
      </c>
    </row>
    <row r="1010" spans="1:65" x14ac:dyDescent="0.25">
      <c r="A1010" t="s">
        <v>1073</v>
      </c>
      <c r="B1010" t="s">
        <v>2050</v>
      </c>
      <c r="C1010" t="s">
        <v>2159</v>
      </c>
      <c r="D1010" s="1">
        <v>45527</v>
      </c>
      <c r="E1010" s="1">
        <v>45577</v>
      </c>
      <c r="F1010" s="1">
        <v>45698</v>
      </c>
      <c r="G1010" t="s">
        <v>2165</v>
      </c>
      <c r="I1010" t="s">
        <v>2175</v>
      </c>
      <c r="J1010">
        <v>37666</v>
      </c>
      <c r="K1010">
        <v>1129</v>
      </c>
      <c r="L1010">
        <v>13.5</v>
      </c>
      <c r="M1010">
        <v>17.600000000000001</v>
      </c>
      <c r="N1010">
        <v>8</v>
      </c>
      <c r="O1010">
        <v>19696</v>
      </c>
      <c r="P1010" t="s">
        <v>2178</v>
      </c>
      <c r="Q1010">
        <v>32</v>
      </c>
      <c r="R1010">
        <v>42</v>
      </c>
      <c r="S1010">
        <v>38</v>
      </c>
      <c r="T1010">
        <v>336</v>
      </c>
      <c r="U1010" t="s">
        <v>2165</v>
      </c>
      <c r="W1010" t="s">
        <v>2208</v>
      </c>
      <c r="X1010" t="s">
        <v>2210</v>
      </c>
      <c r="Y1010" t="s">
        <v>2212</v>
      </c>
      <c r="Z1010" s="1">
        <v>45689</v>
      </c>
      <c r="AA1010" s="1">
        <v>45704</v>
      </c>
      <c r="AB1010" t="s">
        <v>2215</v>
      </c>
      <c r="AC1010" t="s">
        <v>2208</v>
      </c>
      <c r="AD1010" t="s">
        <v>2216</v>
      </c>
      <c r="AE1010" t="s">
        <v>2165</v>
      </c>
      <c r="AG1010" t="s">
        <v>2220</v>
      </c>
      <c r="AH1010">
        <v>112</v>
      </c>
      <c r="AI1010">
        <v>127</v>
      </c>
      <c r="AJ1010">
        <v>15</v>
      </c>
      <c r="AK1010">
        <v>10</v>
      </c>
      <c r="AL1010" t="s">
        <v>2230</v>
      </c>
      <c r="AM1010">
        <v>1</v>
      </c>
      <c r="AN1010" t="s">
        <v>2175</v>
      </c>
      <c r="AO1010" t="s">
        <v>2175</v>
      </c>
      <c r="AP1010" t="s">
        <v>2175</v>
      </c>
      <c r="AQ1010">
        <v>237.6</v>
      </c>
      <c r="AR1010">
        <v>3</v>
      </c>
      <c r="AS1010">
        <v>3</v>
      </c>
      <c r="AT1010">
        <v>3</v>
      </c>
      <c r="AU1010">
        <v>3</v>
      </c>
      <c r="AV1010">
        <v>3</v>
      </c>
      <c r="AW1010">
        <v>4.5999999999999996</v>
      </c>
      <c r="AY1010">
        <v>4.5999999999999996</v>
      </c>
      <c r="AZ1010">
        <v>0</v>
      </c>
      <c r="BA1010">
        <v>3</v>
      </c>
      <c r="BB1010">
        <v>43</v>
      </c>
      <c r="BC1010">
        <v>27</v>
      </c>
      <c r="BD1010">
        <v>37.33</v>
      </c>
      <c r="BE1010">
        <v>194</v>
      </c>
      <c r="BF1010">
        <v>86.8</v>
      </c>
      <c r="BG1010">
        <v>43</v>
      </c>
      <c r="BH1010">
        <v>27</v>
      </c>
      <c r="BI1010">
        <v>37.33</v>
      </c>
      <c r="BJ1010">
        <v>194</v>
      </c>
      <c r="BK1010">
        <v>86.8</v>
      </c>
      <c r="BL1010">
        <v>194</v>
      </c>
      <c r="BM1010">
        <v>7.1894999999999998</v>
      </c>
    </row>
    <row r="1011" spans="1:65" x14ac:dyDescent="0.25">
      <c r="A1011" t="s">
        <v>1074</v>
      </c>
      <c r="B1011" t="s">
        <v>2051</v>
      </c>
      <c r="C1011" t="s">
        <v>2158</v>
      </c>
      <c r="D1011" s="1">
        <v>45406</v>
      </c>
      <c r="E1011" s="1">
        <v>45450</v>
      </c>
      <c r="F1011" s="1">
        <v>45598</v>
      </c>
      <c r="G1011" t="s">
        <v>2165</v>
      </c>
      <c r="I1011" t="s">
        <v>2175</v>
      </c>
      <c r="J1011">
        <v>38341</v>
      </c>
      <c r="K1011">
        <v>1150</v>
      </c>
      <c r="L1011">
        <v>14.1</v>
      </c>
      <c r="M1011">
        <v>12.8</v>
      </c>
      <c r="N1011">
        <v>8</v>
      </c>
      <c r="O1011">
        <v>19742</v>
      </c>
      <c r="P1011" t="s">
        <v>2178</v>
      </c>
      <c r="Q1011">
        <v>37</v>
      </c>
      <c r="R1011">
        <v>56</v>
      </c>
      <c r="S1011">
        <v>45</v>
      </c>
      <c r="T1011">
        <v>277</v>
      </c>
      <c r="U1011" t="s">
        <v>2165</v>
      </c>
      <c r="W1011" t="s">
        <v>2208</v>
      </c>
      <c r="X1011" t="s">
        <v>2210</v>
      </c>
      <c r="Y1011" t="s">
        <v>2212</v>
      </c>
      <c r="Z1011" s="1">
        <v>45588</v>
      </c>
      <c r="AA1011" s="1">
        <v>45604</v>
      </c>
      <c r="AB1011" t="s">
        <v>2215</v>
      </c>
      <c r="AC1011" t="s">
        <v>2208</v>
      </c>
      <c r="AD1011" t="s">
        <v>2216</v>
      </c>
      <c r="AE1011" t="s">
        <v>2165</v>
      </c>
      <c r="AG1011" t="s">
        <v>2220</v>
      </c>
      <c r="AH1011">
        <v>138</v>
      </c>
      <c r="AI1011">
        <v>154</v>
      </c>
      <c r="AJ1011">
        <v>16</v>
      </c>
      <c r="AK1011">
        <v>6</v>
      </c>
      <c r="AL1011" t="s">
        <v>2223</v>
      </c>
      <c r="AM1011">
        <v>0</v>
      </c>
      <c r="AN1011" t="s">
        <v>2175</v>
      </c>
      <c r="AO1011" t="s">
        <v>2175</v>
      </c>
      <c r="AP1011" t="s">
        <v>2175</v>
      </c>
      <c r="AQ1011">
        <v>180.48</v>
      </c>
      <c r="AR1011">
        <v>3</v>
      </c>
      <c r="AS1011">
        <v>3</v>
      </c>
      <c r="AT1011">
        <v>3</v>
      </c>
      <c r="AU1011">
        <v>3</v>
      </c>
      <c r="AV1011">
        <v>3</v>
      </c>
      <c r="AW1011">
        <v>4.5999999999999996</v>
      </c>
      <c r="AY1011">
        <v>4.5999999999999996</v>
      </c>
      <c r="AZ1011">
        <v>2</v>
      </c>
      <c r="BA1011">
        <v>3</v>
      </c>
      <c r="BB1011">
        <v>40</v>
      </c>
      <c r="BC1011">
        <v>25</v>
      </c>
      <c r="BD1011">
        <v>34.72</v>
      </c>
      <c r="BE1011">
        <v>161</v>
      </c>
      <c r="BF1011">
        <v>86.8</v>
      </c>
      <c r="BG1011">
        <v>40</v>
      </c>
      <c r="BH1011">
        <v>25</v>
      </c>
      <c r="BI1011">
        <v>34.72</v>
      </c>
      <c r="BJ1011">
        <v>161</v>
      </c>
      <c r="BK1011">
        <v>86.8</v>
      </c>
      <c r="BL1011">
        <v>161</v>
      </c>
      <c r="BM1011">
        <v>9.5233000000000008</v>
      </c>
    </row>
    <row r="1012" spans="1:65" x14ac:dyDescent="0.25">
      <c r="A1012" t="s">
        <v>1075</v>
      </c>
      <c r="B1012" t="s">
        <v>2052</v>
      </c>
      <c r="C1012" t="s">
        <v>2158</v>
      </c>
      <c r="D1012" s="1">
        <v>45346</v>
      </c>
      <c r="E1012" s="1">
        <v>45392</v>
      </c>
      <c r="F1012" s="1">
        <v>45482</v>
      </c>
      <c r="G1012" t="s">
        <v>2166</v>
      </c>
      <c r="I1012" t="s">
        <v>2175</v>
      </c>
      <c r="J1012">
        <v>27399</v>
      </c>
      <c r="K1012">
        <v>821</v>
      </c>
      <c r="L1012">
        <v>14.1</v>
      </c>
      <c r="M1012">
        <v>12.1</v>
      </c>
      <c r="N1012">
        <v>7</v>
      </c>
      <c r="O1012">
        <v>16509</v>
      </c>
      <c r="P1012" t="s">
        <v>2178</v>
      </c>
      <c r="Q1012">
        <v>21</v>
      </c>
      <c r="R1012">
        <v>34</v>
      </c>
      <c r="S1012">
        <v>27</v>
      </c>
      <c r="T1012">
        <v>334</v>
      </c>
      <c r="U1012" t="s">
        <v>2166</v>
      </c>
      <c r="W1012" t="s">
        <v>2208</v>
      </c>
      <c r="X1012" t="s">
        <v>2210</v>
      </c>
      <c r="Y1012" t="s">
        <v>2212</v>
      </c>
      <c r="Z1012" s="1">
        <v>45474</v>
      </c>
      <c r="AA1012" s="1">
        <v>45492</v>
      </c>
      <c r="AB1012" t="s">
        <v>2215</v>
      </c>
      <c r="AC1012" t="s">
        <v>2208</v>
      </c>
      <c r="AD1012" t="s">
        <v>2216</v>
      </c>
      <c r="AE1012" t="s">
        <v>2166</v>
      </c>
      <c r="AG1012" t="s">
        <v>2220</v>
      </c>
      <c r="AH1012">
        <v>82</v>
      </c>
      <c r="AI1012">
        <v>100</v>
      </c>
      <c r="AJ1012">
        <v>18</v>
      </c>
      <c r="AK1012">
        <v>4</v>
      </c>
      <c r="AL1012" t="s">
        <v>2225</v>
      </c>
      <c r="AM1012">
        <v>0</v>
      </c>
      <c r="AN1012" t="s">
        <v>2175</v>
      </c>
      <c r="AO1012" t="s">
        <v>2175</v>
      </c>
      <c r="AP1012" t="s">
        <v>2175</v>
      </c>
      <c r="AQ1012">
        <v>170.61</v>
      </c>
      <c r="AR1012">
        <v>3</v>
      </c>
      <c r="AS1012">
        <v>3</v>
      </c>
      <c r="AT1012">
        <v>3</v>
      </c>
      <c r="AU1012">
        <v>3</v>
      </c>
      <c r="AV1012">
        <v>3</v>
      </c>
      <c r="AW1012">
        <v>4.8</v>
      </c>
      <c r="AY1012">
        <v>4.8</v>
      </c>
      <c r="AZ1012">
        <v>2</v>
      </c>
      <c r="BA1012">
        <v>3</v>
      </c>
      <c r="BB1012">
        <v>45</v>
      </c>
      <c r="BC1012">
        <v>26</v>
      </c>
      <c r="BD1012">
        <v>40.270000000000003</v>
      </c>
      <c r="BE1012">
        <v>199</v>
      </c>
      <c r="BF1012">
        <v>89.5</v>
      </c>
      <c r="BG1012">
        <v>45</v>
      </c>
      <c r="BH1012">
        <v>26</v>
      </c>
      <c r="BI1012">
        <v>40.270000000000003</v>
      </c>
      <c r="BJ1012">
        <v>199</v>
      </c>
      <c r="BK1012">
        <v>89.5</v>
      </c>
      <c r="BL1012">
        <v>199</v>
      </c>
      <c r="BM1012">
        <v>5.2945000000000002</v>
      </c>
    </row>
    <row r="1013" spans="1:65" x14ac:dyDescent="0.25">
      <c r="A1013" t="s">
        <v>1076</v>
      </c>
      <c r="B1013" t="s">
        <v>2053</v>
      </c>
      <c r="C1013" t="s">
        <v>2159</v>
      </c>
      <c r="D1013" s="1">
        <v>45441</v>
      </c>
      <c r="E1013" s="1">
        <v>45461</v>
      </c>
      <c r="F1013" s="1">
        <v>45546</v>
      </c>
      <c r="G1013" t="s">
        <v>2165</v>
      </c>
      <c r="I1013" t="s">
        <v>2175</v>
      </c>
      <c r="J1013">
        <v>24840</v>
      </c>
      <c r="K1013">
        <v>745</v>
      </c>
      <c r="L1013">
        <v>11.4</v>
      </c>
      <c r="M1013">
        <v>15.7</v>
      </c>
      <c r="N1013">
        <v>7</v>
      </c>
      <c r="O1013">
        <v>18641</v>
      </c>
      <c r="P1013" t="s">
        <v>2178</v>
      </c>
      <c r="Q1013">
        <v>15</v>
      </c>
      <c r="R1013">
        <v>20</v>
      </c>
      <c r="S1013">
        <v>33</v>
      </c>
      <c r="T1013">
        <v>365</v>
      </c>
      <c r="U1013" t="s">
        <v>2165</v>
      </c>
      <c r="W1013" t="s">
        <v>2208</v>
      </c>
      <c r="X1013" t="s">
        <v>2210</v>
      </c>
      <c r="Y1013" t="s">
        <v>2212</v>
      </c>
      <c r="Z1013" s="1">
        <v>45529</v>
      </c>
      <c r="AA1013" s="1">
        <v>45549</v>
      </c>
      <c r="AB1013" t="s">
        <v>2214</v>
      </c>
      <c r="AC1013" t="s">
        <v>2209</v>
      </c>
      <c r="AD1013" t="s">
        <v>2216</v>
      </c>
      <c r="AE1013" t="s">
        <v>2165</v>
      </c>
      <c r="AG1013" t="s">
        <v>2220</v>
      </c>
      <c r="AH1013">
        <v>68</v>
      </c>
      <c r="AI1013">
        <v>88</v>
      </c>
      <c r="AJ1013">
        <v>20</v>
      </c>
      <c r="AK1013">
        <v>6</v>
      </c>
      <c r="AL1013" t="s">
        <v>2223</v>
      </c>
      <c r="AM1013">
        <v>0</v>
      </c>
      <c r="AN1013" t="s">
        <v>2175</v>
      </c>
      <c r="AO1013" t="s">
        <v>2175</v>
      </c>
      <c r="AP1013" t="s">
        <v>2175</v>
      </c>
      <c r="AQ1013">
        <v>178.98</v>
      </c>
      <c r="AR1013">
        <v>3</v>
      </c>
      <c r="AS1013">
        <v>3</v>
      </c>
      <c r="AT1013">
        <v>3</v>
      </c>
      <c r="AU1013">
        <v>3</v>
      </c>
      <c r="AV1013">
        <v>3</v>
      </c>
      <c r="AW1013">
        <v>4.5999999999999996</v>
      </c>
      <c r="AY1013">
        <v>4.5999999999999996</v>
      </c>
      <c r="AZ1013">
        <v>0</v>
      </c>
      <c r="BA1013">
        <v>3</v>
      </c>
      <c r="BB1013">
        <v>40</v>
      </c>
      <c r="BC1013">
        <v>25</v>
      </c>
      <c r="BD1013">
        <v>34.72</v>
      </c>
      <c r="BE1013">
        <v>161</v>
      </c>
      <c r="BF1013">
        <v>86.8</v>
      </c>
      <c r="BG1013">
        <v>40</v>
      </c>
      <c r="BH1013">
        <v>25</v>
      </c>
      <c r="BI1013">
        <v>34.72</v>
      </c>
      <c r="BJ1013">
        <v>161</v>
      </c>
      <c r="BK1013">
        <v>86.8</v>
      </c>
      <c r="BL1013">
        <v>161</v>
      </c>
      <c r="BM1013">
        <v>6.1699000000000002</v>
      </c>
    </row>
    <row r="1014" spans="1:65" x14ac:dyDescent="0.25">
      <c r="A1014" t="s">
        <v>1077</v>
      </c>
      <c r="B1014" t="s">
        <v>2054</v>
      </c>
      <c r="C1014" t="s">
        <v>2157</v>
      </c>
      <c r="D1014" s="1">
        <v>45448</v>
      </c>
      <c r="E1014" s="1">
        <v>45475</v>
      </c>
      <c r="F1014" s="1">
        <v>45570</v>
      </c>
      <c r="G1014" t="s">
        <v>2165</v>
      </c>
      <c r="I1014" t="s">
        <v>2175</v>
      </c>
      <c r="J1014">
        <v>26690</v>
      </c>
      <c r="K1014">
        <v>800</v>
      </c>
      <c r="L1014">
        <v>13.9</v>
      </c>
      <c r="M1014">
        <v>14.6</v>
      </c>
      <c r="N1014">
        <v>7</v>
      </c>
      <c r="O1014">
        <v>19559</v>
      </c>
      <c r="P1014" t="s">
        <v>2178</v>
      </c>
      <c r="Q1014">
        <v>20</v>
      </c>
      <c r="R1014">
        <v>29</v>
      </c>
      <c r="S1014">
        <v>34</v>
      </c>
      <c r="T1014">
        <v>321</v>
      </c>
      <c r="U1014" t="s">
        <v>2165</v>
      </c>
      <c r="W1014" t="s">
        <v>2208</v>
      </c>
      <c r="X1014" t="s">
        <v>2210</v>
      </c>
      <c r="Y1014" t="s">
        <v>2212</v>
      </c>
      <c r="Z1014" s="1">
        <v>45558</v>
      </c>
      <c r="AA1014" s="1">
        <v>45572</v>
      </c>
      <c r="AB1014" t="s">
        <v>2215</v>
      </c>
      <c r="AC1014" t="s">
        <v>2208</v>
      </c>
      <c r="AD1014" t="s">
        <v>2216</v>
      </c>
      <c r="AE1014" t="s">
        <v>2165</v>
      </c>
      <c r="AG1014" t="s">
        <v>2220</v>
      </c>
      <c r="AH1014">
        <v>83</v>
      </c>
      <c r="AI1014">
        <v>97</v>
      </c>
      <c r="AJ1014">
        <v>14</v>
      </c>
      <c r="AK1014">
        <v>7</v>
      </c>
      <c r="AL1014" t="s">
        <v>2226</v>
      </c>
      <c r="AM1014">
        <v>0</v>
      </c>
      <c r="AN1014" t="s">
        <v>2175</v>
      </c>
      <c r="AO1014" t="s">
        <v>2175</v>
      </c>
      <c r="AP1014" t="s">
        <v>2175</v>
      </c>
      <c r="AQ1014">
        <v>202.94</v>
      </c>
      <c r="AR1014">
        <v>3</v>
      </c>
      <c r="AS1014">
        <v>3</v>
      </c>
      <c r="AT1014">
        <v>3</v>
      </c>
      <c r="AU1014">
        <v>3</v>
      </c>
      <c r="AV1014">
        <v>3</v>
      </c>
      <c r="AW1014">
        <v>4.5999999999999996</v>
      </c>
      <c r="AY1014">
        <v>4.5999999999999996</v>
      </c>
      <c r="AZ1014">
        <v>3</v>
      </c>
      <c r="BA1014">
        <v>3</v>
      </c>
      <c r="BB1014">
        <v>38</v>
      </c>
      <c r="BC1014">
        <v>27</v>
      </c>
      <c r="BD1014">
        <v>34</v>
      </c>
      <c r="BE1014">
        <v>174</v>
      </c>
      <c r="BF1014">
        <v>89.5</v>
      </c>
      <c r="BG1014">
        <v>38</v>
      </c>
      <c r="BH1014">
        <v>27</v>
      </c>
      <c r="BI1014">
        <v>34</v>
      </c>
      <c r="BJ1014">
        <v>174</v>
      </c>
      <c r="BK1014">
        <v>89.5</v>
      </c>
      <c r="BL1014">
        <v>174</v>
      </c>
      <c r="BM1014">
        <v>5.6798999999999999</v>
      </c>
    </row>
    <row r="1015" spans="1:65" x14ac:dyDescent="0.25">
      <c r="A1015" t="s">
        <v>1078</v>
      </c>
      <c r="B1015" t="s">
        <v>2055</v>
      </c>
      <c r="C1015" t="s">
        <v>2158</v>
      </c>
      <c r="D1015" s="1">
        <v>45322</v>
      </c>
      <c r="E1015" s="1">
        <v>45363</v>
      </c>
      <c r="F1015" s="1">
        <v>45445</v>
      </c>
      <c r="G1015" t="s">
        <v>2165</v>
      </c>
      <c r="I1015" t="s">
        <v>2175</v>
      </c>
      <c r="J1015">
        <v>24385</v>
      </c>
      <c r="K1015">
        <v>731</v>
      </c>
      <c r="L1015">
        <v>12</v>
      </c>
      <c r="M1015">
        <v>15.5</v>
      </c>
      <c r="N1015">
        <v>7</v>
      </c>
      <c r="O1015">
        <v>17028</v>
      </c>
      <c r="P1015" t="s">
        <v>2178</v>
      </c>
      <c r="Q1015">
        <v>18</v>
      </c>
      <c r="R1015">
        <v>23</v>
      </c>
      <c r="S1015">
        <v>30</v>
      </c>
      <c r="T1015">
        <v>343</v>
      </c>
      <c r="U1015" t="s">
        <v>2165</v>
      </c>
      <c r="W1015" t="s">
        <v>2208</v>
      </c>
      <c r="X1015" t="s">
        <v>2210</v>
      </c>
      <c r="Y1015" t="s">
        <v>2212</v>
      </c>
      <c r="Z1015" s="1">
        <v>45434</v>
      </c>
      <c r="AA1015" s="1">
        <v>45452</v>
      </c>
      <c r="AB1015" t="s">
        <v>2215</v>
      </c>
      <c r="AC1015" t="s">
        <v>2208</v>
      </c>
      <c r="AD1015" t="s">
        <v>2216</v>
      </c>
      <c r="AE1015" t="s">
        <v>2165</v>
      </c>
      <c r="AG1015" t="s">
        <v>2220</v>
      </c>
      <c r="AH1015">
        <v>71</v>
      </c>
      <c r="AI1015">
        <v>89</v>
      </c>
      <c r="AJ1015">
        <v>18</v>
      </c>
      <c r="AK1015">
        <v>3</v>
      </c>
      <c r="AL1015" t="s">
        <v>2227</v>
      </c>
      <c r="AM1015">
        <v>0</v>
      </c>
      <c r="AN1015" t="s">
        <v>2175</v>
      </c>
      <c r="AO1015" t="s">
        <v>2175</v>
      </c>
      <c r="AP1015" t="s">
        <v>2175</v>
      </c>
      <c r="AQ1015">
        <v>186</v>
      </c>
      <c r="AR1015">
        <v>3</v>
      </c>
      <c r="AS1015">
        <v>3</v>
      </c>
      <c r="AT1015">
        <v>3</v>
      </c>
      <c r="AU1015">
        <v>3</v>
      </c>
      <c r="AV1015">
        <v>3</v>
      </c>
      <c r="AW1015">
        <v>4.5999999999999996</v>
      </c>
      <c r="AY1015">
        <v>4.5999999999999996</v>
      </c>
      <c r="AZ1015">
        <v>2</v>
      </c>
      <c r="BA1015">
        <v>3</v>
      </c>
      <c r="BB1015">
        <v>48</v>
      </c>
      <c r="BC1015">
        <v>26</v>
      </c>
      <c r="BD1015">
        <v>42.38</v>
      </c>
      <c r="BE1015">
        <v>212</v>
      </c>
      <c r="BF1015">
        <v>88.3</v>
      </c>
      <c r="BG1015">
        <v>48</v>
      </c>
      <c r="BH1015">
        <v>26</v>
      </c>
      <c r="BI1015">
        <v>42.38</v>
      </c>
      <c r="BJ1015">
        <v>212</v>
      </c>
      <c r="BK1015">
        <v>88.3</v>
      </c>
      <c r="BL1015">
        <v>212</v>
      </c>
      <c r="BM1015">
        <v>4.4231999999999996</v>
      </c>
    </row>
    <row r="1016" spans="1:65" x14ac:dyDescent="0.25">
      <c r="A1016" t="s">
        <v>1079</v>
      </c>
      <c r="B1016" t="s">
        <v>2056</v>
      </c>
      <c r="C1016" t="s">
        <v>2160</v>
      </c>
      <c r="D1016" s="1">
        <v>45273</v>
      </c>
      <c r="E1016" s="1">
        <v>45306</v>
      </c>
      <c r="F1016" s="1">
        <v>45364</v>
      </c>
      <c r="G1016" t="s">
        <v>2166</v>
      </c>
      <c r="I1016" t="s">
        <v>2175</v>
      </c>
      <c r="J1016">
        <v>17646</v>
      </c>
      <c r="K1016">
        <v>529</v>
      </c>
      <c r="L1016">
        <v>17.2</v>
      </c>
      <c r="M1016">
        <v>10.199999999999999</v>
      </c>
      <c r="N1016">
        <v>8</v>
      </c>
      <c r="O1016">
        <v>19479</v>
      </c>
      <c r="P1016" t="s">
        <v>2178</v>
      </c>
      <c r="Q1016">
        <v>14</v>
      </c>
      <c r="R1016">
        <v>21</v>
      </c>
      <c r="S1016">
        <v>15</v>
      </c>
      <c r="T1016">
        <v>352</v>
      </c>
      <c r="U1016" t="s">
        <v>2166</v>
      </c>
      <c r="W1016" t="s">
        <v>2208</v>
      </c>
      <c r="X1016" t="s">
        <v>2210</v>
      </c>
      <c r="Y1016" t="s">
        <v>2212</v>
      </c>
      <c r="Z1016" s="1">
        <v>45356</v>
      </c>
      <c r="AA1016" s="1">
        <v>45375</v>
      </c>
      <c r="AB1016" t="s">
        <v>2215</v>
      </c>
      <c r="AC1016" t="s">
        <v>2208</v>
      </c>
      <c r="AD1016" t="s">
        <v>2216</v>
      </c>
      <c r="AE1016" t="s">
        <v>2166</v>
      </c>
      <c r="AG1016" t="s">
        <v>2220</v>
      </c>
      <c r="AH1016">
        <v>50</v>
      </c>
      <c r="AI1016">
        <v>69</v>
      </c>
      <c r="AJ1016">
        <v>19</v>
      </c>
      <c r="AK1016">
        <v>1</v>
      </c>
      <c r="AL1016" t="s">
        <v>2233</v>
      </c>
      <c r="AM1016">
        <v>0</v>
      </c>
      <c r="AN1016" t="s">
        <v>2175</v>
      </c>
      <c r="AO1016" t="s">
        <v>2175</v>
      </c>
      <c r="AP1016" t="s">
        <v>2175</v>
      </c>
      <c r="AQ1016">
        <v>175.44</v>
      </c>
      <c r="AR1016">
        <v>3</v>
      </c>
      <c r="AS1016">
        <v>3</v>
      </c>
      <c r="AT1016">
        <v>3</v>
      </c>
      <c r="AU1016">
        <v>3</v>
      </c>
      <c r="AV1016">
        <v>3</v>
      </c>
      <c r="AW1016">
        <v>4.8</v>
      </c>
      <c r="AY1016">
        <v>4.8</v>
      </c>
      <c r="AZ1016">
        <v>1</v>
      </c>
      <c r="BA1016">
        <v>3</v>
      </c>
      <c r="BB1016">
        <v>40</v>
      </c>
      <c r="BC1016">
        <v>27</v>
      </c>
      <c r="BD1016">
        <v>35.07</v>
      </c>
      <c r="BE1016">
        <v>181</v>
      </c>
      <c r="BF1016">
        <v>87.7</v>
      </c>
      <c r="BG1016">
        <v>40</v>
      </c>
      <c r="BH1016">
        <v>27</v>
      </c>
      <c r="BI1016">
        <v>35.07</v>
      </c>
      <c r="BJ1016">
        <v>181</v>
      </c>
      <c r="BK1016">
        <v>87.7</v>
      </c>
      <c r="BL1016">
        <v>181</v>
      </c>
      <c r="BM1016">
        <v>3.6101000000000001</v>
      </c>
    </row>
    <row r="1017" spans="1:65" x14ac:dyDescent="0.25">
      <c r="A1017" t="s">
        <v>1080</v>
      </c>
      <c r="B1017" t="s">
        <v>2057</v>
      </c>
      <c r="C1017" t="s">
        <v>2157</v>
      </c>
      <c r="D1017" s="1">
        <v>45328</v>
      </c>
      <c r="E1017" s="1">
        <v>45352</v>
      </c>
      <c r="F1017" s="1">
        <v>45402</v>
      </c>
      <c r="G1017" t="s">
        <v>2166</v>
      </c>
      <c r="I1017" t="s">
        <v>2175</v>
      </c>
      <c r="J1017">
        <v>17666</v>
      </c>
      <c r="K1017">
        <v>529</v>
      </c>
      <c r="L1017">
        <v>15.5</v>
      </c>
      <c r="M1017">
        <v>12.4</v>
      </c>
      <c r="N1017">
        <v>7</v>
      </c>
      <c r="O1017">
        <v>17654</v>
      </c>
      <c r="P1017" t="s">
        <v>2178</v>
      </c>
      <c r="Q1017">
        <v>9</v>
      </c>
      <c r="R1017">
        <v>12</v>
      </c>
      <c r="S1017">
        <v>16</v>
      </c>
      <c r="T1017">
        <v>477</v>
      </c>
      <c r="U1017" t="s">
        <v>2166</v>
      </c>
      <c r="W1017" t="s">
        <v>2208</v>
      </c>
      <c r="X1017" t="s">
        <v>2210</v>
      </c>
      <c r="Y1017" t="s">
        <v>2212</v>
      </c>
      <c r="Z1017" s="1">
        <v>45389</v>
      </c>
      <c r="AA1017" s="1">
        <v>45408</v>
      </c>
      <c r="AB1017" t="s">
        <v>2214</v>
      </c>
      <c r="AC1017" t="s">
        <v>2209</v>
      </c>
      <c r="AD1017" t="s">
        <v>2216</v>
      </c>
      <c r="AE1017" t="s">
        <v>2166</v>
      </c>
      <c r="AG1017" t="s">
        <v>2220</v>
      </c>
      <c r="AH1017">
        <v>37</v>
      </c>
      <c r="AI1017">
        <v>56</v>
      </c>
      <c r="AJ1017">
        <v>19</v>
      </c>
      <c r="AK1017">
        <v>3</v>
      </c>
      <c r="AL1017" t="s">
        <v>2227</v>
      </c>
      <c r="AM1017">
        <v>0</v>
      </c>
      <c r="AN1017" t="s">
        <v>2175</v>
      </c>
      <c r="AO1017" t="s">
        <v>2175</v>
      </c>
      <c r="AP1017" t="s">
        <v>2175</v>
      </c>
      <c r="AQ1017">
        <v>192.2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4.8</v>
      </c>
      <c r="AY1017">
        <v>4.8</v>
      </c>
      <c r="AZ1017">
        <v>3</v>
      </c>
      <c r="BA1017">
        <v>3</v>
      </c>
      <c r="BB1017">
        <v>49</v>
      </c>
      <c r="BC1017">
        <v>26</v>
      </c>
      <c r="BD1017">
        <v>43.12</v>
      </c>
      <c r="BE1017">
        <v>216</v>
      </c>
      <c r="BF1017">
        <v>88</v>
      </c>
      <c r="BG1017">
        <v>49</v>
      </c>
      <c r="BH1017">
        <v>26</v>
      </c>
      <c r="BI1017">
        <v>43.12</v>
      </c>
      <c r="BJ1017">
        <v>216</v>
      </c>
      <c r="BK1017">
        <v>88</v>
      </c>
      <c r="BL1017">
        <v>216</v>
      </c>
      <c r="BM1017">
        <v>3.1450999999999998</v>
      </c>
    </row>
    <row r="1018" spans="1:65" x14ac:dyDescent="0.25">
      <c r="A1018" t="s">
        <v>1081</v>
      </c>
      <c r="B1018" t="s">
        <v>2058</v>
      </c>
      <c r="C1018" t="s">
        <v>2158</v>
      </c>
      <c r="D1018" s="1">
        <v>45414</v>
      </c>
      <c r="E1018" s="1">
        <v>45452</v>
      </c>
      <c r="F1018" s="1">
        <v>45528</v>
      </c>
      <c r="G1018" t="s">
        <v>2165</v>
      </c>
      <c r="I1018" t="s">
        <v>2175</v>
      </c>
      <c r="J1018">
        <v>22226</v>
      </c>
      <c r="K1018">
        <v>666</v>
      </c>
      <c r="L1018">
        <v>14.8</v>
      </c>
      <c r="M1018">
        <v>13.4</v>
      </c>
      <c r="N1018">
        <v>7</v>
      </c>
      <c r="O1018">
        <v>15556</v>
      </c>
      <c r="P1018" t="s">
        <v>2178</v>
      </c>
      <c r="Q1018">
        <v>12</v>
      </c>
      <c r="R1018">
        <v>20</v>
      </c>
      <c r="S1018">
        <v>28</v>
      </c>
      <c r="T1018">
        <v>370</v>
      </c>
      <c r="U1018" t="s">
        <v>2165</v>
      </c>
      <c r="W1018" t="s">
        <v>2208</v>
      </c>
      <c r="X1018" t="s">
        <v>2210</v>
      </c>
      <c r="Y1018" t="s">
        <v>2212</v>
      </c>
      <c r="Z1018" s="1">
        <v>45512</v>
      </c>
      <c r="AA1018" s="1">
        <v>45525</v>
      </c>
      <c r="AB1018" t="s">
        <v>2214</v>
      </c>
      <c r="AC1018" t="s">
        <v>2209</v>
      </c>
      <c r="AD1018" t="s">
        <v>2216</v>
      </c>
      <c r="AE1018" t="s">
        <v>2165</v>
      </c>
      <c r="AG1018" t="s">
        <v>2220</v>
      </c>
      <c r="AH1018">
        <v>60</v>
      </c>
      <c r="AI1018">
        <v>73</v>
      </c>
      <c r="AJ1018">
        <v>13</v>
      </c>
      <c r="AK1018">
        <v>6</v>
      </c>
      <c r="AL1018" t="s">
        <v>2223</v>
      </c>
      <c r="AM1018">
        <v>0</v>
      </c>
      <c r="AN1018" t="s">
        <v>2175</v>
      </c>
      <c r="AO1018" t="s">
        <v>2175</v>
      </c>
      <c r="AP1018" t="s">
        <v>2175</v>
      </c>
      <c r="AQ1018">
        <v>198.32</v>
      </c>
      <c r="AR1018">
        <v>3</v>
      </c>
      <c r="AS1018">
        <v>3</v>
      </c>
      <c r="AT1018">
        <v>3</v>
      </c>
      <c r="AU1018">
        <v>3</v>
      </c>
      <c r="AV1018">
        <v>3</v>
      </c>
      <c r="AW1018">
        <v>4.5999999999999996</v>
      </c>
      <c r="AY1018">
        <v>4.5999999999999996</v>
      </c>
      <c r="AZ1018">
        <v>2</v>
      </c>
      <c r="BA1018">
        <v>3</v>
      </c>
      <c r="BB1018">
        <v>40</v>
      </c>
      <c r="BC1018">
        <v>25</v>
      </c>
      <c r="BD1018">
        <v>34.72</v>
      </c>
      <c r="BE1018">
        <v>161</v>
      </c>
      <c r="BF1018">
        <v>86.8</v>
      </c>
      <c r="BG1018">
        <v>40</v>
      </c>
      <c r="BH1018">
        <v>25</v>
      </c>
      <c r="BI1018">
        <v>34.72</v>
      </c>
      <c r="BJ1018">
        <v>161</v>
      </c>
      <c r="BK1018">
        <v>86.8</v>
      </c>
      <c r="BL1018">
        <v>161</v>
      </c>
      <c r="BM1018">
        <v>5.5206</v>
      </c>
    </row>
    <row r="1019" spans="1:65" x14ac:dyDescent="0.25">
      <c r="A1019" t="s">
        <v>1082</v>
      </c>
      <c r="B1019" t="s">
        <v>2059</v>
      </c>
      <c r="C1019" t="s">
        <v>2159</v>
      </c>
      <c r="D1019" s="1">
        <v>45485</v>
      </c>
      <c r="E1019" s="1">
        <v>45507</v>
      </c>
      <c r="F1019" s="1">
        <v>45605</v>
      </c>
      <c r="G1019" t="s">
        <v>2165</v>
      </c>
      <c r="I1019" t="s">
        <v>2175</v>
      </c>
      <c r="J1019">
        <v>24553</v>
      </c>
      <c r="K1019">
        <v>736</v>
      </c>
      <c r="L1019">
        <v>14.9</v>
      </c>
      <c r="M1019">
        <v>13.6</v>
      </c>
      <c r="N1019">
        <v>8</v>
      </c>
      <c r="O1019">
        <v>16074</v>
      </c>
      <c r="P1019" t="s">
        <v>2178</v>
      </c>
      <c r="Q1019">
        <v>23</v>
      </c>
      <c r="R1019">
        <v>31</v>
      </c>
      <c r="S1019">
        <v>27</v>
      </c>
      <c r="T1019">
        <v>303</v>
      </c>
      <c r="U1019" t="s">
        <v>2165</v>
      </c>
      <c r="W1019" t="s">
        <v>2208</v>
      </c>
      <c r="X1019" t="s">
        <v>2210</v>
      </c>
      <c r="Y1019" t="s">
        <v>2212</v>
      </c>
      <c r="Z1019" s="1">
        <v>45588</v>
      </c>
      <c r="AA1019" s="1">
        <v>45605</v>
      </c>
      <c r="AB1019" t="s">
        <v>2214</v>
      </c>
      <c r="AC1019" t="s">
        <v>2209</v>
      </c>
      <c r="AD1019" t="s">
        <v>2216</v>
      </c>
      <c r="AE1019" t="s">
        <v>2165</v>
      </c>
      <c r="AG1019" t="s">
        <v>2220</v>
      </c>
      <c r="AH1019">
        <v>81</v>
      </c>
      <c r="AI1019">
        <v>98</v>
      </c>
      <c r="AJ1019">
        <v>17</v>
      </c>
      <c r="AK1019">
        <v>8</v>
      </c>
      <c r="AL1019" t="s">
        <v>2232</v>
      </c>
      <c r="AM1019">
        <v>0</v>
      </c>
      <c r="AN1019" t="s">
        <v>2175</v>
      </c>
      <c r="AO1019" t="s">
        <v>2175</v>
      </c>
      <c r="AP1019" t="s">
        <v>2175</v>
      </c>
      <c r="AQ1019">
        <v>202.64</v>
      </c>
      <c r="AR1019">
        <v>3</v>
      </c>
      <c r="AS1019">
        <v>3</v>
      </c>
      <c r="AT1019">
        <v>3</v>
      </c>
      <c r="AU1019">
        <v>3</v>
      </c>
      <c r="AV1019">
        <v>3</v>
      </c>
      <c r="AW1019">
        <v>4.5999999999999996</v>
      </c>
      <c r="AY1019">
        <v>4.5999999999999996</v>
      </c>
      <c r="AZ1019">
        <v>0</v>
      </c>
      <c r="BA1019">
        <v>3</v>
      </c>
      <c r="BB1019">
        <v>36</v>
      </c>
      <c r="BC1019">
        <v>26</v>
      </c>
      <c r="BD1019">
        <v>31.73</v>
      </c>
      <c r="BE1019">
        <v>152</v>
      </c>
      <c r="BF1019">
        <v>88.1</v>
      </c>
      <c r="BG1019">
        <v>36</v>
      </c>
      <c r="BH1019">
        <v>26</v>
      </c>
      <c r="BI1019">
        <v>31.73</v>
      </c>
      <c r="BJ1019">
        <v>152</v>
      </c>
      <c r="BK1019">
        <v>88.1</v>
      </c>
      <c r="BL1019">
        <v>152</v>
      </c>
      <c r="BM1019">
        <v>6.2111999999999998</v>
      </c>
    </row>
    <row r="1020" spans="1:65" x14ac:dyDescent="0.25">
      <c r="A1020" t="s">
        <v>1083</v>
      </c>
      <c r="B1020" t="s">
        <v>1732</v>
      </c>
      <c r="C1020" t="s">
        <v>2160</v>
      </c>
      <c r="D1020" s="1">
        <v>45529</v>
      </c>
      <c r="E1020" s="1">
        <v>45567</v>
      </c>
      <c r="F1020" s="1">
        <v>45661</v>
      </c>
      <c r="G1020" t="s">
        <v>2166</v>
      </c>
      <c r="I1020" t="s">
        <v>2175</v>
      </c>
      <c r="J1020">
        <v>24193</v>
      </c>
      <c r="K1020">
        <v>725</v>
      </c>
      <c r="L1020">
        <v>13.5</v>
      </c>
      <c r="M1020">
        <v>16.5</v>
      </c>
      <c r="N1020">
        <v>7</v>
      </c>
      <c r="O1020">
        <v>18714</v>
      </c>
      <c r="P1020" t="s">
        <v>2178</v>
      </c>
      <c r="Q1020">
        <v>23</v>
      </c>
      <c r="R1020">
        <v>32</v>
      </c>
      <c r="S1020">
        <v>27</v>
      </c>
      <c r="T1020">
        <v>295</v>
      </c>
      <c r="U1020" t="s">
        <v>2166</v>
      </c>
      <c r="W1020" t="s">
        <v>2208</v>
      </c>
      <c r="X1020" t="s">
        <v>2210</v>
      </c>
      <c r="Y1020" t="s">
        <v>2212</v>
      </c>
      <c r="Z1020" s="1">
        <v>45649</v>
      </c>
      <c r="AA1020" s="1">
        <v>45664</v>
      </c>
      <c r="AB1020" t="s">
        <v>2215</v>
      </c>
      <c r="AC1020" t="s">
        <v>2208</v>
      </c>
      <c r="AD1020" t="s">
        <v>2216</v>
      </c>
      <c r="AE1020" t="s">
        <v>2166</v>
      </c>
      <c r="AG1020" t="s">
        <v>2220</v>
      </c>
      <c r="AH1020">
        <v>82</v>
      </c>
      <c r="AI1020">
        <v>97</v>
      </c>
      <c r="AJ1020">
        <v>15</v>
      </c>
      <c r="AK1020">
        <v>10</v>
      </c>
      <c r="AL1020" t="s">
        <v>2230</v>
      </c>
      <c r="AM1020">
        <v>1</v>
      </c>
      <c r="AN1020" t="s">
        <v>2175</v>
      </c>
      <c r="AO1020" t="s">
        <v>2175</v>
      </c>
      <c r="AP1020" t="s">
        <v>2175</v>
      </c>
      <c r="AQ1020">
        <v>222.75</v>
      </c>
      <c r="AR1020">
        <v>3</v>
      </c>
      <c r="AS1020">
        <v>3</v>
      </c>
      <c r="AT1020">
        <v>3</v>
      </c>
      <c r="AU1020">
        <v>3</v>
      </c>
      <c r="AV1020">
        <v>3</v>
      </c>
      <c r="AW1020">
        <v>4.8</v>
      </c>
      <c r="AY1020">
        <v>4.8</v>
      </c>
      <c r="AZ1020">
        <v>1</v>
      </c>
      <c r="BA1020">
        <v>3</v>
      </c>
      <c r="BB1020">
        <v>50</v>
      </c>
      <c r="BC1020">
        <v>27</v>
      </c>
      <c r="BD1020">
        <v>42.44</v>
      </c>
      <c r="BE1020">
        <v>220</v>
      </c>
      <c r="BF1020">
        <v>84.9</v>
      </c>
      <c r="BG1020">
        <v>50</v>
      </c>
      <c r="BH1020">
        <v>27</v>
      </c>
      <c r="BI1020">
        <v>42.44</v>
      </c>
      <c r="BJ1020">
        <v>220</v>
      </c>
      <c r="BK1020">
        <v>84.9</v>
      </c>
      <c r="BL1020">
        <v>220</v>
      </c>
      <c r="BM1020">
        <v>4.0721999999999996</v>
      </c>
    </row>
    <row r="1021" spans="1:65" x14ac:dyDescent="0.25">
      <c r="A1021" t="s">
        <v>1084</v>
      </c>
      <c r="B1021" t="s">
        <v>2060</v>
      </c>
      <c r="C1021" t="s">
        <v>2159</v>
      </c>
      <c r="D1021" s="1">
        <v>45369</v>
      </c>
      <c r="E1021" s="1">
        <v>45419</v>
      </c>
      <c r="F1021" s="1">
        <v>45508</v>
      </c>
      <c r="G1021" t="s">
        <v>2166</v>
      </c>
      <c r="I1021" t="s">
        <v>2175</v>
      </c>
      <c r="J1021">
        <v>28411</v>
      </c>
      <c r="K1021">
        <v>852</v>
      </c>
      <c r="L1021">
        <v>16.2</v>
      </c>
      <c r="M1021">
        <v>16.7</v>
      </c>
      <c r="N1021">
        <v>7</v>
      </c>
      <c r="O1021">
        <v>15451</v>
      </c>
      <c r="P1021" t="s">
        <v>2178</v>
      </c>
      <c r="Q1021">
        <v>20</v>
      </c>
      <c r="R1021">
        <v>29</v>
      </c>
      <c r="S1021">
        <v>27</v>
      </c>
      <c r="T1021">
        <v>373</v>
      </c>
      <c r="U1021" t="s">
        <v>2166</v>
      </c>
      <c r="W1021" t="s">
        <v>2208</v>
      </c>
      <c r="X1021" t="s">
        <v>2210</v>
      </c>
      <c r="Y1021" t="s">
        <v>2212</v>
      </c>
      <c r="Z1021" s="1">
        <v>45495</v>
      </c>
      <c r="AA1021" s="1">
        <v>45512</v>
      </c>
      <c r="AB1021" t="s">
        <v>2214</v>
      </c>
      <c r="AC1021" t="s">
        <v>2209</v>
      </c>
      <c r="AD1021" t="s">
        <v>2216</v>
      </c>
      <c r="AE1021" t="s">
        <v>2166</v>
      </c>
      <c r="AG1021" t="s">
        <v>2220</v>
      </c>
      <c r="AH1021">
        <v>76</v>
      </c>
      <c r="AI1021">
        <v>93</v>
      </c>
      <c r="AJ1021">
        <v>17</v>
      </c>
      <c r="AK1021">
        <v>5</v>
      </c>
      <c r="AL1021" t="s">
        <v>2224</v>
      </c>
      <c r="AM1021">
        <v>0</v>
      </c>
      <c r="AN1021" t="s">
        <v>2175</v>
      </c>
      <c r="AO1021" t="s">
        <v>2175</v>
      </c>
      <c r="AP1021" t="s">
        <v>2175</v>
      </c>
      <c r="AQ1021">
        <v>270.54000000000002</v>
      </c>
      <c r="AR1021">
        <v>3</v>
      </c>
      <c r="AS1021">
        <v>3</v>
      </c>
      <c r="AT1021">
        <v>3</v>
      </c>
      <c r="AU1021">
        <v>3</v>
      </c>
      <c r="AV1021">
        <v>3</v>
      </c>
      <c r="AW1021">
        <v>4.8</v>
      </c>
      <c r="AY1021">
        <v>4.8</v>
      </c>
      <c r="AZ1021">
        <v>0</v>
      </c>
      <c r="BA1021">
        <v>3</v>
      </c>
      <c r="BB1021">
        <v>43</v>
      </c>
      <c r="BC1021">
        <v>27</v>
      </c>
      <c r="BD1021">
        <v>37.299999999999997</v>
      </c>
      <c r="BE1021">
        <v>193</v>
      </c>
      <c r="BF1021">
        <v>86.7</v>
      </c>
      <c r="BG1021">
        <v>43</v>
      </c>
      <c r="BH1021">
        <v>27</v>
      </c>
      <c r="BI1021">
        <v>37.299999999999997</v>
      </c>
      <c r="BJ1021">
        <v>193</v>
      </c>
      <c r="BK1021">
        <v>86.7</v>
      </c>
      <c r="BL1021">
        <v>193</v>
      </c>
      <c r="BM1021">
        <v>5.4511000000000003</v>
      </c>
    </row>
    <row r="1022" spans="1:65" x14ac:dyDescent="0.25">
      <c r="A1022" t="s">
        <v>1085</v>
      </c>
      <c r="B1022" t="s">
        <v>2061</v>
      </c>
      <c r="C1022" t="s">
        <v>2159</v>
      </c>
      <c r="D1022" s="1">
        <v>45528</v>
      </c>
      <c r="E1022" s="1">
        <v>45569</v>
      </c>
      <c r="F1022" s="1">
        <v>45724</v>
      </c>
      <c r="G1022" t="s">
        <v>2165</v>
      </c>
      <c r="I1022" t="s">
        <v>2175</v>
      </c>
      <c r="J1022">
        <v>43712</v>
      </c>
      <c r="K1022">
        <v>1311</v>
      </c>
      <c r="L1022">
        <v>10.8</v>
      </c>
      <c r="M1022">
        <v>12.3</v>
      </c>
      <c r="N1022">
        <v>7</v>
      </c>
      <c r="O1022">
        <v>18520</v>
      </c>
      <c r="P1022" t="s">
        <v>2178</v>
      </c>
      <c r="Q1022">
        <v>35</v>
      </c>
      <c r="R1022">
        <v>54</v>
      </c>
      <c r="S1022">
        <v>50</v>
      </c>
      <c r="T1022">
        <v>314</v>
      </c>
      <c r="U1022" t="s">
        <v>2165</v>
      </c>
      <c r="W1022" t="s">
        <v>2208</v>
      </c>
      <c r="X1022" t="s">
        <v>2210</v>
      </c>
      <c r="Y1022" t="s">
        <v>2212</v>
      </c>
      <c r="Z1022" s="1">
        <v>45708</v>
      </c>
      <c r="AA1022" s="1">
        <v>45724</v>
      </c>
      <c r="AB1022" t="s">
        <v>2214</v>
      </c>
      <c r="AC1022" t="s">
        <v>2209</v>
      </c>
      <c r="AD1022" t="s">
        <v>2216</v>
      </c>
      <c r="AE1022" t="s">
        <v>2165</v>
      </c>
      <c r="AG1022" t="s">
        <v>2220</v>
      </c>
      <c r="AH1022">
        <v>139</v>
      </c>
      <c r="AI1022">
        <v>155</v>
      </c>
      <c r="AJ1022">
        <v>16</v>
      </c>
      <c r="AK1022">
        <v>10</v>
      </c>
      <c r="AL1022" t="s">
        <v>2230</v>
      </c>
      <c r="AM1022">
        <v>1</v>
      </c>
      <c r="AN1022" t="s">
        <v>2175</v>
      </c>
      <c r="AO1022" t="s">
        <v>2175</v>
      </c>
      <c r="AP1022" t="s">
        <v>2175</v>
      </c>
      <c r="AQ1022">
        <v>132.84</v>
      </c>
      <c r="AR1022">
        <v>3</v>
      </c>
      <c r="AS1022">
        <v>3</v>
      </c>
      <c r="AT1022">
        <v>3</v>
      </c>
      <c r="AU1022">
        <v>3</v>
      </c>
      <c r="AV1022">
        <v>3</v>
      </c>
      <c r="AW1022">
        <v>4.5999999999999996</v>
      </c>
      <c r="AY1022">
        <v>4.5999999999999996</v>
      </c>
      <c r="AZ1022">
        <v>0</v>
      </c>
      <c r="BA1022">
        <v>3</v>
      </c>
      <c r="BB1022">
        <v>43</v>
      </c>
      <c r="BC1022">
        <v>27</v>
      </c>
      <c r="BD1022">
        <v>37.33</v>
      </c>
      <c r="BE1022">
        <v>194</v>
      </c>
      <c r="BF1022">
        <v>86.8</v>
      </c>
      <c r="BG1022">
        <v>43</v>
      </c>
      <c r="BH1022">
        <v>27</v>
      </c>
      <c r="BI1022">
        <v>37.33</v>
      </c>
      <c r="BJ1022">
        <v>194</v>
      </c>
      <c r="BK1022">
        <v>86.8</v>
      </c>
      <c r="BL1022">
        <v>194</v>
      </c>
      <c r="BM1022">
        <v>8.3436000000000003</v>
      </c>
    </row>
    <row r="1023" spans="1:65" x14ac:dyDescent="0.25">
      <c r="A1023" t="s">
        <v>1086</v>
      </c>
      <c r="B1023" t="s">
        <v>2062</v>
      </c>
      <c r="C1023" t="s">
        <v>2160</v>
      </c>
      <c r="D1023" s="1">
        <v>45554</v>
      </c>
      <c r="E1023" s="1">
        <v>45579</v>
      </c>
      <c r="F1023" s="1">
        <v>45696</v>
      </c>
      <c r="G1023" t="s">
        <v>2166</v>
      </c>
      <c r="I1023" t="s">
        <v>2175</v>
      </c>
      <c r="J1023">
        <v>31312</v>
      </c>
      <c r="K1023">
        <v>939</v>
      </c>
      <c r="L1023">
        <v>16.7</v>
      </c>
      <c r="M1023">
        <v>15.2</v>
      </c>
      <c r="N1023">
        <v>8</v>
      </c>
      <c r="O1023">
        <v>16446</v>
      </c>
      <c r="P1023" t="s">
        <v>2178</v>
      </c>
      <c r="Q1023">
        <v>27</v>
      </c>
      <c r="R1023">
        <v>44</v>
      </c>
      <c r="S1023">
        <v>33</v>
      </c>
      <c r="T1023">
        <v>301</v>
      </c>
      <c r="U1023" t="s">
        <v>2166</v>
      </c>
      <c r="W1023" t="s">
        <v>2208</v>
      </c>
      <c r="X1023" t="s">
        <v>2210</v>
      </c>
      <c r="Y1023" t="s">
        <v>2212</v>
      </c>
      <c r="Z1023" s="1">
        <v>45683</v>
      </c>
      <c r="AA1023" s="1">
        <v>45696</v>
      </c>
      <c r="AB1023" t="s">
        <v>2214</v>
      </c>
      <c r="AC1023" t="s">
        <v>2209</v>
      </c>
      <c r="AD1023" t="s">
        <v>2216</v>
      </c>
      <c r="AE1023" t="s">
        <v>2166</v>
      </c>
      <c r="AG1023" t="s">
        <v>2220</v>
      </c>
      <c r="AH1023">
        <v>104</v>
      </c>
      <c r="AI1023">
        <v>117</v>
      </c>
      <c r="AJ1023">
        <v>13</v>
      </c>
      <c r="AK1023">
        <v>10</v>
      </c>
      <c r="AL1023" t="s">
        <v>2230</v>
      </c>
      <c r="AM1023">
        <v>1</v>
      </c>
      <c r="AN1023" t="s">
        <v>2175</v>
      </c>
      <c r="AO1023" t="s">
        <v>2175</v>
      </c>
      <c r="AP1023" t="s">
        <v>2175</v>
      </c>
      <c r="AQ1023">
        <v>253.84</v>
      </c>
      <c r="AR1023">
        <v>3</v>
      </c>
      <c r="AS1023">
        <v>3</v>
      </c>
      <c r="AT1023">
        <v>3</v>
      </c>
      <c r="AU1023">
        <v>3</v>
      </c>
      <c r="AV1023">
        <v>3</v>
      </c>
      <c r="AW1023">
        <v>4.8</v>
      </c>
      <c r="AY1023">
        <v>4.8</v>
      </c>
      <c r="AZ1023">
        <v>1</v>
      </c>
      <c r="BA1023">
        <v>3</v>
      </c>
      <c r="BB1023">
        <v>50</v>
      </c>
      <c r="BC1023">
        <v>27</v>
      </c>
      <c r="BD1023">
        <v>42.44</v>
      </c>
      <c r="BE1023">
        <v>220</v>
      </c>
      <c r="BF1023">
        <v>84.9</v>
      </c>
      <c r="BG1023">
        <v>50</v>
      </c>
      <c r="BH1023">
        <v>27</v>
      </c>
      <c r="BI1023">
        <v>42.44</v>
      </c>
      <c r="BJ1023">
        <v>220</v>
      </c>
      <c r="BK1023">
        <v>84.9</v>
      </c>
      <c r="BL1023">
        <v>220</v>
      </c>
      <c r="BM1023">
        <v>5.2705000000000002</v>
      </c>
    </row>
    <row r="1024" spans="1:65" x14ac:dyDescent="0.25">
      <c r="A1024" t="s">
        <v>1087</v>
      </c>
      <c r="B1024" t="s">
        <v>2063</v>
      </c>
      <c r="C1024" t="s">
        <v>2158</v>
      </c>
      <c r="D1024" s="1">
        <v>45371</v>
      </c>
      <c r="E1024" s="1">
        <v>45424</v>
      </c>
      <c r="F1024" s="1">
        <v>45533</v>
      </c>
      <c r="G1024" t="s">
        <v>2165</v>
      </c>
      <c r="I1024" t="s">
        <v>2175</v>
      </c>
      <c r="J1024">
        <v>30390</v>
      </c>
      <c r="K1024">
        <v>911</v>
      </c>
      <c r="L1024">
        <v>11.1</v>
      </c>
      <c r="M1024">
        <v>14.4</v>
      </c>
      <c r="N1024">
        <v>7</v>
      </c>
      <c r="O1024">
        <v>16410</v>
      </c>
      <c r="P1024" t="s">
        <v>2178</v>
      </c>
      <c r="Q1024">
        <v>27</v>
      </c>
      <c r="R1024">
        <v>39</v>
      </c>
      <c r="S1024">
        <v>26</v>
      </c>
      <c r="T1024">
        <v>330</v>
      </c>
      <c r="U1024" t="s">
        <v>2165</v>
      </c>
      <c r="W1024" t="s">
        <v>2208</v>
      </c>
      <c r="X1024" t="s">
        <v>2210</v>
      </c>
      <c r="Y1024" t="s">
        <v>2212</v>
      </c>
      <c r="Z1024" s="1">
        <v>45516</v>
      </c>
      <c r="AA1024" s="1">
        <v>45530</v>
      </c>
      <c r="AB1024" t="s">
        <v>2214</v>
      </c>
      <c r="AC1024" t="s">
        <v>2209</v>
      </c>
      <c r="AD1024" t="s">
        <v>2216</v>
      </c>
      <c r="AE1024" t="s">
        <v>2165</v>
      </c>
      <c r="AG1024" t="s">
        <v>2220</v>
      </c>
      <c r="AH1024">
        <v>92</v>
      </c>
      <c r="AI1024">
        <v>106</v>
      </c>
      <c r="AJ1024">
        <v>14</v>
      </c>
      <c r="AK1024">
        <v>5</v>
      </c>
      <c r="AL1024" t="s">
        <v>2224</v>
      </c>
      <c r="AM1024">
        <v>0</v>
      </c>
      <c r="AN1024" t="s">
        <v>2175</v>
      </c>
      <c r="AO1024" t="s">
        <v>2175</v>
      </c>
      <c r="AP1024" t="s">
        <v>2175</v>
      </c>
      <c r="AQ1024">
        <v>159.84</v>
      </c>
      <c r="AR1024">
        <v>3</v>
      </c>
      <c r="AS1024">
        <v>3</v>
      </c>
      <c r="AT1024">
        <v>3</v>
      </c>
      <c r="AU1024">
        <v>3</v>
      </c>
      <c r="AV1024">
        <v>3</v>
      </c>
      <c r="AW1024">
        <v>4.5999999999999996</v>
      </c>
      <c r="AY1024">
        <v>4.5999999999999996</v>
      </c>
      <c r="AZ1024">
        <v>2</v>
      </c>
      <c r="BA1024">
        <v>3</v>
      </c>
      <c r="BB1024">
        <v>36</v>
      </c>
      <c r="BC1024">
        <v>27</v>
      </c>
      <c r="BD1024">
        <v>31.37</v>
      </c>
      <c r="BE1024">
        <v>158</v>
      </c>
      <c r="BF1024">
        <v>87.1</v>
      </c>
      <c r="BG1024">
        <v>36</v>
      </c>
      <c r="BH1024">
        <v>27</v>
      </c>
      <c r="BI1024">
        <v>31.37</v>
      </c>
      <c r="BJ1024">
        <v>158</v>
      </c>
      <c r="BK1024">
        <v>87.1</v>
      </c>
      <c r="BL1024">
        <v>158</v>
      </c>
      <c r="BM1024">
        <v>7.1220999999999997</v>
      </c>
    </row>
    <row r="1025" spans="1:65" x14ac:dyDescent="0.25">
      <c r="A1025" t="s">
        <v>1088</v>
      </c>
      <c r="B1025" t="s">
        <v>2064</v>
      </c>
      <c r="C1025" t="s">
        <v>2159</v>
      </c>
      <c r="D1025" s="1">
        <v>45348</v>
      </c>
      <c r="E1025" s="1">
        <v>45397</v>
      </c>
      <c r="F1025" s="1">
        <v>45505</v>
      </c>
      <c r="G1025" t="s">
        <v>2165</v>
      </c>
      <c r="I1025" t="s">
        <v>2175</v>
      </c>
      <c r="J1025">
        <v>35946</v>
      </c>
      <c r="K1025">
        <v>1078</v>
      </c>
      <c r="L1025">
        <v>17.7</v>
      </c>
      <c r="M1025">
        <v>17.100000000000001</v>
      </c>
      <c r="N1025">
        <v>7</v>
      </c>
      <c r="O1025">
        <v>17750</v>
      </c>
      <c r="P1025" t="s">
        <v>2178</v>
      </c>
      <c r="Q1025">
        <v>22</v>
      </c>
      <c r="R1025">
        <v>32</v>
      </c>
      <c r="S1025">
        <v>42</v>
      </c>
      <c r="T1025">
        <v>374</v>
      </c>
      <c r="U1025" t="s">
        <v>2165</v>
      </c>
      <c r="W1025" t="s">
        <v>2208</v>
      </c>
      <c r="X1025" t="s">
        <v>2210</v>
      </c>
      <c r="Y1025" t="s">
        <v>2212</v>
      </c>
      <c r="Z1025" s="1">
        <v>45493</v>
      </c>
      <c r="AA1025" s="1">
        <v>45511</v>
      </c>
      <c r="AB1025" t="s">
        <v>2215</v>
      </c>
      <c r="AC1025" t="s">
        <v>2208</v>
      </c>
      <c r="AD1025" t="s">
        <v>2216</v>
      </c>
      <c r="AE1025" t="s">
        <v>2165</v>
      </c>
      <c r="AG1025" t="s">
        <v>2220</v>
      </c>
      <c r="AH1025">
        <v>96</v>
      </c>
      <c r="AI1025">
        <v>114</v>
      </c>
      <c r="AJ1025">
        <v>18</v>
      </c>
      <c r="AK1025">
        <v>4</v>
      </c>
      <c r="AL1025" t="s">
        <v>2225</v>
      </c>
      <c r="AM1025">
        <v>0</v>
      </c>
      <c r="AN1025" t="s">
        <v>2175</v>
      </c>
      <c r="AO1025" t="s">
        <v>2175</v>
      </c>
      <c r="AP1025" t="s">
        <v>2175</v>
      </c>
      <c r="AQ1025">
        <v>302.67</v>
      </c>
      <c r="AR1025">
        <v>3</v>
      </c>
      <c r="AS1025">
        <v>3</v>
      </c>
      <c r="AT1025">
        <v>3</v>
      </c>
      <c r="AU1025">
        <v>3</v>
      </c>
      <c r="AV1025">
        <v>3</v>
      </c>
      <c r="AW1025">
        <v>4.5999999999999996</v>
      </c>
      <c r="AY1025">
        <v>4.5999999999999996</v>
      </c>
      <c r="AZ1025">
        <v>0</v>
      </c>
      <c r="BA1025">
        <v>3</v>
      </c>
      <c r="BB1025">
        <v>46</v>
      </c>
      <c r="BC1025">
        <v>26</v>
      </c>
      <c r="BD1025">
        <v>40.729999999999997</v>
      </c>
      <c r="BE1025">
        <v>203</v>
      </c>
      <c r="BF1025">
        <v>88.5</v>
      </c>
      <c r="BG1025">
        <v>46</v>
      </c>
      <c r="BH1025">
        <v>26</v>
      </c>
      <c r="BI1025">
        <v>40.729999999999997</v>
      </c>
      <c r="BJ1025">
        <v>203</v>
      </c>
      <c r="BK1025">
        <v>88.5</v>
      </c>
      <c r="BL1025">
        <v>203</v>
      </c>
      <c r="BM1025">
        <v>6.8091999999999997</v>
      </c>
    </row>
    <row r="1026" spans="1:65" x14ac:dyDescent="0.25">
      <c r="A1026" t="s">
        <v>1089</v>
      </c>
      <c r="B1026" t="s">
        <v>2065</v>
      </c>
      <c r="C1026" t="s">
        <v>2157</v>
      </c>
      <c r="D1026" s="1">
        <v>45543</v>
      </c>
      <c r="E1026" s="1">
        <v>45567</v>
      </c>
      <c r="F1026" s="1">
        <v>45690</v>
      </c>
      <c r="G1026" t="s">
        <v>2165</v>
      </c>
      <c r="I1026" t="s">
        <v>2175</v>
      </c>
      <c r="J1026">
        <v>33015</v>
      </c>
      <c r="K1026">
        <v>990</v>
      </c>
      <c r="L1026">
        <v>17.600000000000001</v>
      </c>
      <c r="M1026">
        <v>13.2</v>
      </c>
      <c r="N1026">
        <v>8</v>
      </c>
      <c r="O1026">
        <v>15929</v>
      </c>
      <c r="P1026" t="s">
        <v>2178</v>
      </c>
      <c r="Q1026">
        <v>25</v>
      </c>
      <c r="R1026">
        <v>33</v>
      </c>
      <c r="S1026">
        <v>46</v>
      </c>
      <c r="T1026">
        <v>317</v>
      </c>
      <c r="U1026" t="s">
        <v>2165</v>
      </c>
      <c r="W1026" t="s">
        <v>2208</v>
      </c>
      <c r="X1026" t="s">
        <v>2210</v>
      </c>
      <c r="Y1026" t="s">
        <v>2212</v>
      </c>
      <c r="Z1026" s="1">
        <v>45671</v>
      </c>
      <c r="AA1026" s="1">
        <v>45688</v>
      </c>
      <c r="AB1026" t="s">
        <v>2214</v>
      </c>
      <c r="AC1026" t="s">
        <v>2209</v>
      </c>
      <c r="AD1026" t="s">
        <v>2216</v>
      </c>
      <c r="AE1026" t="s">
        <v>2165</v>
      </c>
      <c r="AG1026" t="s">
        <v>2220</v>
      </c>
      <c r="AH1026">
        <v>104</v>
      </c>
      <c r="AI1026">
        <v>121</v>
      </c>
      <c r="AJ1026">
        <v>17</v>
      </c>
      <c r="AK1026">
        <v>10</v>
      </c>
      <c r="AL1026" t="s">
        <v>2230</v>
      </c>
      <c r="AM1026">
        <v>1</v>
      </c>
      <c r="AN1026" t="s">
        <v>2175</v>
      </c>
      <c r="AO1026" t="s">
        <v>2175</v>
      </c>
      <c r="AP1026" t="s">
        <v>2175</v>
      </c>
      <c r="AQ1026">
        <v>232.32</v>
      </c>
      <c r="AR1026">
        <v>3</v>
      </c>
      <c r="AS1026">
        <v>3</v>
      </c>
      <c r="AT1026">
        <v>3</v>
      </c>
      <c r="AU1026">
        <v>3</v>
      </c>
      <c r="AV1026">
        <v>3</v>
      </c>
      <c r="AW1026">
        <v>4.5999999999999996</v>
      </c>
      <c r="AY1026">
        <v>4.5999999999999996</v>
      </c>
      <c r="AZ1026">
        <v>3</v>
      </c>
      <c r="BA1026">
        <v>3</v>
      </c>
      <c r="BB1026">
        <v>43</v>
      </c>
      <c r="BC1026">
        <v>27</v>
      </c>
      <c r="BD1026">
        <v>37.33</v>
      </c>
      <c r="BE1026">
        <v>194</v>
      </c>
      <c r="BF1026">
        <v>86.8</v>
      </c>
      <c r="BG1026">
        <v>43</v>
      </c>
      <c r="BH1026">
        <v>27</v>
      </c>
      <c r="BI1026">
        <v>37.33</v>
      </c>
      <c r="BJ1026">
        <v>194</v>
      </c>
      <c r="BK1026">
        <v>86.8</v>
      </c>
      <c r="BL1026">
        <v>194</v>
      </c>
      <c r="BM1026">
        <v>6.3018000000000001</v>
      </c>
    </row>
    <row r="1027" spans="1:65" x14ac:dyDescent="0.25">
      <c r="A1027" t="s">
        <v>1090</v>
      </c>
      <c r="B1027" t="s">
        <v>2066</v>
      </c>
      <c r="C1027" t="s">
        <v>2160</v>
      </c>
      <c r="D1027" s="1">
        <v>45370</v>
      </c>
      <c r="E1027" s="1">
        <v>45415</v>
      </c>
      <c r="F1027" s="1">
        <v>45512</v>
      </c>
      <c r="G1027" t="s">
        <v>2165</v>
      </c>
      <c r="I1027" t="s">
        <v>2175</v>
      </c>
      <c r="J1027">
        <v>36113</v>
      </c>
      <c r="K1027">
        <v>1083</v>
      </c>
      <c r="L1027">
        <v>14.5</v>
      </c>
      <c r="M1027">
        <v>11.5</v>
      </c>
      <c r="N1027">
        <v>8</v>
      </c>
      <c r="O1027">
        <v>15916</v>
      </c>
      <c r="P1027" t="s">
        <v>2178</v>
      </c>
      <c r="Q1027">
        <v>20</v>
      </c>
      <c r="R1027">
        <v>28</v>
      </c>
      <c r="S1027">
        <v>32</v>
      </c>
      <c r="T1027">
        <v>451</v>
      </c>
      <c r="U1027" t="s">
        <v>2165</v>
      </c>
      <c r="W1027" t="s">
        <v>2208</v>
      </c>
      <c r="X1027" t="s">
        <v>2210</v>
      </c>
      <c r="Y1027" t="s">
        <v>2212</v>
      </c>
      <c r="Z1027" s="1">
        <v>45495</v>
      </c>
      <c r="AA1027" s="1">
        <v>45514</v>
      </c>
      <c r="AB1027" t="s">
        <v>2214</v>
      </c>
      <c r="AC1027" t="s">
        <v>2209</v>
      </c>
      <c r="AD1027" t="s">
        <v>2216</v>
      </c>
      <c r="AE1027" t="s">
        <v>2165</v>
      </c>
      <c r="AG1027" t="s">
        <v>2220</v>
      </c>
      <c r="AH1027">
        <v>80</v>
      </c>
      <c r="AI1027">
        <v>99</v>
      </c>
      <c r="AJ1027">
        <v>19</v>
      </c>
      <c r="AK1027">
        <v>5</v>
      </c>
      <c r="AL1027" t="s">
        <v>2224</v>
      </c>
      <c r="AM1027">
        <v>0</v>
      </c>
      <c r="AN1027" t="s">
        <v>2175</v>
      </c>
      <c r="AO1027" t="s">
        <v>2175</v>
      </c>
      <c r="AP1027" t="s">
        <v>2175</v>
      </c>
      <c r="AQ1027">
        <v>166.75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4.5999999999999996</v>
      </c>
      <c r="AY1027">
        <v>4.5999999999999996</v>
      </c>
      <c r="AZ1027">
        <v>1</v>
      </c>
      <c r="BA1027">
        <v>3</v>
      </c>
      <c r="BB1027">
        <v>36</v>
      </c>
      <c r="BC1027">
        <v>27</v>
      </c>
      <c r="BD1027">
        <v>31.37</v>
      </c>
      <c r="BE1027">
        <v>158</v>
      </c>
      <c r="BF1027">
        <v>87.1</v>
      </c>
      <c r="BG1027">
        <v>36</v>
      </c>
      <c r="BH1027">
        <v>27</v>
      </c>
      <c r="BI1027">
        <v>31.37</v>
      </c>
      <c r="BJ1027">
        <v>158</v>
      </c>
      <c r="BK1027">
        <v>87.1</v>
      </c>
      <c r="BL1027">
        <v>158</v>
      </c>
      <c r="BM1027">
        <v>8.4633000000000003</v>
      </c>
    </row>
    <row r="1028" spans="1:65" x14ac:dyDescent="0.25">
      <c r="A1028" t="s">
        <v>1091</v>
      </c>
      <c r="B1028" t="s">
        <v>2067</v>
      </c>
      <c r="C1028" t="s">
        <v>2158</v>
      </c>
      <c r="D1028" s="1">
        <v>45407</v>
      </c>
      <c r="E1028" s="1">
        <v>45450</v>
      </c>
      <c r="F1028" s="1">
        <v>45572</v>
      </c>
      <c r="G1028" t="s">
        <v>2165</v>
      </c>
      <c r="I1028" t="s">
        <v>2175</v>
      </c>
      <c r="J1028">
        <v>34517</v>
      </c>
      <c r="K1028">
        <v>1035</v>
      </c>
      <c r="L1028">
        <v>14</v>
      </c>
      <c r="M1028">
        <v>14.5</v>
      </c>
      <c r="N1028">
        <v>8</v>
      </c>
      <c r="O1028">
        <v>18825</v>
      </c>
      <c r="P1028" t="s">
        <v>2178</v>
      </c>
      <c r="Q1028">
        <v>23</v>
      </c>
      <c r="R1028">
        <v>34</v>
      </c>
      <c r="S1028">
        <v>48</v>
      </c>
      <c r="T1028">
        <v>328</v>
      </c>
      <c r="U1028" t="s">
        <v>2165</v>
      </c>
      <c r="W1028" t="s">
        <v>2208</v>
      </c>
      <c r="X1028" t="s">
        <v>2210</v>
      </c>
      <c r="Y1028" t="s">
        <v>2212</v>
      </c>
      <c r="Z1028" s="1">
        <v>45555</v>
      </c>
      <c r="AA1028" s="1">
        <v>45570</v>
      </c>
      <c r="AB1028" t="s">
        <v>2214</v>
      </c>
      <c r="AC1028" t="s">
        <v>2209</v>
      </c>
      <c r="AD1028" t="s">
        <v>2216</v>
      </c>
      <c r="AE1028" t="s">
        <v>2165</v>
      </c>
      <c r="AG1028" t="s">
        <v>2220</v>
      </c>
      <c r="AH1028">
        <v>105</v>
      </c>
      <c r="AI1028">
        <v>120</v>
      </c>
      <c r="AJ1028">
        <v>15</v>
      </c>
      <c r="AK1028">
        <v>6</v>
      </c>
      <c r="AL1028" t="s">
        <v>2223</v>
      </c>
      <c r="AM1028">
        <v>0</v>
      </c>
      <c r="AN1028" t="s">
        <v>2175</v>
      </c>
      <c r="AO1028" t="s">
        <v>2175</v>
      </c>
      <c r="AP1028" t="s">
        <v>2175</v>
      </c>
      <c r="AQ1028">
        <v>203</v>
      </c>
      <c r="AR1028">
        <v>3</v>
      </c>
      <c r="AS1028">
        <v>3</v>
      </c>
      <c r="AT1028">
        <v>3</v>
      </c>
      <c r="AU1028">
        <v>3</v>
      </c>
      <c r="AV1028">
        <v>3</v>
      </c>
      <c r="AW1028">
        <v>4.5999999999999996</v>
      </c>
      <c r="AY1028">
        <v>4.5999999999999996</v>
      </c>
      <c r="AZ1028">
        <v>2</v>
      </c>
      <c r="BA1028">
        <v>3</v>
      </c>
      <c r="BB1028">
        <v>40</v>
      </c>
      <c r="BC1028">
        <v>25</v>
      </c>
      <c r="BD1028">
        <v>34.72</v>
      </c>
      <c r="BE1028">
        <v>161</v>
      </c>
      <c r="BF1028">
        <v>86.8</v>
      </c>
      <c r="BG1028">
        <v>40</v>
      </c>
      <c r="BH1028">
        <v>25</v>
      </c>
      <c r="BI1028">
        <v>34.72</v>
      </c>
      <c r="BJ1028">
        <v>161</v>
      </c>
      <c r="BK1028">
        <v>86.8</v>
      </c>
      <c r="BL1028">
        <v>161</v>
      </c>
      <c r="BM1028">
        <v>8.5734999999999992</v>
      </c>
    </row>
    <row r="1029" spans="1:65" x14ac:dyDescent="0.25">
      <c r="A1029" t="s">
        <v>1092</v>
      </c>
      <c r="B1029" t="s">
        <v>2068</v>
      </c>
      <c r="C1029" t="s">
        <v>2159</v>
      </c>
      <c r="D1029" s="1">
        <v>45289</v>
      </c>
      <c r="E1029" s="1">
        <v>45333</v>
      </c>
      <c r="F1029" s="1">
        <v>45381</v>
      </c>
      <c r="G1029" t="s">
        <v>2166</v>
      </c>
      <c r="I1029" t="s">
        <v>2175</v>
      </c>
      <c r="J1029">
        <v>15897</v>
      </c>
      <c r="K1029">
        <v>476</v>
      </c>
      <c r="L1029">
        <v>16.7</v>
      </c>
      <c r="M1029">
        <v>15.6</v>
      </c>
      <c r="N1029">
        <v>7</v>
      </c>
      <c r="O1029">
        <v>17431</v>
      </c>
      <c r="P1029" t="s">
        <v>2178</v>
      </c>
      <c r="Q1029">
        <v>9</v>
      </c>
      <c r="R1029">
        <v>12</v>
      </c>
      <c r="S1029">
        <v>19</v>
      </c>
      <c r="T1029">
        <v>397</v>
      </c>
      <c r="U1029" t="s">
        <v>2166</v>
      </c>
      <c r="W1029" t="s">
        <v>2208</v>
      </c>
      <c r="X1029" t="s">
        <v>2210</v>
      </c>
      <c r="Y1029" t="s">
        <v>2212</v>
      </c>
      <c r="Z1029" s="1">
        <v>45373</v>
      </c>
      <c r="AA1029" s="1">
        <v>45389</v>
      </c>
      <c r="AB1029" t="s">
        <v>2215</v>
      </c>
      <c r="AC1029" t="s">
        <v>2208</v>
      </c>
      <c r="AD1029" t="s">
        <v>2216</v>
      </c>
      <c r="AE1029" t="s">
        <v>2166</v>
      </c>
      <c r="AG1029" t="s">
        <v>2220</v>
      </c>
      <c r="AH1029">
        <v>40</v>
      </c>
      <c r="AI1029">
        <v>56</v>
      </c>
      <c r="AJ1029">
        <v>16</v>
      </c>
      <c r="AK1029">
        <v>2</v>
      </c>
      <c r="AL1029" t="s">
        <v>2228</v>
      </c>
      <c r="AM1029">
        <v>0</v>
      </c>
      <c r="AN1029" t="s">
        <v>2175</v>
      </c>
      <c r="AO1029" t="s">
        <v>2175</v>
      </c>
      <c r="AP1029" t="s">
        <v>2175</v>
      </c>
      <c r="AQ1029">
        <v>260.52</v>
      </c>
      <c r="AR1029">
        <v>3</v>
      </c>
      <c r="AS1029">
        <v>3</v>
      </c>
      <c r="AT1029">
        <v>3</v>
      </c>
      <c r="AU1029">
        <v>3</v>
      </c>
      <c r="AV1029">
        <v>3</v>
      </c>
      <c r="AW1029">
        <v>4.8</v>
      </c>
      <c r="AY1029">
        <v>4.8</v>
      </c>
      <c r="AZ1029">
        <v>0</v>
      </c>
      <c r="BA1029">
        <v>3</v>
      </c>
      <c r="BB1029">
        <v>40</v>
      </c>
      <c r="BC1029">
        <v>24</v>
      </c>
      <c r="BD1029">
        <v>35.54</v>
      </c>
      <c r="BE1029">
        <v>160</v>
      </c>
      <c r="BF1029">
        <v>88.8</v>
      </c>
      <c r="BG1029">
        <v>40</v>
      </c>
      <c r="BH1029">
        <v>24</v>
      </c>
      <c r="BI1029">
        <v>35.54</v>
      </c>
      <c r="BJ1029">
        <v>160</v>
      </c>
      <c r="BK1029">
        <v>88.8</v>
      </c>
      <c r="BL1029">
        <v>160</v>
      </c>
      <c r="BM1029">
        <v>4.1387999999999998</v>
      </c>
    </row>
    <row r="1030" spans="1:65" x14ac:dyDescent="0.25">
      <c r="A1030" t="s">
        <v>1093</v>
      </c>
      <c r="B1030" t="s">
        <v>2069</v>
      </c>
      <c r="C1030" t="s">
        <v>2159</v>
      </c>
      <c r="D1030" s="1">
        <v>45354</v>
      </c>
      <c r="E1030" s="1">
        <v>45399</v>
      </c>
      <c r="F1030" s="1">
        <v>45505</v>
      </c>
      <c r="G1030" t="s">
        <v>2166</v>
      </c>
      <c r="I1030" t="s">
        <v>2175</v>
      </c>
      <c r="J1030">
        <v>40857</v>
      </c>
      <c r="K1030">
        <v>1225</v>
      </c>
      <c r="L1030">
        <v>13.7</v>
      </c>
      <c r="M1030">
        <v>11.9</v>
      </c>
      <c r="N1030">
        <v>8</v>
      </c>
      <c r="O1030">
        <v>17397</v>
      </c>
      <c r="P1030" t="s">
        <v>2178</v>
      </c>
      <c r="Q1030">
        <v>23</v>
      </c>
      <c r="R1030">
        <v>33</v>
      </c>
      <c r="S1030">
        <v>37</v>
      </c>
      <c r="T1030">
        <v>439</v>
      </c>
      <c r="U1030" t="s">
        <v>2166</v>
      </c>
      <c r="W1030" t="s">
        <v>2208</v>
      </c>
      <c r="X1030" t="s">
        <v>2210</v>
      </c>
      <c r="Y1030" t="s">
        <v>2212</v>
      </c>
      <c r="Z1030" s="1">
        <v>45492</v>
      </c>
      <c r="AA1030" s="1">
        <v>45508</v>
      </c>
      <c r="AB1030" t="s">
        <v>2214</v>
      </c>
      <c r="AC1030" t="s">
        <v>2209</v>
      </c>
      <c r="AD1030" t="s">
        <v>2216</v>
      </c>
      <c r="AE1030" t="s">
        <v>2166</v>
      </c>
      <c r="AG1030" t="s">
        <v>2220</v>
      </c>
      <c r="AH1030">
        <v>93</v>
      </c>
      <c r="AI1030">
        <v>109</v>
      </c>
      <c r="AJ1030">
        <v>16</v>
      </c>
      <c r="AK1030">
        <v>4</v>
      </c>
      <c r="AL1030" t="s">
        <v>2225</v>
      </c>
      <c r="AM1030">
        <v>0</v>
      </c>
      <c r="AN1030" t="s">
        <v>2175</v>
      </c>
      <c r="AO1030" t="s">
        <v>2175</v>
      </c>
      <c r="AP1030" t="s">
        <v>2175</v>
      </c>
      <c r="AQ1030">
        <v>163.03</v>
      </c>
      <c r="AR1030">
        <v>3</v>
      </c>
      <c r="AS1030">
        <v>3</v>
      </c>
      <c r="AT1030">
        <v>3</v>
      </c>
      <c r="AU1030">
        <v>3</v>
      </c>
      <c r="AV1030">
        <v>3</v>
      </c>
      <c r="AW1030">
        <v>4.8</v>
      </c>
      <c r="AY1030">
        <v>4.8</v>
      </c>
      <c r="AZ1030">
        <v>0</v>
      </c>
      <c r="BA1030">
        <v>3</v>
      </c>
      <c r="BB1030">
        <v>45</v>
      </c>
      <c r="BC1030">
        <v>26</v>
      </c>
      <c r="BD1030">
        <v>40.270000000000003</v>
      </c>
      <c r="BE1030">
        <v>199</v>
      </c>
      <c r="BF1030">
        <v>89.5</v>
      </c>
      <c r="BG1030">
        <v>45</v>
      </c>
      <c r="BH1030">
        <v>26</v>
      </c>
      <c r="BI1030">
        <v>40.270000000000003</v>
      </c>
      <c r="BJ1030">
        <v>199</v>
      </c>
      <c r="BK1030">
        <v>89.5</v>
      </c>
      <c r="BL1030">
        <v>199</v>
      </c>
      <c r="BM1030">
        <v>7.8951000000000002</v>
      </c>
    </row>
    <row r="1031" spans="1:65" x14ac:dyDescent="0.25">
      <c r="A1031" t="s">
        <v>1094</v>
      </c>
      <c r="B1031" t="s">
        <v>2070</v>
      </c>
      <c r="C1031" t="s">
        <v>2157</v>
      </c>
      <c r="D1031" s="1">
        <v>45283</v>
      </c>
      <c r="E1031" s="1">
        <v>45333</v>
      </c>
      <c r="F1031" s="1">
        <v>45435</v>
      </c>
      <c r="G1031" t="s">
        <v>2165</v>
      </c>
      <c r="I1031" t="s">
        <v>2175</v>
      </c>
      <c r="J1031">
        <v>39511</v>
      </c>
      <c r="K1031">
        <v>1185</v>
      </c>
      <c r="L1031">
        <v>14.2</v>
      </c>
      <c r="M1031">
        <v>16.5</v>
      </c>
      <c r="N1031">
        <v>8</v>
      </c>
      <c r="O1031">
        <v>18181</v>
      </c>
      <c r="P1031" t="s">
        <v>2178</v>
      </c>
      <c r="Q1031">
        <v>22</v>
      </c>
      <c r="R1031">
        <v>30</v>
      </c>
      <c r="S1031">
        <v>39</v>
      </c>
      <c r="T1031">
        <v>434</v>
      </c>
      <c r="U1031" t="s">
        <v>2165</v>
      </c>
      <c r="W1031" t="s">
        <v>2208</v>
      </c>
      <c r="X1031" t="s">
        <v>2210</v>
      </c>
      <c r="Y1031" t="s">
        <v>2212</v>
      </c>
      <c r="Z1031" s="1">
        <v>45424</v>
      </c>
      <c r="AA1031" s="1">
        <v>45439</v>
      </c>
      <c r="AB1031" t="s">
        <v>2215</v>
      </c>
      <c r="AC1031" t="s">
        <v>2208</v>
      </c>
      <c r="AD1031" t="s">
        <v>2216</v>
      </c>
      <c r="AE1031" t="s">
        <v>2165</v>
      </c>
      <c r="AG1031" t="s">
        <v>2220</v>
      </c>
      <c r="AH1031">
        <v>91</v>
      </c>
      <c r="AI1031">
        <v>106</v>
      </c>
      <c r="AJ1031">
        <v>15</v>
      </c>
      <c r="AK1031">
        <v>2</v>
      </c>
      <c r="AL1031" t="s">
        <v>2228</v>
      </c>
      <c r="AM1031">
        <v>0</v>
      </c>
      <c r="AN1031" t="s">
        <v>2175</v>
      </c>
      <c r="AO1031" t="s">
        <v>2175</v>
      </c>
      <c r="AP1031" t="s">
        <v>2175</v>
      </c>
      <c r="AQ1031">
        <v>234.3</v>
      </c>
      <c r="AR1031">
        <v>3</v>
      </c>
      <c r="AS1031">
        <v>3</v>
      </c>
      <c r="AT1031">
        <v>3</v>
      </c>
      <c r="AU1031">
        <v>3</v>
      </c>
      <c r="AV1031">
        <v>3</v>
      </c>
      <c r="AW1031">
        <v>4.5999999999999996</v>
      </c>
      <c r="AY1031">
        <v>4.5999999999999996</v>
      </c>
      <c r="AZ1031">
        <v>3</v>
      </c>
      <c r="BA1031">
        <v>3</v>
      </c>
      <c r="BB1031">
        <v>36</v>
      </c>
      <c r="BC1031">
        <v>24</v>
      </c>
      <c r="BD1031">
        <v>31.79</v>
      </c>
      <c r="BE1031">
        <v>142</v>
      </c>
      <c r="BF1031">
        <v>88.3</v>
      </c>
      <c r="BG1031">
        <v>36</v>
      </c>
      <c r="BH1031">
        <v>24</v>
      </c>
      <c r="BI1031">
        <v>31.79</v>
      </c>
      <c r="BJ1031">
        <v>142</v>
      </c>
      <c r="BK1031">
        <v>88.3</v>
      </c>
      <c r="BL1031">
        <v>142</v>
      </c>
      <c r="BM1031">
        <v>11.590199999999999</v>
      </c>
    </row>
    <row r="1032" spans="1:65" x14ac:dyDescent="0.25">
      <c r="A1032" t="s">
        <v>1095</v>
      </c>
      <c r="B1032" t="s">
        <v>2071</v>
      </c>
      <c r="C1032" t="s">
        <v>2158</v>
      </c>
      <c r="D1032" s="1">
        <v>45296</v>
      </c>
      <c r="E1032" s="1">
        <v>45325</v>
      </c>
      <c r="F1032" s="1">
        <v>45417</v>
      </c>
      <c r="G1032" t="s">
        <v>2166</v>
      </c>
      <c r="I1032" t="s">
        <v>2175</v>
      </c>
      <c r="J1032">
        <v>28579</v>
      </c>
      <c r="K1032">
        <v>857</v>
      </c>
      <c r="L1032">
        <v>15.9</v>
      </c>
      <c r="M1032">
        <v>10.8</v>
      </c>
      <c r="N1032">
        <v>8</v>
      </c>
      <c r="O1032">
        <v>18027</v>
      </c>
      <c r="P1032" t="s">
        <v>2178</v>
      </c>
      <c r="Q1032">
        <v>21</v>
      </c>
      <c r="R1032">
        <v>34</v>
      </c>
      <c r="S1032">
        <v>24</v>
      </c>
      <c r="T1032">
        <v>361</v>
      </c>
      <c r="U1032" t="s">
        <v>2166</v>
      </c>
      <c r="W1032" t="s">
        <v>2208</v>
      </c>
      <c r="X1032" t="s">
        <v>2210</v>
      </c>
      <c r="Y1032" t="s">
        <v>2212</v>
      </c>
      <c r="Z1032" s="1">
        <v>45404</v>
      </c>
      <c r="AA1032" s="1">
        <v>45424</v>
      </c>
      <c r="AB1032" t="s">
        <v>2214</v>
      </c>
      <c r="AC1032" t="s">
        <v>2209</v>
      </c>
      <c r="AD1032" t="s">
        <v>2216</v>
      </c>
      <c r="AE1032" t="s">
        <v>2166</v>
      </c>
      <c r="AG1032" t="s">
        <v>2220</v>
      </c>
      <c r="AH1032">
        <v>79</v>
      </c>
      <c r="AI1032">
        <v>99</v>
      </c>
      <c r="AJ1032">
        <v>20</v>
      </c>
      <c r="AK1032">
        <v>2</v>
      </c>
      <c r="AL1032" t="s">
        <v>2228</v>
      </c>
      <c r="AM1032">
        <v>0</v>
      </c>
      <c r="AN1032" t="s">
        <v>2175</v>
      </c>
      <c r="AO1032" t="s">
        <v>2175</v>
      </c>
      <c r="AP1032" t="s">
        <v>2175</v>
      </c>
      <c r="AQ1032">
        <v>171.72</v>
      </c>
      <c r="AR1032">
        <v>3</v>
      </c>
      <c r="AS1032">
        <v>3</v>
      </c>
      <c r="AT1032">
        <v>3</v>
      </c>
      <c r="AU1032">
        <v>3</v>
      </c>
      <c r="AV1032">
        <v>3</v>
      </c>
      <c r="AW1032">
        <v>4.8</v>
      </c>
      <c r="AY1032">
        <v>4.8</v>
      </c>
      <c r="AZ1032">
        <v>2</v>
      </c>
      <c r="BA1032">
        <v>3</v>
      </c>
      <c r="BB1032">
        <v>40</v>
      </c>
      <c r="BC1032">
        <v>24</v>
      </c>
      <c r="BD1032">
        <v>35.54</v>
      </c>
      <c r="BE1032">
        <v>160</v>
      </c>
      <c r="BF1032">
        <v>88.8</v>
      </c>
      <c r="BG1032">
        <v>40</v>
      </c>
      <c r="BH1032">
        <v>24</v>
      </c>
      <c r="BI1032">
        <v>35.54</v>
      </c>
      <c r="BJ1032">
        <v>160</v>
      </c>
      <c r="BK1032">
        <v>88.8</v>
      </c>
      <c r="BL1032">
        <v>160</v>
      </c>
      <c r="BM1032">
        <v>7.4405000000000001</v>
      </c>
    </row>
    <row r="1033" spans="1:65" x14ac:dyDescent="0.25">
      <c r="A1033" t="s">
        <v>1096</v>
      </c>
      <c r="B1033" t="s">
        <v>2072</v>
      </c>
      <c r="C1033" t="s">
        <v>2157</v>
      </c>
      <c r="D1033" s="1">
        <v>45253</v>
      </c>
      <c r="E1033" s="1">
        <v>45299</v>
      </c>
      <c r="F1033" s="1">
        <v>45386</v>
      </c>
      <c r="G1033" t="s">
        <v>2165</v>
      </c>
      <c r="I1033" t="s">
        <v>2175</v>
      </c>
      <c r="J1033">
        <v>25559</v>
      </c>
      <c r="K1033">
        <v>766</v>
      </c>
      <c r="L1033">
        <v>15.6</v>
      </c>
      <c r="M1033">
        <v>15.4</v>
      </c>
      <c r="N1033">
        <v>7</v>
      </c>
      <c r="O1033">
        <v>18336</v>
      </c>
      <c r="P1033" t="s">
        <v>2178</v>
      </c>
      <c r="Q1033">
        <v>17</v>
      </c>
      <c r="R1033">
        <v>28</v>
      </c>
      <c r="S1033">
        <v>24</v>
      </c>
      <c r="T1033">
        <v>370</v>
      </c>
      <c r="U1033" t="s">
        <v>2165</v>
      </c>
      <c r="W1033" t="s">
        <v>2208</v>
      </c>
      <c r="X1033" t="s">
        <v>2210</v>
      </c>
      <c r="Y1033" t="s">
        <v>2212</v>
      </c>
      <c r="Z1033" s="1">
        <v>45368</v>
      </c>
      <c r="AA1033" s="1">
        <v>45389</v>
      </c>
      <c r="AB1033" t="s">
        <v>2214</v>
      </c>
      <c r="AC1033" t="s">
        <v>2209</v>
      </c>
      <c r="AD1033" t="s">
        <v>2216</v>
      </c>
      <c r="AE1033" t="s">
        <v>2165</v>
      </c>
      <c r="AG1033" t="s">
        <v>2220</v>
      </c>
      <c r="AH1033">
        <v>69</v>
      </c>
      <c r="AI1033">
        <v>90</v>
      </c>
      <c r="AJ1033">
        <v>21</v>
      </c>
      <c r="AK1033">
        <v>1</v>
      </c>
      <c r="AL1033" t="s">
        <v>2233</v>
      </c>
      <c r="AM1033">
        <v>0</v>
      </c>
      <c r="AN1033" t="s">
        <v>2175</v>
      </c>
      <c r="AO1033" t="s">
        <v>2175</v>
      </c>
      <c r="AP1033" t="s">
        <v>2175</v>
      </c>
      <c r="AQ1033">
        <v>240.24</v>
      </c>
      <c r="AR1033">
        <v>3</v>
      </c>
      <c r="AS1033">
        <v>3</v>
      </c>
      <c r="AT1033">
        <v>3</v>
      </c>
      <c r="AU1033">
        <v>3</v>
      </c>
      <c r="AV1033">
        <v>3</v>
      </c>
      <c r="AW1033">
        <v>4.5999999999999996</v>
      </c>
      <c r="AY1033">
        <v>4.5999999999999996</v>
      </c>
      <c r="AZ1033">
        <v>3</v>
      </c>
      <c r="BA1033">
        <v>3</v>
      </c>
      <c r="BB1033">
        <v>43</v>
      </c>
      <c r="BC1033">
        <v>27</v>
      </c>
      <c r="BD1033">
        <v>38.299999999999997</v>
      </c>
      <c r="BE1033">
        <v>197</v>
      </c>
      <c r="BF1033">
        <v>89.1</v>
      </c>
      <c r="BG1033">
        <v>43</v>
      </c>
      <c r="BH1033">
        <v>27</v>
      </c>
      <c r="BI1033">
        <v>38.299999999999997</v>
      </c>
      <c r="BJ1033">
        <v>197</v>
      </c>
      <c r="BK1033">
        <v>89.1</v>
      </c>
      <c r="BL1033">
        <v>197</v>
      </c>
      <c r="BM1033">
        <v>4.8042999999999996</v>
      </c>
    </row>
    <row r="1034" spans="1:65" x14ac:dyDescent="0.25">
      <c r="A1034" t="s">
        <v>1097</v>
      </c>
      <c r="B1034" t="s">
        <v>2073</v>
      </c>
      <c r="C1034" t="s">
        <v>2159</v>
      </c>
      <c r="D1034" s="1">
        <v>45484</v>
      </c>
      <c r="E1034" s="1">
        <v>45521</v>
      </c>
      <c r="F1034" s="1">
        <v>45661</v>
      </c>
      <c r="G1034" t="s">
        <v>2165</v>
      </c>
      <c r="I1034" t="s">
        <v>2175</v>
      </c>
      <c r="J1034">
        <v>35472</v>
      </c>
      <c r="K1034">
        <v>1064</v>
      </c>
      <c r="L1034">
        <v>10.6</v>
      </c>
      <c r="M1034">
        <v>11.5</v>
      </c>
      <c r="N1034">
        <v>7</v>
      </c>
      <c r="O1034">
        <v>17564</v>
      </c>
      <c r="P1034" t="s">
        <v>2178</v>
      </c>
      <c r="Q1034">
        <v>35</v>
      </c>
      <c r="R1034">
        <v>48</v>
      </c>
      <c r="S1034">
        <v>49</v>
      </c>
      <c r="T1034">
        <v>268</v>
      </c>
      <c r="U1034" t="s">
        <v>2165</v>
      </c>
      <c r="W1034" t="s">
        <v>2208</v>
      </c>
      <c r="X1034" t="s">
        <v>2210</v>
      </c>
      <c r="Y1034" t="s">
        <v>2212</v>
      </c>
      <c r="Z1034" s="1">
        <v>45653</v>
      </c>
      <c r="AA1034" s="1">
        <v>45667</v>
      </c>
      <c r="AB1034" t="s">
        <v>2215</v>
      </c>
      <c r="AC1034" t="s">
        <v>2208</v>
      </c>
      <c r="AD1034" t="s">
        <v>2216</v>
      </c>
      <c r="AE1034" t="s">
        <v>2165</v>
      </c>
      <c r="AG1034" t="s">
        <v>2220</v>
      </c>
      <c r="AH1034">
        <v>132</v>
      </c>
      <c r="AI1034">
        <v>146</v>
      </c>
      <c r="AJ1034">
        <v>14</v>
      </c>
      <c r="AK1034">
        <v>8</v>
      </c>
      <c r="AL1034" t="s">
        <v>2232</v>
      </c>
      <c r="AM1034">
        <v>0</v>
      </c>
      <c r="AN1034" t="s">
        <v>2175</v>
      </c>
      <c r="AO1034" t="s">
        <v>2175</v>
      </c>
      <c r="AP1034" t="s">
        <v>2175</v>
      </c>
      <c r="AQ1034">
        <v>121.9</v>
      </c>
      <c r="AR1034">
        <v>3</v>
      </c>
      <c r="AS1034">
        <v>3</v>
      </c>
      <c r="AT1034">
        <v>3</v>
      </c>
      <c r="AU1034">
        <v>3</v>
      </c>
      <c r="AV1034">
        <v>3</v>
      </c>
      <c r="AW1034">
        <v>4.5999999999999996</v>
      </c>
      <c r="AY1034">
        <v>4.5999999999999996</v>
      </c>
      <c r="AZ1034">
        <v>0</v>
      </c>
      <c r="BA1034">
        <v>3</v>
      </c>
      <c r="BB1034">
        <v>36</v>
      </c>
      <c r="BC1034">
        <v>26</v>
      </c>
      <c r="BD1034">
        <v>31.73</v>
      </c>
      <c r="BE1034">
        <v>152</v>
      </c>
      <c r="BF1034">
        <v>88.1</v>
      </c>
      <c r="BG1034">
        <v>36</v>
      </c>
      <c r="BH1034">
        <v>26</v>
      </c>
      <c r="BI1034">
        <v>31.73</v>
      </c>
      <c r="BJ1034">
        <v>152</v>
      </c>
      <c r="BK1034">
        <v>88.1</v>
      </c>
      <c r="BL1034">
        <v>152</v>
      </c>
      <c r="BM1034">
        <v>8.9733999999999998</v>
      </c>
    </row>
    <row r="1035" spans="1:65" x14ac:dyDescent="0.25">
      <c r="A1035" t="s">
        <v>1098</v>
      </c>
      <c r="B1035" t="s">
        <v>2074</v>
      </c>
      <c r="C1035" t="s">
        <v>2159</v>
      </c>
      <c r="D1035" s="1">
        <v>45298</v>
      </c>
      <c r="E1035" s="1">
        <v>45333</v>
      </c>
      <c r="F1035" s="1">
        <v>45429</v>
      </c>
      <c r="G1035" t="s">
        <v>2166</v>
      </c>
      <c r="I1035" t="s">
        <v>2175</v>
      </c>
      <c r="J1035">
        <v>32845</v>
      </c>
      <c r="K1035">
        <v>985</v>
      </c>
      <c r="L1035">
        <v>12.4</v>
      </c>
      <c r="M1035">
        <v>11.4</v>
      </c>
      <c r="N1035">
        <v>8</v>
      </c>
      <c r="O1035">
        <v>16169</v>
      </c>
      <c r="P1035" t="s">
        <v>2178</v>
      </c>
      <c r="Q1035">
        <v>23</v>
      </c>
      <c r="R1035">
        <v>32</v>
      </c>
      <c r="S1035">
        <v>29</v>
      </c>
      <c r="T1035">
        <v>391</v>
      </c>
      <c r="U1035" t="s">
        <v>2166</v>
      </c>
      <c r="W1035" t="s">
        <v>2208</v>
      </c>
      <c r="X1035" t="s">
        <v>2210</v>
      </c>
      <c r="Y1035" t="s">
        <v>2212</v>
      </c>
      <c r="Z1035" s="1">
        <v>45417</v>
      </c>
      <c r="AA1035" s="1">
        <v>45438</v>
      </c>
      <c r="AB1035" t="s">
        <v>2215</v>
      </c>
      <c r="AC1035" t="s">
        <v>2208</v>
      </c>
      <c r="AD1035" t="s">
        <v>2216</v>
      </c>
      <c r="AE1035" t="s">
        <v>2166</v>
      </c>
      <c r="AG1035" t="s">
        <v>2220</v>
      </c>
      <c r="AH1035">
        <v>84</v>
      </c>
      <c r="AI1035">
        <v>105</v>
      </c>
      <c r="AJ1035">
        <v>21</v>
      </c>
      <c r="AK1035">
        <v>2</v>
      </c>
      <c r="AL1035" t="s">
        <v>2228</v>
      </c>
      <c r="AM1035">
        <v>0</v>
      </c>
      <c r="AN1035" t="s">
        <v>2175</v>
      </c>
      <c r="AO1035" t="s">
        <v>2175</v>
      </c>
      <c r="AP1035" t="s">
        <v>2175</v>
      </c>
      <c r="AQ1035">
        <v>141.36000000000001</v>
      </c>
      <c r="AR1035">
        <v>3</v>
      </c>
      <c r="AS1035">
        <v>3</v>
      </c>
      <c r="AT1035">
        <v>3</v>
      </c>
      <c r="AU1035">
        <v>3</v>
      </c>
      <c r="AV1035">
        <v>3</v>
      </c>
      <c r="AW1035">
        <v>4.8</v>
      </c>
      <c r="AY1035">
        <v>4.8</v>
      </c>
      <c r="AZ1035">
        <v>0</v>
      </c>
      <c r="BA1035">
        <v>3</v>
      </c>
      <c r="BB1035">
        <v>40</v>
      </c>
      <c r="BC1035">
        <v>24</v>
      </c>
      <c r="BD1035">
        <v>35.54</v>
      </c>
      <c r="BE1035">
        <v>160</v>
      </c>
      <c r="BF1035">
        <v>88.8</v>
      </c>
      <c r="BG1035">
        <v>40</v>
      </c>
      <c r="BH1035">
        <v>24</v>
      </c>
      <c r="BI1035">
        <v>35.54</v>
      </c>
      <c r="BJ1035">
        <v>160</v>
      </c>
      <c r="BK1035">
        <v>88.8</v>
      </c>
      <c r="BL1035">
        <v>160</v>
      </c>
      <c r="BM1035">
        <v>8.5511999999999997</v>
      </c>
    </row>
    <row r="1036" spans="1:65" x14ac:dyDescent="0.25">
      <c r="A1036" t="s">
        <v>1099</v>
      </c>
      <c r="B1036" t="s">
        <v>2075</v>
      </c>
      <c r="C1036" t="s">
        <v>2158</v>
      </c>
      <c r="D1036" s="1">
        <v>45287</v>
      </c>
      <c r="E1036" s="1">
        <v>45333</v>
      </c>
      <c r="F1036" s="1">
        <v>45451</v>
      </c>
      <c r="G1036" t="s">
        <v>2165</v>
      </c>
      <c r="I1036" t="s">
        <v>2175</v>
      </c>
      <c r="J1036">
        <v>43072</v>
      </c>
      <c r="K1036">
        <v>1292</v>
      </c>
      <c r="L1036">
        <v>16.7</v>
      </c>
      <c r="M1036">
        <v>13.8</v>
      </c>
      <c r="N1036">
        <v>8</v>
      </c>
      <c r="O1036">
        <v>17191</v>
      </c>
      <c r="P1036" t="s">
        <v>2178</v>
      </c>
      <c r="Q1036">
        <v>24</v>
      </c>
      <c r="R1036">
        <v>34</v>
      </c>
      <c r="S1036">
        <v>44</v>
      </c>
      <c r="T1036">
        <v>422</v>
      </c>
      <c r="U1036" t="s">
        <v>2165</v>
      </c>
      <c r="W1036" t="s">
        <v>2208</v>
      </c>
      <c r="X1036" t="s">
        <v>2210</v>
      </c>
      <c r="Y1036" t="s">
        <v>2212</v>
      </c>
      <c r="Z1036" s="1">
        <v>45435</v>
      </c>
      <c r="AA1036" s="1">
        <v>45448</v>
      </c>
      <c r="AB1036" t="s">
        <v>2214</v>
      </c>
      <c r="AC1036" t="s">
        <v>2209</v>
      </c>
      <c r="AD1036" t="s">
        <v>2216</v>
      </c>
      <c r="AE1036" t="s">
        <v>2165</v>
      </c>
      <c r="AG1036" t="s">
        <v>2220</v>
      </c>
      <c r="AH1036">
        <v>102</v>
      </c>
      <c r="AI1036">
        <v>115</v>
      </c>
      <c r="AJ1036">
        <v>13</v>
      </c>
      <c r="AK1036">
        <v>2</v>
      </c>
      <c r="AL1036" t="s">
        <v>2228</v>
      </c>
      <c r="AM1036">
        <v>0</v>
      </c>
      <c r="AN1036" t="s">
        <v>2175</v>
      </c>
      <c r="AO1036" t="s">
        <v>2175</v>
      </c>
      <c r="AP1036" t="s">
        <v>2175</v>
      </c>
      <c r="AQ1036">
        <v>230.46</v>
      </c>
      <c r="AR1036">
        <v>3</v>
      </c>
      <c r="AS1036">
        <v>3</v>
      </c>
      <c r="AT1036">
        <v>3</v>
      </c>
      <c r="AU1036">
        <v>3</v>
      </c>
      <c r="AV1036">
        <v>3</v>
      </c>
      <c r="AW1036">
        <v>4.5999999999999996</v>
      </c>
      <c r="AY1036">
        <v>4.5999999999999996</v>
      </c>
      <c r="AZ1036">
        <v>2</v>
      </c>
      <c r="BA1036">
        <v>3</v>
      </c>
      <c r="BB1036">
        <v>36</v>
      </c>
      <c r="BC1036">
        <v>24</v>
      </c>
      <c r="BD1036">
        <v>31.79</v>
      </c>
      <c r="BE1036">
        <v>142</v>
      </c>
      <c r="BF1036">
        <v>88.3</v>
      </c>
      <c r="BG1036">
        <v>36</v>
      </c>
      <c r="BH1036">
        <v>24</v>
      </c>
      <c r="BI1036">
        <v>31.79</v>
      </c>
      <c r="BJ1036">
        <v>142</v>
      </c>
      <c r="BK1036">
        <v>88.3</v>
      </c>
      <c r="BL1036">
        <v>142</v>
      </c>
      <c r="BM1036">
        <v>12.6348</v>
      </c>
    </row>
    <row r="1037" spans="1:65" x14ac:dyDescent="0.25">
      <c r="A1037" t="s">
        <v>1100</v>
      </c>
      <c r="B1037" t="s">
        <v>2076</v>
      </c>
      <c r="C1037" t="s">
        <v>2159</v>
      </c>
      <c r="D1037" s="1">
        <v>45519</v>
      </c>
      <c r="E1037" s="1">
        <v>45567</v>
      </c>
      <c r="F1037" s="1">
        <v>45660</v>
      </c>
      <c r="G1037" t="s">
        <v>2166</v>
      </c>
      <c r="I1037" t="s">
        <v>2175</v>
      </c>
      <c r="J1037">
        <v>27103</v>
      </c>
      <c r="K1037">
        <v>813</v>
      </c>
      <c r="L1037">
        <v>15.4</v>
      </c>
      <c r="M1037">
        <v>13</v>
      </c>
      <c r="N1037">
        <v>7</v>
      </c>
      <c r="O1037">
        <v>19584</v>
      </c>
      <c r="P1037" t="s">
        <v>2178</v>
      </c>
      <c r="Q1037">
        <v>15</v>
      </c>
      <c r="R1037">
        <v>20</v>
      </c>
      <c r="S1037">
        <v>42</v>
      </c>
      <c r="T1037">
        <v>351</v>
      </c>
      <c r="U1037" t="s">
        <v>2166</v>
      </c>
      <c r="W1037" t="s">
        <v>2208</v>
      </c>
      <c r="X1037" t="s">
        <v>2210</v>
      </c>
      <c r="Y1037" t="s">
        <v>2212</v>
      </c>
      <c r="Z1037" s="1">
        <v>45644</v>
      </c>
      <c r="AA1037" s="1">
        <v>45658</v>
      </c>
      <c r="AB1037" t="s">
        <v>2214</v>
      </c>
      <c r="AC1037" t="s">
        <v>2209</v>
      </c>
      <c r="AD1037" t="s">
        <v>2216</v>
      </c>
      <c r="AE1037" t="s">
        <v>2166</v>
      </c>
      <c r="AG1037" t="s">
        <v>2220</v>
      </c>
      <c r="AH1037">
        <v>77</v>
      </c>
      <c r="AI1037">
        <v>91</v>
      </c>
      <c r="AJ1037">
        <v>14</v>
      </c>
      <c r="AK1037">
        <v>10</v>
      </c>
      <c r="AL1037" t="s">
        <v>2230</v>
      </c>
      <c r="AM1037">
        <v>1</v>
      </c>
      <c r="AN1037" t="s">
        <v>2175</v>
      </c>
      <c r="AO1037" t="s">
        <v>2175</v>
      </c>
      <c r="AP1037" t="s">
        <v>2175</v>
      </c>
      <c r="AQ1037">
        <v>200.2</v>
      </c>
      <c r="AR1037">
        <v>3</v>
      </c>
      <c r="AS1037">
        <v>3</v>
      </c>
      <c r="AT1037">
        <v>3</v>
      </c>
      <c r="AU1037">
        <v>3</v>
      </c>
      <c r="AV1037">
        <v>3</v>
      </c>
      <c r="AW1037">
        <v>4.8</v>
      </c>
      <c r="AY1037">
        <v>4.8</v>
      </c>
      <c r="AZ1037">
        <v>0</v>
      </c>
      <c r="BA1037">
        <v>3</v>
      </c>
      <c r="BB1037">
        <v>50</v>
      </c>
      <c r="BC1037">
        <v>27</v>
      </c>
      <c r="BD1037">
        <v>42.44</v>
      </c>
      <c r="BE1037">
        <v>220</v>
      </c>
      <c r="BF1037">
        <v>84.9</v>
      </c>
      <c r="BG1037">
        <v>50</v>
      </c>
      <c r="BH1037">
        <v>27</v>
      </c>
      <c r="BI1037">
        <v>42.44</v>
      </c>
      <c r="BJ1037">
        <v>220</v>
      </c>
      <c r="BK1037">
        <v>84.9</v>
      </c>
      <c r="BL1037">
        <v>220</v>
      </c>
      <c r="BM1037">
        <v>4.5620000000000003</v>
      </c>
    </row>
    <row r="1038" spans="1:65" x14ac:dyDescent="0.25">
      <c r="A1038" t="s">
        <v>1101</v>
      </c>
      <c r="B1038" t="s">
        <v>2077</v>
      </c>
      <c r="C1038" t="s">
        <v>2158</v>
      </c>
      <c r="D1038" s="1">
        <v>45492</v>
      </c>
      <c r="E1038" s="1">
        <v>45521</v>
      </c>
      <c r="F1038" s="1">
        <v>45625</v>
      </c>
      <c r="G1038" t="s">
        <v>2166</v>
      </c>
      <c r="I1038" t="s">
        <v>2175</v>
      </c>
      <c r="J1038">
        <v>28923</v>
      </c>
      <c r="K1038">
        <v>867</v>
      </c>
      <c r="L1038">
        <v>16.7</v>
      </c>
      <c r="M1038">
        <v>17.100000000000001</v>
      </c>
      <c r="N1038">
        <v>7</v>
      </c>
      <c r="O1038">
        <v>17284</v>
      </c>
      <c r="P1038" t="s">
        <v>2178</v>
      </c>
      <c r="Q1038">
        <v>28</v>
      </c>
      <c r="R1038">
        <v>42</v>
      </c>
      <c r="S1038">
        <v>24</v>
      </c>
      <c r="T1038">
        <v>307</v>
      </c>
      <c r="U1038" t="s">
        <v>2166</v>
      </c>
      <c r="W1038" t="s">
        <v>2208</v>
      </c>
      <c r="X1038" t="s">
        <v>2210</v>
      </c>
      <c r="Y1038" t="s">
        <v>2212</v>
      </c>
      <c r="Z1038" s="1">
        <v>45615</v>
      </c>
      <c r="AA1038" s="1">
        <v>45634</v>
      </c>
      <c r="AB1038" t="s">
        <v>2215</v>
      </c>
      <c r="AC1038" t="s">
        <v>2208</v>
      </c>
      <c r="AD1038" t="s">
        <v>2216</v>
      </c>
      <c r="AE1038" t="s">
        <v>2166</v>
      </c>
      <c r="AG1038" t="s">
        <v>2220</v>
      </c>
      <c r="AH1038">
        <v>94</v>
      </c>
      <c r="AI1038">
        <v>113</v>
      </c>
      <c r="AJ1038">
        <v>19</v>
      </c>
      <c r="AK1038">
        <v>8</v>
      </c>
      <c r="AL1038" t="s">
        <v>2232</v>
      </c>
      <c r="AM1038">
        <v>0</v>
      </c>
      <c r="AN1038" t="s">
        <v>2175</v>
      </c>
      <c r="AO1038" t="s">
        <v>2175</v>
      </c>
      <c r="AP1038" t="s">
        <v>2175</v>
      </c>
      <c r="AQ1038">
        <v>285.57</v>
      </c>
      <c r="AR1038">
        <v>3</v>
      </c>
      <c r="AS1038">
        <v>3</v>
      </c>
      <c r="AT1038">
        <v>3</v>
      </c>
      <c r="AU1038">
        <v>3</v>
      </c>
      <c r="AV1038">
        <v>3</v>
      </c>
      <c r="AW1038">
        <v>4.8</v>
      </c>
      <c r="AY1038">
        <v>4.8</v>
      </c>
      <c r="AZ1038">
        <v>2</v>
      </c>
      <c r="BA1038">
        <v>3</v>
      </c>
      <c r="BB1038">
        <v>41</v>
      </c>
      <c r="BC1038">
        <v>26</v>
      </c>
      <c r="BD1038">
        <v>36.15</v>
      </c>
      <c r="BE1038">
        <v>176</v>
      </c>
      <c r="BF1038">
        <v>88.2</v>
      </c>
      <c r="BG1038">
        <v>41</v>
      </c>
      <c r="BH1038">
        <v>26</v>
      </c>
      <c r="BI1038">
        <v>36.15</v>
      </c>
      <c r="BJ1038">
        <v>176</v>
      </c>
      <c r="BK1038">
        <v>88.2</v>
      </c>
      <c r="BL1038">
        <v>176</v>
      </c>
      <c r="BM1038">
        <v>6.3192000000000004</v>
      </c>
    </row>
    <row r="1039" spans="1:65" x14ac:dyDescent="0.25">
      <c r="A1039" t="s">
        <v>1102</v>
      </c>
      <c r="B1039" t="s">
        <v>2078</v>
      </c>
      <c r="C1039" t="s">
        <v>2159</v>
      </c>
      <c r="D1039" s="1">
        <v>45440</v>
      </c>
      <c r="E1039" s="1">
        <v>45481</v>
      </c>
      <c r="F1039" s="1">
        <v>45565</v>
      </c>
      <c r="G1039" t="s">
        <v>2166</v>
      </c>
      <c r="I1039" t="s">
        <v>2175</v>
      </c>
      <c r="J1039">
        <v>27047</v>
      </c>
      <c r="K1039">
        <v>811</v>
      </c>
      <c r="L1039">
        <v>15.5</v>
      </c>
      <c r="M1039">
        <v>14.1</v>
      </c>
      <c r="N1039">
        <v>8</v>
      </c>
      <c r="O1039">
        <v>16971</v>
      </c>
      <c r="P1039" t="s">
        <v>2178</v>
      </c>
      <c r="Q1039">
        <v>16</v>
      </c>
      <c r="R1039">
        <v>23</v>
      </c>
      <c r="S1039">
        <v>32</v>
      </c>
      <c r="T1039">
        <v>380</v>
      </c>
      <c r="U1039" t="s">
        <v>2166</v>
      </c>
      <c r="W1039" t="s">
        <v>2208</v>
      </c>
      <c r="X1039" t="s">
        <v>2210</v>
      </c>
      <c r="Y1039" t="s">
        <v>2212</v>
      </c>
      <c r="Z1039" s="1">
        <v>45552</v>
      </c>
      <c r="AA1039" s="1">
        <v>45566</v>
      </c>
      <c r="AB1039" t="s">
        <v>2214</v>
      </c>
      <c r="AC1039" t="s">
        <v>2209</v>
      </c>
      <c r="AD1039" t="s">
        <v>2216</v>
      </c>
      <c r="AE1039" t="s">
        <v>2166</v>
      </c>
      <c r="AG1039" t="s">
        <v>2220</v>
      </c>
      <c r="AH1039">
        <v>71</v>
      </c>
      <c r="AI1039">
        <v>85</v>
      </c>
      <c r="AJ1039">
        <v>14</v>
      </c>
      <c r="AK1039">
        <v>7</v>
      </c>
      <c r="AL1039" t="s">
        <v>2226</v>
      </c>
      <c r="AM1039">
        <v>0</v>
      </c>
      <c r="AN1039" t="s">
        <v>2175</v>
      </c>
      <c r="AO1039" t="s">
        <v>2175</v>
      </c>
      <c r="AP1039" t="s">
        <v>2175</v>
      </c>
      <c r="AQ1039">
        <v>218.55</v>
      </c>
      <c r="AR1039">
        <v>3</v>
      </c>
      <c r="AS1039">
        <v>3</v>
      </c>
      <c r="AT1039">
        <v>3</v>
      </c>
      <c r="AU1039">
        <v>3</v>
      </c>
      <c r="AV1039">
        <v>3</v>
      </c>
      <c r="AW1039">
        <v>4.8</v>
      </c>
      <c r="AY1039">
        <v>4.8</v>
      </c>
      <c r="AZ1039">
        <v>0</v>
      </c>
      <c r="BA1039">
        <v>3</v>
      </c>
      <c r="BB1039">
        <v>48</v>
      </c>
      <c r="BC1039">
        <v>27</v>
      </c>
      <c r="BD1039">
        <v>42.33</v>
      </c>
      <c r="BE1039">
        <v>216</v>
      </c>
      <c r="BF1039">
        <v>88.2</v>
      </c>
      <c r="BG1039">
        <v>48</v>
      </c>
      <c r="BH1039">
        <v>27</v>
      </c>
      <c r="BI1039">
        <v>42.33</v>
      </c>
      <c r="BJ1039">
        <v>216</v>
      </c>
      <c r="BK1039">
        <v>88.2</v>
      </c>
      <c r="BL1039">
        <v>216</v>
      </c>
      <c r="BM1039">
        <v>4.6368999999999998</v>
      </c>
    </row>
    <row r="1040" spans="1:65" x14ac:dyDescent="0.25">
      <c r="A1040" t="s">
        <v>1103</v>
      </c>
      <c r="B1040" t="s">
        <v>2079</v>
      </c>
      <c r="C1040" t="s">
        <v>2158</v>
      </c>
      <c r="D1040" s="1">
        <v>45536</v>
      </c>
      <c r="E1040" s="1">
        <v>45579</v>
      </c>
      <c r="F1040" s="1">
        <v>45678</v>
      </c>
      <c r="G1040" t="s">
        <v>2166</v>
      </c>
      <c r="I1040" t="s">
        <v>2175</v>
      </c>
      <c r="J1040">
        <v>33055</v>
      </c>
      <c r="K1040">
        <v>991</v>
      </c>
      <c r="L1040">
        <v>15.4</v>
      </c>
      <c r="M1040">
        <v>13.8</v>
      </c>
      <c r="N1040">
        <v>7</v>
      </c>
      <c r="O1040">
        <v>15253</v>
      </c>
      <c r="P1040" t="s">
        <v>2178</v>
      </c>
      <c r="Q1040">
        <v>19</v>
      </c>
      <c r="R1040">
        <v>30</v>
      </c>
      <c r="S1040">
        <v>38</v>
      </c>
      <c r="T1040">
        <v>379</v>
      </c>
      <c r="U1040" t="s">
        <v>2166</v>
      </c>
      <c r="W1040" t="s">
        <v>2208</v>
      </c>
      <c r="X1040" t="s">
        <v>2210</v>
      </c>
      <c r="Y1040" t="s">
        <v>2212</v>
      </c>
      <c r="Z1040" s="1">
        <v>45666</v>
      </c>
      <c r="AA1040" s="1">
        <v>45685</v>
      </c>
      <c r="AB1040" t="s">
        <v>2215</v>
      </c>
      <c r="AC1040" t="s">
        <v>2208</v>
      </c>
      <c r="AD1040" t="s">
        <v>2216</v>
      </c>
      <c r="AE1040" t="s">
        <v>2166</v>
      </c>
      <c r="AG1040" t="s">
        <v>2220</v>
      </c>
      <c r="AH1040">
        <v>87</v>
      </c>
      <c r="AI1040">
        <v>106</v>
      </c>
      <c r="AJ1040">
        <v>19</v>
      </c>
      <c r="AK1040">
        <v>10</v>
      </c>
      <c r="AL1040" t="s">
        <v>2230</v>
      </c>
      <c r="AM1040">
        <v>1</v>
      </c>
      <c r="AN1040" t="s">
        <v>2175</v>
      </c>
      <c r="AO1040" t="s">
        <v>2175</v>
      </c>
      <c r="AP1040" t="s">
        <v>2175</v>
      </c>
      <c r="AQ1040">
        <v>212.52</v>
      </c>
      <c r="AR1040">
        <v>3</v>
      </c>
      <c r="AS1040">
        <v>3</v>
      </c>
      <c r="AT1040">
        <v>3</v>
      </c>
      <c r="AU1040">
        <v>3</v>
      </c>
      <c r="AV1040">
        <v>3</v>
      </c>
      <c r="AW1040">
        <v>4.8</v>
      </c>
      <c r="AY1040">
        <v>4.8</v>
      </c>
      <c r="AZ1040">
        <v>2</v>
      </c>
      <c r="BA1040">
        <v>3</v>
      </c>
      <c r="BB1040">
        <v>50</v>
      </c>
      <c r="BC1040">
        <v>27</v>
      </c>
      <c r="BD1040">
        <v>42.44</v>
      </c>
      <c r="BE1040">
        <v>220</v>
      </c>
      <c r="BF1040">
        <v>84.9</v>
      </c>
      <c r="BG1040">
        <v>50</v>
      </c>
      <c r="BH1040">
        <v>27</v>
      </c>
      <c r="BI1040">
        <v>42.44</v>
      </c>
      <c r="BJ1040">
        <v>220</v>
      </c>
      <c r="BK1040">
        <v>84.9</v>
      </c>
      <c r="BL1040">
        <v>220</v>
      </c>
      <c r="BM1040">
        <v>5.5639000000000003</v>
      </c>
    </row>
    <row r="1041" spans="1:65" x14ac:dyDescent="0.25">
      <c r="A1041" t="s">
        <v>1104</v>
      </c>
      <c r="B1041" t="s">
        <v>2080</v>
      </c>
      <c r="C1041" t="s">
        <v>2158</v>
      </c>
      <c r="D1041" s="1">
        <v>45308</v>
      </c>
      <c r="E1041" s="1">
        <v>45363</v>
      </c>
      <c r="F1041" s="1">
        <v>45434</v>
      </c>
      <c r="G1041" t="s">
        <v>2166</v>
      </c>
      <c r="I1041" t="s">
        <v>2175</v>
      </c>
      <c r="J1041">
        <v>21212</v>
      </c>
      <c r="K1041">
        <v>636</v>
      </c>
      <c r="L1041">
        <v>15.1</v>
      </c>
      <c r="M1041">
        <v>15.5</v>
      </c>
      <c r="N1041">
        <v>8</v>
      </c>
      <c r="O1041">
        <v>17340</v>
      </c>
      <c r="P1041" t="s">
        <v>2178</v>
      </c>
      <c r="Q1041">
        <v>13</v>
      </c>
      <c r="R1041">
        <v>18</v>
      </c>
      <c r="S1041">
        <v>30</v>
      </c>
      <c r="T1041">
        <v>347</v>
      </c>
      <c r="U1041" t="s">
        <v>2166</v>
      </c>
      <c r="W1041" t="s">
        <v>2208</v>
      </c>
      <c r="X1041" t="s">
        <v>2210</v>
      </c>
      <c r="Y1041" t="s">
        <v>2212</v>
      </c>
      <c r="Z1041" s="1">
        <v>45424</v>
      </c>
      <c r="AA1041" s="1">
        <v>45444</v>
      </c>
      <c r="AB1041" t="s">
        <v>2215</v>
      </c>
      <c r="AC1041" t="s">
        <v>2208</v>
      </c>
      <c r="AD1041" t="s">
        <v>2216</v>
      </c>
      <c r="AE1041" t="s">
        <v>2166</v>
      </c>
      <c r="AG1041" t="s">
        <v>2220</v>
      </c>
      <c r="AH1041">
        <v>61</v>
      </c>
      <c r="AI1041">
        <v>81</v>
      </c>
      <c r="AJ1041">
        <v>20</v>
      </c>
      <c r="AK1041">
        <v>3</v>
      </c>
      <c r="AL1041" t="s">
        <v>2227</v>
      </c>
      <c r="AM1041">
        <v>0</v>
      </c>
      <c r="AN1041" t="s">
        <v>2175</v>
      </c>
      <c r="AO1041" t="s">
        <v>2175</v>
      </c>
      <c r="AP1041" t="s">
        <v>2175</v>
      </c>
      <c r="AQ1041">
        <v>234.05</v>
      </c>
      <c r="AR1041">
        <v>3</v>
      </c>
      <c r="AS1041">
        <v>3</v>
      </c>
      <c r="AT1041">
        <v>3</v>
      </c>
      <c r="AU1041">
        <v>3</v>
      </c>
      <c r="AV1041">
        <v>3</v>
      </c>
      <c r="AW1041">
        <v>4.8</v>
      </c>
      <c r="AY1041">
        <v>4.8</v>
      </c>
      <c r="AZ1041">
        <v>2</v>
      </c>
      <c r="BA1041">
        <v>3</v>
      </c>
      <c r="BB1041">
        <v>49</v>
      </c>
      <c r="BC1041">
        <v>26</v>
      </c>
      <c r="BD1041">
        <v>43.12</v>
      </c>
      <c r="BE1041">
        <v>216</v>
      </c>
      <c r="BF1041">
        <v>88</v>
      </c>
      <c r="BG1041">
        <v>49</v>
      </c>
      <c r="BH1041">
        <v>26</v>
      </c>
      <c r="BI1041">
        <v>43.12</v>
      </c>
      <c r="BJ1041">
        <v>216</v>
      </c>
      <c r="BK1041">
        <v>88</v>
      </c>
      <c r="BL1041">
        <v>216</v>
      </c>
      <c r="BM1041">
        <v>3.7764000000000002</v>
      </c>
    </row>
    <row r="1042" spans="1:65" x14ac:dyDescent="0.25">
      <c r="A1042" t="s">
        <v>1105</v>
      </c>
      <c r="B1042" t="s">
        <v>2081</v>
      </c>
      <c r="C1042" t="s">
        <v>2160</v>
      </c>
      <c r="D1042" s="1">
        <v>45410</v>
      </c>
      <c r="E1042" s="1">
        <v>45447</v>
      </c>
      <c r="F1042" s="1">
        <v>45506</v>
      </c>
      <c r="G1042" t="s">
        <v>2162</v>
      </c>
      <c r="I1042" t="s">
        <v>2176</v>
      </c>
      <c r="J1042">
        <v>13606</v>
      </c>
      <c r="K1042">
        <v>408</v>
      </c>
      <c r="L1042">
        <v>2</v>
      </c>
      <c r="M1042">
        <v>4.5</v>
      </c>
      <c r="N1042">
        <v>3</v>
      </c>
      <c r="O1042">
        <v>4932</v>
      </c>
      <c r="P1042" t="s">
        <v>2176</v>
      </c>
      <c r="Q1042">
        <v>11</v>
      </c>
      <c r="R1042">
        <v>13</v>
      </c>
      <c r="S1042">
        <v>13</v>
      </c>
      <c r="T1042">
        <v>367</v>
      </c>
      <c r="U1042" t="s">
        <v>2162</v>
      </c>
      <c r="W1042" t="s">
        <v>2208</v>
      </c>
      <c r="X1042" t="s">
        <v>2210</v>
      </c>
      <c r="Y1042" t="s">
        <v>2212</v>
      </c>
      <c r="Z1042" s="1">
        <v>45484</v>
      </c>
      <c r="AA1042" s="1">
        <v>45502</v>
      </c>
      <c r="AB1042" t="s">
        <v>2214</v>
      </c>
      <c r="AC1042" t="s">
        <v>2209</v>
      </c>
      <c r="AD1042" t="s">
        <v>2216</v>
      </c>
      <c r="AE1042" t="s">
        <v>2162</v>
      </c>
      <c r="AG1042" t="s">
        <v>2220</v>
      </c>
      <c r="AH1042">
        <v>37</v>
      </c>
      <c r="AI1042">
        <v>55</v>
      </c>
      <c r="AJ1042">
        <v>18</v>
      </c>
      <c r="AK1042">
        <v>6</v>
      </c>
      <c r="AL1042" t="s">
        <v>2223</v>
      </c>
      <c r="AM1042">
        <v>0</v>
      </c>
      <c r="AN1042" t="s">
        <v>2176</v>
      </c>
      <c r="AO1042" t="s">
        <v>2176</v>
      </c>
      <c r="AP1042" t="s">
        <v>2176</v>
      </c>
      <c r="AQ1042">
        <v>9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4.2</v>
      </c>
      <c r="AY1042">
        <v>4.2</v>
      </c>
      <c r="AZ1042">
        <v>1</v>
      </c>
      <c r="BA1042">
        <v>1</v>
      </c>
      <c r="BB1042">
        <v>29</v>
      </c>
      <c r="BC1042">
        <v>25</v>
      </c>
      <c r="BD1042">
        <v>25.56</v>
      </c>
      <c r="BE1042">
        <v>117</v>
      </c>
      <c r="BF1042">
        <v>88.1</v>
      </c>
      <c r="BG1042">
        <v>29</v>
      </c>
      <c r="BH1042">
        <v>25</v>
      </c>
      <c r="BI1042">
        <v>25.56</v>
      </c>
      <c r="BJ1042">
        <v>117</v>
      </c>
      <c r="BK1042">
        <v>88.1</v>
      </c>
      <c r="BL1042">
        <v>117</v>
      </c>
      <c r="BM1042">
        <v>4.6500000000000004</v>
      </c>
    </row>
    <row r="1043" spans="1:65" x14ac:dyDescent="0.25">
      <c r="A1043" t="s">
        <v>1106</v>
      </c>
      <c r="B1043" t="s">
        <v>2082</v>
      </c>
      <c r="C1043" t="s">
        <v>2158</v>
      </c>
      <c r="D1043" s="1">
        <v>45536</v>
      </c>
      <c r="E1043" s="1">
        <v>45581</v>
      </c>
      <c r="F1043" s="1">
        <v>45629</v>
      </c>
      <c r="G1043" t="s">
        <v>2164</v>
      </c>
      <c r="I1043" t="s">
        <v>2176</v>
      </c>
      <c r="J1043">
        <v>7544</v>
      </c>
      <c r="K1043">
        <v>226</v>
      </c>
      <c r="L1043">
        <v>5.4</v>
      </c>
      <c r="M1043">
        <v>1.8</v>
      </c>
      <c r="N1043">
        <v>3</v>
      </c>
      <c r="O1043">
        <v>5238</v>
      </c>
      <c r="P1043" t="s">
        <v>2176</v>
      </c>
      <c r="Q1043">
        <v>5</v>
      </c>
      <c r="R1043">
        <v>6</v>
      </c>
      <c r="S1043">
        <v>8</v>
      </c>
      <c r="T1043">
        <v>397</v>
      </c>
      <c r="U1043" t="s">
        <v>2164</v>
      </c>
      <c r="W1043" t="s">
        <v>2208</v>
      </c>
      <c r="X1043" t="s">
        <v>2210</v>
      </c>
      <c r="Y1043" t="s">
        <v>2212</v>
      </c>
      <c r="Z1043" s="1">
        <v>45600</v>
      </c>
      <c r="AA1043" s="1">
        <v>45613</v>
      </c>
      <c r="AB1043" t="s">
        <v>2214</v>
      </c>
      <c r="AC1043" t="s">
        <v>2209</v>
      </c>
      <c r="AD1043" t="s">
        <v>2216</v>
      </c>
      <c r="AE1043" t="s">
        <v>2164</v>
      </c>
      <c r="AG1043" t="s">
        <v>2220</v>
      </c>
      <c r="AH1043">
        <v>19</v>
      </c>
      <c r="AI1043">
        <v>32</v>
      </c>
      <c r="AJ1043">
        <v>13</v>
      </c>
      <c r="AK1043">
        <v>10</v>
      </c>
      <c r="AL1043" t="s">
        <v>2230</v>
      </c>
      <c r="AM1043">
        <v>1</v>
      </c>
      <c r="AN1043" t="s">
        <v>2176</v>
      </c>
      <c r="AO1043" t="s">
        <v>2176</v>
      </c>
      <c r="AP1043" t="s">
        <v>2176</v>
      </c>
      <c r="AQ1043">
        <v>9.7200000000000006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4.5</v>
      </c>
      <c r="AY1043">
        <v>4.5</v>
      </c>
      <c r="AZ1043">
        <v>2</v>
      </c>
      <c r="BA1043">
        <v>1</v>
      </c>
      <c r="BB1043">
        <v>27</v>
      </c>
      <c r="BC1043">
        <v>27</v>
      </c>
      <c r="BD1043">
        <v>23.56</v>
      </c>
      <c r="BE1043">
        <v>116</v>
      </c>
      <c r="BF1043">
        <v>87.3</v>
      </c>
      <c r="BG1043">
        <v>27</v>
      </c>
      <c r="BH1043">
        <v>27</v>
      </c>
      <c r="BI1043">
        <v>23.56</v>
      </c>
      <c r="BJ1043">
        <v>116</v>
      </c>
      <c r="BK1043">
        <v>87.3</v>
      </c>
      <c r="BL1043">
        <v>116</v>
      </c>
      <c r="BM1043">
        <v>2.4079000000000002</v>
      </c>
    </row>
    <row r="1044" spans="1:65" x14ac:dyDescent="0.25">
      <c r="A1044" t="s">
        <v>1107</v>
      </c>
      <c r="B1044" t="s">
        <v>2083</v>
      </c>
      <c r="C1044" t="s">
        <v>2157</v>
      </c>
      <c r="D1044" s="1">
        <v>45343</v>
      </c>
      <c r="E1044" s="1">
        <v>45392</v>
      </c>
      <c r="F1044" s="1">
        <v>45453</v>
      </c>
      <c r="G1044" t="s">
        <v>2162</v>
      </c>
      <c r="I1044" t="s">
        <v>2174</v>
      </c>
      <c r="J1044">
        <v>9576</v>
      </c>
      <c r="K1044">
        <v>287</v>
      </c>
      <c r="L1044">
        <v>4.9000000000000004</v>
      </c>
      <c r="M1044">
        <v>3.1</v>
      </c>
      <c r="N1044">
        <v>3</v>
      </c>
      <c r="O1044">
        <v>3386</v>
      </c>
      <c r="P1044" t="s">
        <v>2176</v>
      </c>
      <c r="Q1044">
        <v>8</v>
      </c>
      <c r="R1044">
        <v>11</v>
      </c>
      <c r="S1044">
        <v>9</v>
      </c>
      <c r="T1044">
        <v>342</v>
      </c>
      <c r="U1044" t="s">
        <v>2162</v>
      </c>
      <c r="W1044" t="s">
        <v>2208</v>
      </c>
      <c r="X1044" t="s">
        <v>2210</v>
      </c>
      <c r="Y1044" t="s">
        <v>2212</v>
      </c>
      <c r="Z1044" s="1">
        <v>45420</v>
      </c>
      <c r="AA1044" s="1">
        <v>45439</v>
      </c>
      <c r="AB1044" t="s">
        <v>2214</v>
      </c>
      <c r="AC1044" t="s">
        <v>2209</v>
      </c>
      <c r="AD1044" t="s">
        <v>2216</v>
      </c>
      <c r="AE1044" t="s">
        <v>2162</v>
      </c>
      <c r="AG1044" t="s">
        <v>2220</v>
      </c>
      <c r="AH1044">
        <v>28</v>
      </c>
      <c r="AI1044">
        <v>47</v>
      </c>
      <c r="AJ1044">
        <v>19</v>
      </c>
      <c r="AK1044">
        <v>4</v>
      </c>
      <c r="AL1044" t="s">
        <v>2225</v>
      </c>
      <c r="AM1044">
        <v>0</v>
      </c>
      <c r="AN1044" t="s">
        <v>2176</v>
      </c>
      <c r="AO1044" t="s">
        <v>2176</v>
      </c>
      <c r="AP1044" t="s">
        <v>2176</v>
      </c>
      <c r="AQ1044">
        <v>15.19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4.2</v>
      </c>
      <c r="AY1044">
        <v>4.2</v>
      </c>
      <c r="AZ1044">
        <v>3</v>
      </c>
      <c r="BA1044">
        <v>0</v>
      </c>
      <c r="BB1044">
        <v>25</v>
      </c>
      <c r="BC1044">
        <v>26</v>
      </c>
      <c r="BD1044">
        <v>21.81</v>
      </c>
      <c r="BE1044">
        <v>104</v>
      </c>
      <c r="BF1044">
        <v>87.2</v>
      </c>
      <c r="BG1044">
        <v>25</v>
      </c>
      <c r="BH1044">
        <v>26</v>
      </c>
      <c r="BI1044">
        <v>21.81</v>
      </c>
      <c r="BJ1044">
        <v>104</v>
      </c>
      <c r="BK1044">
        <v>87.2</v>
      </c>
      <c r="BL1044">
        <v>104</v>
      </c>
      <c r="BM1044">
        <v>3.5400999999999998</v>
      </c>
    </row>
    <row r="1045" spans="1:65" x14ac:dyDescent="0.25">
      <c r="A1045" t="s">
        <v>1108</v>
      </c>
      <c r="B1045" t="s">
        <v>2084</v>
      </c>
      <c r="C1045" t="s">
        <v>2158</v>
      </c>
      <c r="D1045" s="1">
        <v>45288</v>
      </c>
      <c r="E1045" s="1">
        <v>45326</v>
      </c>
      <c r="F1045" s="1">
        <v>45407</v>
      </c>
      <c r="G1045" t="s">
        <v>2164</v>
      </c>
      <c r="I1045" t="s">
        <v>2176</v>
      </c>
      <c r="J1045">
        <v>17510</v>
      </c>
      <c r="K1045">
        <v>525</v>
      </c>
      <c r="L1045">
        <v>1.4</v>
      </c>
      <c r="M1045">
        <v>6.7</v>
      </c>
      <c r="N1045">
        <v>2</v>
      </c>
      <c r="O1045">
        <v>6484</v>
      </c>
      <c r="P1045" t="s">
        <v>2176</v>
      </c>
      <c r="Q1045">
        <v>16</v>
      </c>
      <c r="R1045">
        <v>19</v>
      </c>
      <c r="S1045">
        <v>17</v>
      </c>
      <c r="T1045">
        <v>336</v>
      </c>
      <c r="U1045" t="s">
        <v>2164</v>
      </c>
      <c r="W1045" t="s">
        <v>2208</v>
      </c>
      <c r="X1045" t="s">
        <v>2210</v>
      </c>
      <c r="Y1045" t="s">
        <v>2212</v>
      </c>
      <c r="Z1045" s="1">
        <v>45378</v>
      </c>
      <c r="AA1045" s="1">
        <v>45395</v>
      </c>
      <c r="AB1045" t="s">
        <v>2214</v>
      </c>
      <c r="AC1045" t="s">
        <v>2209</v>
      </c>
      <c r="AD1045" t="s">
        <v>2216</v>
      </c>
      <c r="AE1045" t="s">
        <v>2164</v>
      </c>
      <c r="AG1045" t="s">
        <v>2220</v>
      </c>
      <c r="AH1045">
        <v>52</v>
      </c>
      <c r="AI1045">
        <v>69</v>
      </c>
      <c r="AJ1045">
        <v>17</v>
      </c>
      <c r="AK1045">
        <v>2</v>
      </c>
      <c r="AL1045" t="s">
        <v>2228</v>
      </c>
      <c r="AM1045">
        <v>0</v>
      </c>
      <c r="AN1045" t="s">
        <v>2176</v>
      </c>
      <c r="AO1045" t="s">
        <v>2176</v>
      </c>
      <c r="AP1045" t="s">
        <v>2176</v>
      </c>
      <c r="AQ1045">
        <v>9.379999999999999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4.5</v>
      </c>
      <c r="AY1045">
        <v>4.5</v>
      </c>
      <c r="AZ1045">
        <v>2</v>
      </c>
      <c r="BA1045">
        <v>1</v>
      </c>
      <c r="BB1045">
        <v>27</v>
      </c>
      <c r="BC1045">
        <v>24</v>
      </c>
      <c r="BD1045">
        <v>24.04</v>
      </c>
      <c r="BE1045">
        <v>106</v>
      </c>
      <c r="BF1045">
        <v>89</v>
      </c>
      <c r="BG1045">
        <v>27</v>
      </c>
      <c r="BH1045">
        <v>24</v>
      </c>
      <c r="BI1045">
        <v>24.04</v>
      </c>
      <c r="BJ1045">
        <v>106</v>
      </c>
      <c r="BK1045">
        <v>89</v>
      </c>
      <c r="BL1045">
        <v>106</v>
      </c>
      <c r="BM1045">
        <v>6.8802000000000003</v>
      </c>
    </row>
    <row r="1046" spans="1:65" x14ac:dyDescent="0.25">
      <c r="A1046" t="s">
        <v>1109</v>
      </c>
      <c r="B1046" t="s">
        <v>2085</v>
      </c>
      <c r="C1046" t="s">
        <v>2159</v>
      </c>
      <c r="D1046" s="1">
        <v>45362</v>
      </c>
      <c r="E1046" s="1">
        <v>45397</v>
      </c>
      <c r="F1046" s="1">
        <v>45469</v>
      </c>
      <c r="G1046" t="s">
        <v>2162</v>
      </c>
      <c r="I1046" t="s">
        <v>2174</v>
      </c>
      <c r="J1046">
        <v>13095</v>
      </c>
      <c r="K1046">
        <v>392</v>
      </c>
      <c r="L1046">
        <v>5.2</v>
      </c>
      <c r="M1046">
        <v>3.8</v>
      </c>
      <c r="N1046">
        <v>2</v>
      </c>
      <c r="O1046">
        <v>2160</v>
      </c>
      <c r="P1046" t="s">
        <v>2176</v>
      </c>
      <c r="Q1046">
        <v>9</v>
      </c>
      <c r="R1046">
        <v>10</v>
      </c>
      <c r="S1046">
        <v>23</v>
      </c>
      <c r="T1046">
        <v>311</v>
      </c>
      <c r="U1046" t="s">
        <v>2162</v>
      </c>
      <c r="W1046" t="s">
        <v>2208</v>
      </c>
      <c r="X1046" t="s">
        <v>2210</v>
      </c>
      <c r="Y1046" t="s">
        <v>2212</v>
      </c>
      <c r="Z1046" s="1">
        <v>45439</v>
      </c>
      <c r="AA1046" s="1">
        <v>45453</v>
      </c>
      <c r="AB1046" t="s">
        <v>2214</v>
      </c>
      <c r="AC1046" t="s">
        <v>2209</v>
      </c>
      <c r="AD1046" t="s">
        <v>2216</v>
      </c>
      <c r="AE1046" t="s">
        <v>2162</v>
      </c>
      <c r="AG1046" t="s">
        <v>2220</v>
      </c>
      <c r="AH1046">
        <v>42</v>
      </c>
      <c r="AI1046">
        <v>56</v>
      </c>
      <c r="AJ1046">
        <v>14</v>
      </c>
      <c r="AK1046">
        <v>4</v>
      </c>
      <c r="AL1046" t="s">
        <v>2225</v>
      </c>
      <c r="AM1046">
        <v>0</v>
      </c>
      <c r="AN1046" t="s">
        <v>2176</v>
      </c>
      <c r="AO1046" t="s">
        <v>2176</v>
      </c>
      <c r="AP1046" t="s">
        <v>2176</v>
      </c>
      <c r="AQ1046">
        <v>19.760000000000002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4.2</v>
      </c>
      <c r="AY1046">
        <v>4.2</v>
      </c>
      <c r="AZ1046">
        <v>0</v>
      </c>
      <c r="BA1046">
        <v>0</v>
      </c>
      <c r="BB1046">
        <v>25</v>
      </c>
      <c r="BC1046">
        <v>26</v>
      </c>
      <c r="BD1046">
        <v>21.81</v>
      </c>
      <c r="BE1046">
        <v>104</v>
      </c>
      <c r="BF1046">
        <v>87.2</v>
      </c>
      <c r="BG1046">
        <v>25</v>
      </c>
      <c r="BH1046">
        <v>26</v>
      </c>
      <c r="BI1046">
        <v>21.81</v>
      </c>
      <c r="BJ1046">
        <v>104</v>
      </c>
      <c r="BK1046">
        <v>87.2</v>
      </c>
      <c r="BL1046">
        <v>104</v>
      </c>
      <c r="BM1046">
        <v>4.8410000000000002</v>
      </c>
    </row>
    <row r="1047" spans="1:65" x14ac:dyDescent="0.25">
      <c r="A1047" t="s">
        <v>1110</v>
      </c>
      <c r="B1047" t="s">
        <v>2086</v>
      </c>
      <c r="C1047" t="s">
        <v>2158</v>
      </c>
      <c r="D1047" s="1">
        <v>45377</v>
      </c>
      <c r="E1047" s="1">
        <v>45398</v>
      </c>
      <c r="F1047" s="1">
        <v>45448</v>
      </c>
      <c r="G1047" t="s">
        <v>2162</v>
      </c>
      <c r="I1047" t="s">
        <v>2176</v>
      </c>
      <c r="J1047">
        <v>10876</v>
      </c>
      <c r="K1047">
        <v>326</v>
      </c>
      <c r="L1047">
        <v>1.5</v>
      </c>
      <c r="M1047">
        <v>4.5999999999999996</v>
      </c>
      <c r="N1047">
        <v>2</v>
      </c>
      <c r="O1047">
        <v>5318</v>
      </c>
      <c r="P1047" t="s">
        <v>2176</v>
      </c>
      <c r="Q1047">
        <v>6</v>
      </c>
      <c r="R1047">
        <v>7</v>
      </c>
      <c r="S1047">
        <v>10</v>
      </c>
      <c r="T1047">
        <v>472</v>
      </c>
      <c r="U1047" t="s">
        <v>2162</v>
      </c>
      <c r="W1047" t="s">
        <v>2208</v>
      </c>
      <c r="X1047" t="s">
        <v>2210</v>
      </c>
      <c r="Y1047" t="s">
        <v>2212</v>
      </c>
      <c r="Z1047" s="1">
        <v>45421</v>
      </c>
      <c r="AA1047" s="1">
        <v>45436</v>
      </c>
      <c r="AB1047" t="s">
        <v>2214</v>
      </c>
      <c r="AC1047" t="s">
        <v>2209</v>
      </c>
      <c r="AD1047" t="s">
        <v>2216</v>
      </c>
      <c r="AE1047" t="s">
        <v>2162</v>
      </c>
      <c r="AG1047" t="s">
        <v>2220</v>
      </c>
      <c r="AH1047">
        <v>23</v>
      </c>
      <c r="AI1047">
        <v>38</v>
      </c>
      <c r="AJ1047">
        <v>15</v>
      </c>
      <c r="AK1047">
        <v>4</v>
      </c>
      <c r="AL1047" t="s">
        <v>2225</v>
      </c>
      <c r="AM1047">
        <v>0</v>
      </c>
      <c r="AN1047" t="s">
        <v>2176</v>
      </c>
      <c r="AO1047" t="s">
        <v>2176</v>
      </c>
      <c r="AP1047" t="s">
        <v>2176</v>
      </c>
      <c r="AQ1047">
        <v>6.8999999999999986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4.2</v>
      </c>
      <c r="AY1047">
        <v>4.2</v>
      </c>
      <c r="AZ1047">
        <v>2</v>
      </c>
      <c r="BA1047">
        <v>1</v>
      </c>
      <c r="BB1047">
        <v>25</v>
      </c>
      <c r="BC1047">
        <v>26</v>
      </c>
      <c r="BD1047">
        <v>21.81</v>
      </c>
      <c r="BE1047">
        <v>104</v>
      </c>
      <c r="BF1047">
        <v>87.2</v>
      </c>
      <c r="BG1047">
        <v>25</v>
      </c>
      <c r="BH1047">
        <v>26</v>
      </c>
      <c r="BI1047">
        <v>21.81</v>
      </c>
      <c r="BJ1047">
        <v>104</v>
      </c>
      <c r="BK1047">
        <v>87.2</v>
      </c>
      <c r="BL1047">
        <v>104</v>
      </c>
      <c r="BM1047">
        <v>4.0206999999999997</v>
      </c>
    </row>
    <row r="1048" spans="1:65" x14ac:dyDescent="0.25">
      <c r="A1048" t="s">
        <v>1111</v>
      </c>
      <c r="B1048" t="s">
        <v>2087</v>
      </c>
      <c r="C1048" t="s">
        <v>2159</v>
      </c>
      <c r="D1048" s="1">
        <v>45281</v>
      </c>
      <c r="E1048" s="1">
        <v>45306</v>
      </c>
      <c r="F1048" s="1">
        <v>45410</v>
      </c>
      <c r="G1048" t="s">
        <v>2162</v>
      </c>
      <c r="I1048" t="s">
        <v>2174</v>
      </c>
      <c r="J1048">
        <v>19827</v>
      </c>
      <c r="K1048">
        <v>594</v>
      </c>
      <c r="L1048">
        <v>4.0999999999999996</v>
      </c>
      <c r="M1048">
        <v>4.4000000000000004</v>
      </c>
      <c r="N1048">
        <v>2</v>
      </c>
      <c r="O1048">
        <v>3392</v>
      </c>
      <c r="P1048" t="s">
        <v>2176</v>
      </c>
      <c r="Q1048">
        <v>13</v>
      </c>
      <c r="R1048">
        <v>15</v>
      </c>
      <c r="S1048">
        <v>29</v>
      </c>
      <c r="T1048">
        <v>347</v>
      </c>
      <c r="U1048" t="s">
        <v>2162</v>
      </c>
      <c r="W1048" t="s">
        <v>2208</v>
      </c>
      <c r="X1048" t="s">
        <v>2210</v>
      </c>
      <c r="Y1048" t="s">
        <v>2212</v>
      </c>
      <c r="Z1048" s="1">
        <v>45363</v>
      </c>
      <c r="AA1048" s="1">
        <v>45380</v>
      </c>
      <c r="AB1048" t="s">
        <v>2214</v>
      </c>
      <c r="AC1048" t="s">
        <v>2209</v>
      </c>
      <c r="AD1048" t="s">
        <v>2216</v>
      </c>
      <c r="AE1048" t="s">
        <v>2162</v>
      </c>
      <c r="AG1048" t="s">
        <v>2220</v>
      </c>
      <c r="AH1048">
        <v>57</v>
      </c>
      <c r="AI1048">
        <v>74</v>
      </c>
      <c r="AJ1048">
        <v>17</v>
      </c>
      <c r="AK1048">
        <v>1</v>
      </c>
      <c r="AL1048" t="s">
        <v>2233</v>
      </c>
      <c r="AM1048">
        <v>0</v>
      </c>
      <c r="AN1048" t="s">
        <v>2176</v>
      </c>
      <c r="AO1048" t="s">
        <v>2176</v>
      </c>
      <c r="AP1048" t="s">
        <v>2176</v>
      </c>
      <c r="AQ1048">
        <v>18.04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4.2</v>
      </c>
      <c r="AY1048">
        <v>4.2</v>
      </c>
      <c r="AZ1048">
        <v>0</v>
      </c>
      <c r="BA1048">
        <v>0</v>
      </c>
      <c r="BB1048">
        <v>26</v>
      </c>
      <c r="BC1048">
        <v>27</v>
      </c>
      <c r="BD1048">
        <v>23.19</v>
      </c>
      <c r="BE1048">
        <v>113</v>
      </c>
      <c r="BF1048">
        <v>89.2</v>
      </c>
      <c r="BG1048">
        <v>26</v>
      </c>
      <c r="BH1048">
        <v>27</v>
      </c>
      <c r="BI1048">
        <v>23.19</v>
      </c>
      <c r="BJ1048">
        <v>113</v>
      </c>
      <c r="BK1048">
        <v>89.2</v>
      </c>
      <c r="BL1048">
        <v>113</v>
      </c>
      <c r="BM1048">
        <v>6.4964000000000004</v>
      </c>
    </row>
    <row r="1049" spans="1:65" x14ac:dyDescent="0.25">
      <c r="A1049" t="s">
        <v>1112</v>
      </c>
      <c r="B1049" t="s">
        <v>2088</v>
      </c>
      <c r="C1049" t="s">
        <v>2160</v>
      </c>
      <c r="D1049" s="1">
        <v>45311</v>
      </c>
      <c r="E1049" s="1">
        <v>45353</v>
      </c>
      <c r="F1049" s="1">
        <v>45393</v>
      </c>
      <c r="G1049" t="s">
        <v>2162</v>
      </c>
      <c r="I1049" t="s">
        <v>2176</v>
      </c>
      <c r="J1049">
        <v>5591</v>
      </c>
      <c r="K1049">
        <v>167</v>
      </c>
      <c r="L1049">
        <v>4.7</v>
      </c>
      <c r="M1049">
        <v>2.7</v>
      </c>
      <c r="N1049">
        <v>3</v>
      </c>
      <c r="O1049">
        <v>4512</v>
      </c>
      <c r="P1049" t="s">
        <v>2176</v>
      </c>
      <c r="Q1049">
        <v>3</v>
      </c>
      <c r="R1049">
        <v>3</v>
      </c>
      <c r="S1049">
        <v>8</v>
      </c>
      <c r="T1049">
        <v>399</v>
      </c>
      <c r="U1049" t="s">
        <v>2162</v>
      </c>
      <c r="W1049" t="s">
        <v>2208</v>
      </c>
      <c r="X1049" t="s">
        <v>2210</v>
      </c>
      <c r="Y1049" t="s">
        <v>2212</v>
      </c>
      <c r="Z1049" s="1">
        <v>45367</v>
      </c>
      <c r="AA1049" s="1">
        <v>45384</v>
      </c>
      <c r="AB1049" t="s">
        <v>2214</v>
      </c>
      <c r="AC1049" t="s">
        <v>2209</v>
      </c>
      <c r="AD1049" t="s">
        <v>2216</v>
      </c>
      <c r="AE1049" t="s">
        <v>2162</v>
      </c>
      <c r="AG1049" t="s">
        <v>2220</v>
      </c>
      <c r="AH1049">
        <v>14</v>
      </c>
      <c r="AI1049">
        <v>31</v>
      </c>
      <c r="AJ1049">
        <v>17</v>
      </c>
      <c r="AK1049">
        <v>3</v>
      </c>
      <c r="AL1049" t="s">
        <v>2227</v>
      </c>
      <c r="AM1049">
        <v>0</v>
      </c>
      <c r="AN1049" t="s">
        <v>2176</v>
      </c>
      <c r="AO1049" t="s">
        <v>2176</v>
      </c>
      <c r="AP1049" t="s">
        <v>2176</v>
      </c>
      <c r="AQ1049">
        <v>12.69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4.2</v>
      </c>
      <c r="AY1049">
        <v>4.2</v>
      </c>
      <c r="AZ1049">
        <v>1</v>
      </c>
      <c r="BA1049">
        <v>1</v>
      </c>
      <c r="BB1049">
        <v>31</v>
      </c>
      <c r="BC1049">
        <v>26</v>
      </c>
      <c r="BD1049">
        <v>27.27</v>
      </c>
      <c r="BE1049">
        <v>130</v>
      </c>
      <c r="BF1049">
        <v>88</v>
      </c>
      <c r="BG1049">
        <v>31</v>
      </c>
      <c r="BH1049">
        <v>26</v>
      </c>
      <c r="BI1049">
        <v>27.27</v>
      </c>
      <c r="BJ1049">
        <v>130</v>
      </c>
      <c r="BK1049">
        <v>88</v>
      </c>
      <c r="BL1049">
        <v>130</v>
      </c>
      <c r="BM1049">
        <v>1.6536999999999999</v>
      </c>
    </row>
    <row r="1050" spans="1:65" x14ac:dyDescent="0.25">
      <c r="A1050" t="s">
        <v>1113</v>
      </c>
      <c r="B1050" t="s">
        <v>2089</v>
      </c>
      <c r="C1050" t="s">
        <v>2160</v>
      </c>
      <c r="D1050" s="1">
        <v>45372</v>
      </c>
      <c r="E1050" s="1">
        <v>45397</v>
      </c>
      <c r="F1050" s="1">
        <v>45458</v>
      </c>
      <c r="G1050" t="s">
        <v>2162</v>
      </c>
      <c r="I1050" t="s">
        <v>2176</v>
      </c>
      <c r="J1050">
        <v>15780</v>
      </c>
      <c r="K1050">
        <v>473</v>
      </c>
      <c r="L1050">
        <v>3</v>
      </c>
      <c r="M1050">
        <v>5.8</v>
      </c>
      <c r="N1050">
        <v>1</v>
      </c>
      <c r="O1050">
        <v>6260</v>
      </c>
      <c r="P1050" t="s">
        <v>2176</v>
      </c>
      <c r="Q1050">
        <v>8</v>
      </c>
      <c r="R1050">
        <v>9</v>
      </c>
      <c r="S1050">
        <v>15</v>
      </c>
      <c r="T1050">
        <v>493</v>
      </c>
      <c r="U1050" t="s">
        <v>2162</v>
      </c>
      <c r="W1050" t="s">
        <v>2208</v>
      </c>
      <c r="X1050" t="s">
        <v>2210</v>
      </c>
      <c r="Y1050" t="s">
        <v>2212</v>
      </c>
      <c r="Z1050" s="1">
        <v>45429</v>
      </c>
      <c r="AA1050" s="1">
        <v>45443</v>
      </c>
      <c r="AB1050" t="s">
        <v>2214</v>
      </c>
      <c r="AC1050" t="s">
        <v>2209</v>
      </c>
      <c r="AD1050" t="s">
        <v>2216</v>
      </c>
      <c r="AE1050" t="s">
        <v>2162</v>
      </c>
      <c r="AG1050" t="s">
        <v>2220</v>
      </c>
      <c r="AH1050">
        <v>32</v>
      </c>
      <c r="AI1050">
        <v>46</v>
      </c>
      <c r="AJ1050">
        <v>14</v>
      </c>
      <c r="AK1050">
        <v>4</v>
      </c>
      <c r="AL1050" t="s">
        <v>2225</v>
      </c>
      <c r="AM1050">
        <v>0</v>
      </c>
      <c r="AN1050" t="s">
        <v>2176</v>
      </c>
      <c r="AO1050" t="s">
        <v>2176</v>
      </c>
      <c r="AP1050" t="s">
        <v>2176</v>
      </c>
      <c r="AQ1050">
        <v>17.399999999999999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4.2</v>
      </c>
      <c r="AY1050">
        <v>4.2</v>
      </c>
      <c r="AZ1050">
        <v>1</v>
      </c>
      <c r="BA1050">
        <v>1</v>
      </c>
      <c r="BB1050">
        <v>25</v>
      </c>
      <c r="BC1050">
        <v>26</v>
      </c>
      <c r="BD1050">
        <v>21.81</v>
      </c>
      <c r="BE1050">
        <v>104</v>
      </c>
      <c r="BF1050">
        <v>87.2</v>
      </c>
      <c r="BG1050">
        <v>25</v>
      </c>
      <c r="BH1050">
        <v>26</v>
      </c>
      <c r="BI1050">
        <v>21.81</v>
      </c>
      <c r="BJ1050">
        <v>104</v>
      </c>
      <c r="BK1050">
        <v>87.2</v>
      </c>
      <c r="BL1050">
        <v>104</v>
      </c>
      <c r="BM1050">
        <v>5.8335999999999997</v>
      </c>
    </row>
    <row r="1051" spans="1:65" x14ac:dyDescent="0.25">
      <c r="A1051" t="s">
        <v>1114</v>
      </c>
      <c r="B1051" t="s">
        <v>2090</v>
      </c>
      <c r="C1051" t="s">
        <v>2157</v>
      </c>
      <c r="D1051" s="1">
        <v>45495</v>
      </c>
      <c r="E1051" s="1">
        <v>45518</v>
      </c>
      <c r="F1051" s="1">
        <v>45581</v>
      </c>
      <c r="G1051" t="s">
        <v>2162</v>
      </c>
      <c r="I1051" t="s">
        <v>2176</v>
      </c>
      <c r="J1051">
        <v>7328</v>
      </c>
      <c r="K1051">
        <v>219</v>
      </c>
      <c r="L1051">
        <v>4</v>
      </c>
      <c r="M1051">
        <v>5.0999999999999996</v>
      </c>
      <c r="N1051">
        <v>3</v>
      </c>
      <c r="O1051">
        <v>2404</v>
      </c>
      <c r="P1051" t="s">
        <v>2176</v>
      </c>
      <c r="Q1051">
        <v>5</v>
      </c>
      <c r="R1051">
        <v>7</v>
      </c>
      <c r="S1051">
        <v>10</v>
      </c>
      <c r="T1051">
        <v>333</v>
      </c>
      <c r="U1051" t="s">
        <v>2162</v>
      </c>
      <c r="W1051" t="s">
        <v>2208</v>
      </c>
      <c r="X1051" t="s">
        <v>2210</v>
      </c>
      <c r="Y1051" t="s">
        <v>2212</v>
      </c>
      <c r="Z1051" s="1">
        <v>45540</v>
      </c>
      <c r="AA1051" s="1">
        <v>45556</v>
      </c>
      <c r="AB1051" t="s">
        <v>2214</v>
      </c>
      <c r="AC1051" t="s">
        <v>2209</v>
      </c>
      <c r="AD1051" t="s">
        <v>2216</v>
      </c>
      <c r="AE1051" t="s">
        <v>2162</v>
      </c>
      <c r="AG1051" t="s">
        <v>2220</v>
      </c>
      <c r="AH1051">
        <v>22</v>
      </c>
      <c r="AI1051">
        <v>38</v>
      </c>
      <c r="AJ1051">
        <v>16</v>
      </c>
      <c r="AK1051">
        <v>8</v>
      </c>
      <c r="AL1051" t="s">
        <v>2232</v>
      </c>
      <c r="AM1051">
        <v>0</v>
      </c>
      <c r="AN1051" t="s">
        <v>2176</v>
      </c>
      <c r="AO1051" t="s">
        <v>2176</v>
      </c>
      <c r="AP1051" t="s">
        <v>2176</v>
      </c>
      <c r="AQ1051">
        <v>20.399999999999999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4.2</v>
      </c>
      <c r="AY1051">
        <v>4.2</v>
      </c>
      <c r="AZ1051">
        <v>3</v>
      </c>
      <c r="BA1051">
        <v>1</v>
      </c>
      <c r="BB1051">
        <v>29</v>
      </c>
      <c r="BC1051">
        <v>26</v>
      </c>
      <c r="BD1051">
        <v>25.54</v>
      </c>
      <c r="BE1051">
        <v>124</v>
      </c>
      <c r="BF1051">
        <v>88.1</v>
      </c>
      <c r="BG1051">
        <v>29</v>
      </c>
      <c r="BH1051">
        <v>26</v>
      </c>
      <c r="BI1051">
        <v>25.54</v>
      </c>
      <c r="BJ1051">
        <v>124</v>
      </c>
      <c r="BK1051">
        <v>88.1</v>
      </c>
      <c r="BL1051">
        <v>124</v>
      </c>
      <c r="BM1051">
        <v>2.2722000000000002</v>
      </c>
    </row>
    <row r="1052" spans="1:65" x14ac:dyDescent="0.25">
      <c r="A1052" t="s">
        <v>1115</v>
      </c>
      <c r="B1052" t="s">
        <v>2091</v>
      </c>
      <c r="C1052" t="s">
        <v>2160</v>
      </c>
      <c r="D1052" s="1">
        <v>45514</v>
      </c>
      <c r="E1052" s="1">
        <v>45545</v>
      </c>
      <c r="F1052" s="1">
        <v>45623</v>
      </c>
      <c r="G1052" t="s">
        <v>2164</v>
      </c>
      <c r="I1052" t="s">
        <v>2174</v>
      </c>
      <c r="J1052">
        <v>17122</v>
      </c>
      <c r="K1052">
        <v>513</v>
      </c>
      <c r="L1052">
        <v>2.6</v>
      </c>
      <c r="M1052">
        <v>1.2</v>
      </c>
      <c r="N1052">
        <v>1</v>
      </c>
      <c r="O1052">
        <v>4496</v>
      </c>
      <c r="P1052" t="s">
        <v>2176</v>
      </c>
      <c r="Q1052">
        <v>9</v>
      </c>
      <c r="R1052">
        <v>10</v>
      </c>
      <c r="S1052">
        <v>17</v>
      </c>
      <c r="T1052">
        <v>475</v>
      </c>
      <c r="U1052" t="s">
        <v>2164</v>
      </c>
      <c r="W1052" t="s">
        <v>2208</v>
      </c>
      <c r="X1052" t="s">
        <v>2210</v>
      </c>
      <c r="Y1052" t="s">
        <v>2212</v>
      </c>
      <c r="Z1052" s="1">
        <v>45581</v>
      </c>
      <c r="AA1052" s="1">
        <v>45595</v>
      </c>
      <c r="AB1052" t="s">
        <v>2214</v>
      </c>
      <c r="AC1052" t="s">
        <v>2209</v>
      </c>
      <c r="AD1052" t="s">
        <v>2216</v>
      </c>
      <c r="AE1052" t="s">
        <v>2164</v>
      </c>
      <c r="AG1052" t="s">
        <v>2220</v>
      </c>
      <c r="AH1052">
        <v>36</v>
      </c>
      <c r="AI1052">
        <v>50</v>
      </c>
      <c r="AJ1052">
        <v>14</v>
      </c>
      <c r="AK1052">
        <v>9</v>
      </c>
      <c r="AL1052" t="s">
        <v>2234</v>
      </c>
      <c r="AM1052">
        <v>0</v>
      </c>
      <c r="AN1052" t="s">
        <v>2176</v>
      </c>
      <c r="AO1052" t="s">
        <v>2176</v>
      </c>
      <c r="AP1052" t="s">
        <v>2176</v>
      </c>
      <c r="AQ1052">
        <v>3.12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4.5</v>
      </c>
      <c r="AY1052">
        <v>4.5</v>
      </c>
      <c r="AZ1052">
        <v>1</v>
      </c>
      <c r="BA1052">
        <v>0</v>
      </c>
      <c r="BB1052">
        <v>34</v>
      </c>
      <c r="BC1052">
        <v>26</v>
      </c>
      <c r="BD1052">
        <v>29.81</v>
      </c>
      <c r="BE1052">
        <v>147</v>
      </c>
      <c r="BF1052">
        <v>87.7</v>
      </c>
      <c r="BG1052">
        <v>34</v>
      </c>
      <c r="BH1052">
        <v>26</v>
      </c>
      <c r="BI1052">
        <v>29.81</v>
      </c>
      <c r="BJ1052">
        <v>147</v>
      </c>
      <c r="BK1052">
        <v>87.7</v>
      </c>
      <c r="BL1052">
        <v>147</v>
      </c>
      <c r="BM1052">
        <v>4.4786999999999999</v>
      </c>
    </row>
    <row r="1053" spans="1:65" x14ac:dyDescent="0.25">
      <c r="A1053" t="s">
        <v>1116</v>
      </c>
      <c r="B1053" t="s">
        <v>2092</v>
      </c>
      <c r="C1053" t="s">
        <v>2159</v>
      </c>
      <c r="D1053" s="1">
        <v>45410</v>
      </c>
      <c r="E1053" s="1">
        <v>45431</v>
      </c>
      <c r="F1053" s="1">
        <v>45515</v>
      </c>
      <c r="G1053" t="s">
        <v>2164</v>
      </c>
      <c r="I1053" t="s">
        <v>2176</v>
      </c>
      <c r="J1053">
        <v>10790</v>
      </c>
      <c r="K1053">
        <v>323</v>
      </c>
      <c r="L1053">
        <v>1.1000000000000001</v>
      </c>
      <c r="M1053">
        <v>2.2999999999999998</v>
      </c>
      <c r="N1053">
        <v>3</v>
      </c>
      <c r="O1053">
        <v>2425</v>
      </c>
      <c r="P1053" t="s">
        <v>2176</v>
      </c>
      <c r="Q1053">
        <v>8</v>
      </c>
      <c r="R1053">
        <v>11</v>
      </c>
      <c r="S1053">
        <v>19</v>
      </c>
      <c r="T1053">
        <v>283</v>
      </c>
      <c r="U1053" t="s">
        <v>2164</v>
      </c>
      <c r="W1053" t="s">
        <v>2208</v>
      </c>
      <c r="X1053" t="s">
        <v>2210</v>
      </c>
      <c r="Y1053" t="s">
        <v>2212</v>
      </c>
      <c r="Z1053" s="1">
        <v>45469</v>
      </c>
      <c r="AA1053" s="1">
        <v>45482</v>
      </c>
      <c r="AB1053" t="s">
        <v>2214</v>
      </c>
      <c r="AC1053" t="s">
        <v>2209</v>
      </c>
      <c r="AD1053" t="s">
        <v>2216</v>
      </c>
      <c r="AE1053" t="s">
        <v>2164</v>
      </c>
      <c r="AG1053" t="s">
        <v>2220</v>
      </c>
      <c r="AH1053">
        <v>38</v>
      </c>
      <c r="AI1053">
        <v>51</v>
      </c>
      <c r="AJ1053">
        <v>13</v>
      </c>
      <c r="AK1053">
        <v>5</v>
      </c>
      <c r="AL1053" t="s">
        <v>2224</v>
      </c>
      <c r="AM1053">
        <v>0</v>
      </c>
      <c r="AN1053" t="s">
        <v>2176</v>
      </c>
      <c r="AO1053" t="s">
        <v>2176</v>
      </c>
      <c r="AP1053" t="s">
        <v>2176</v>
      </c>
      <c r="AQ1053">
        <v>2.5299999999999998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4.5</v>
      </c>
      <c r="AY1053">
        <v>4.5</v>
      </c>
      <c r="AZ1053">
        <v>0</v>
      </c>
      <c r="BA1053">
        <v>1</v>
      </c>
      <c r="BB1053">
        <v>35</v>
      </c>
      <c r="BC1053">
        <v>27</v>
      </c>
      <c r="BD1053">
        <v>30.96</v>
      </c>
      <c r="BE1053">
        <v>158</v>
      </c>
      <c r="BF1053">
        <v>88.5</v>
      </c>
      <c r="BG1053">
        <v>35</v>
      </c>
      <c r="BH1053">
        <v>27</v>
      </c>
      <c r="BI1053">
        <v>30.96</v>
      </c>
      <c r="BJ1053">
        <v>158</v>
      </c>
      <c r="BK1053">
        <v>88.5</v>
      </c>
      <c r="BL1053">
        <v>158</v>
      </c>
      <c r="BM1053">
        <v>2.5287000000000002</v>
      </c>
    </row>
    <row r="1054" spans="1:65" x14ac:dyDescent="0.25">
      <c r="A1054" t="s">
        <v>1117</v>
      </c>
      <c r="B1054" t="s">
        <v>2093</v>
      </c>
      <c r="C1054" t="s">
        <v>2159</v>
      </c>
      <c r="D1054" s="1">
        <v>45484</v>
      </c>
      <c r="E1054" s="1">
        <v>45507</v>
      </c>
      <c r="F1054" s="1">
        <v>45597</v>
      </c>
      <c r="G1054" t="s">
        <v>2164</v>
      </c>
      <c r="I1054" t="s">
        <v>2174</v>
      </c>
      <c r="J1054">
        <v>17732</v>
      </c>
      <c r="K1054">
        <v>531</v>
      </c>
      <c r="L1054">
        <v>4.2</v>
      </c>
      <c r="M1054">
        <v>5.3</v>
      </c>
      <c r="N1054">
        <v>1</v>
      </c>
      <c r="O1054">
        <v>3018</v>
      </c>
      <c r="P1054" t="s">
        <v>2176</v>
      </c>
      <c r="Q1054">
        <v>16</v>
      </c>
      <c r="R1054">
        <v>21</v>
      </c>
      <c r="S1054">
        <v>17</v>
      </c>
      <c r="T1054">
        <v>328</v>
      </c>
      <c r="U1054" t="s">
        <v>2164</v>
      </c>
      <c r="W1054" t="s">
        <v>2208</v>
      </c>
      <c r="X1054" t="s">
        <v>2210</v>
      </c>
      <c r="Y1054" t="s">
        <v>2212</v>
      </c>
      <c r="Z1054" s="1">
        <v>45561</v>
      </c>
      <c r="AA1054" s="1">
        <v>45579</v>
      </c>
      <c r="AB1054" t="s">
        <v>2214</v>
      </c>
      <c r="AC1054" t="s">
        <v>2209</v>
      </c>
      <c r="AD1054" t="s">
        <v>2216</v>
      </c>
      <c r="AE1054" t="s">
        <v>2164</v>
      </c>
      <c r="AG1054" t="s">
        <v>2220</v>
      </c>
      <c r="AH1054">
        <v>54</v>
      </c>
      <c r="AI1054">
        <v>72</v>
      </c>
      <c r="AJ1054">
        <v>18</v>
      </c>
      <c r="AK1054">
        <v>8</v>
      </c>
      <c r="AL1054" t="s">
        <v>2232</v>
      </c>
      <c r="AM1054">
        <v>0</v>
      </c>
      <c r="AN1054" t="s">
        <v>2176</v>
      </c>
      <c r="AO1054" t="s">
        <v>2176</v>
      </c>
      <c r="AP1054" t="s">
        <v>2176</v>
      </c>
      <c r="AQ1054">
        <v>22.26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4.5</v>
      </c>
      <c r="AY1054">
        <v>4.5</v>
      </c>
      <c r="AZ1054">
        <v>0</v>
      </c>
      <c r="BA1054">
        <v>0</v>
      </c>
      <c r="BB1054">
        <v>27</v>
      </c>
      <c r="BC1054">
        <v>26</v>
      </c>
      <c r="BD1054">
        <v>23.77</v>
      </c>
      <c r="BE1054">
        <v>112</v>
      </c>
      <c r="BF1054">
        <v>88</v>
      </c>
      <c r="BG1054">
        <v>27</v>
      </c>
      <c r="BH1054">
        <v>26</v>
      </c>
      <c r="BI1054">
        <v>23.77</v>
      </c>
      <c r="BJ1054">
        <v>112</v>
      </c>
      <c r="BK1054">
        <v>88</v>
      </c>
      <c r="BL1054">
        <v>112</v>
      </c>
      <c r="BM1054">
        <v>6.0872000000000002</v>
      </c>
    </row>
    <row r="1055" spans="1:65" x14ac:dyDescent="0.25">
      <c r="A1055" t="s">
        <v>1118</v>
      </c>
      <c r="B1055" t="s">
        <v>2094</v>
      </c>
      <c r="C1055" t="s">
        <v>2159</v>
      </c>
      <c r="D1055" s="1">
        <v>45359</v>
      </c>
      <c r="E1055" s="1">
        <v>45392</v>
      </c>
      <c r="F1055" s="1">
        <v>45502</v>
      </c>
      <c r="G1055" t="s">
        <v>2162</v>
      </c>
      <c r="I1055" t="s">
        <v>2176</v>
      </c>
      <c r="J1055">
        <v>17447</v>
      </c>
      <c r="K1055">
        <v>523</v>
      </c>
      <c r="L1055">
        <v>4.2</v>
      </c>
      <c r="M1055">
        <v>5</v>
      </c>
      <c r="N1055">
        <v>1</v>
      </c>
      <c r="O1055">
        <v>4157</v>
      </c>
      <c r="P1055" t="s">
        <v>2176</v>
      </c>
      <c r="Q1055">
        <v>15</v>
      </c>
      <c r="R1055">
        <v>21</v>
      </c>
      <c r="S1055">
        <v>17</v>
      </c>
      <c r="T1055">
        <v>329</v>
      </c>
      <c r="U1055" t="s">
        <v>2162</v>
      </c>
      <c r="W1055" t="s">
        <v>2208</v>
      </c>
      <c r="X1055" t="s">
        <v>2210</v>
      </c>
      <c r="Y1055" t="s">
        <v>2212</v>
      </c>
      <c r="Z1055" s="1">
        <v>45445</v>
      </c>
      <c r="AA1055" s="1">
        <v>45463</v>
      </c>
      <c r="AB1055" t="s">
        <v>2214</v>
      </c>
      <c r="AC1055" t="s">
        <v>2209</v>
      </c>
      <c r="AD1055" t="s">
        <v>2216</v>
      </c>
      <c r="AE1055" t="s">
        <v>2162</v>
      </c>
      <c r="AG1055" t="s">
        <v>2220</v>
      </c>
      <c r="AH1055">
        <v>53</v>
      </c>
      <c r="AI1055">
        <v>71</v>
      </c>
      <c r="AJ1055">
        <v>18</v>
      </c>
      <c r="AK1055">
        <v>4</v>
      </c>
      <c r="AL1055" t="s">
        <v>2225</v>
      </c>
      <c r="AM1055">
        <v>0</v>
      </c>
      <c r="AN1055" t="s">
        <v>2176</v>
      </c>
      <c r="AO1055" t="s">
        <v>2176</v>
      </c>
      <c r="AP1055" t="s">
        <v>2176</v>
      </c>
      <c r="AQ1055">
        <v>21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4.2</v>
      </c>
      <c r="AY1055">
        <v>4.2</v>
      </c>
      <c r="AZ1055">
        <v>0</v>
      </c>
      <c r="BA1055">
        <v>1</v>
      </c>
      <c r="BB1055">
        <v>25</v>
      </c>
      <c r="BC1055">
        <v>26</v>
      </c>
      <c r="BD1055">
        <v>21.81</v>
      </c>
      <c r="BE1055">
        <v>104</v>
      </c>
      <c r="BF1055">
        <v>87.2</v>
      </c>
      <c r="BG1055">
        <v>25</v>
      </c>
      <c r="BH1055">
        <v>26</v>
      </c>
      <c r="BI1055">
        <v>21.81</v>
      </c>
      <c r="BJ1055">
        <v>104</v>
      </c>
      <c r="BK1055">
        <v>87.2</v>
      </c>
      <c r="BL1055">
        <v>104</v>
      </c>
      <c r="BM1055">
        <v>6.4499000000000004</v>
      </c>
    </row>
    <row r="1056" spans="1:65" x14ac:dyDescent="0.25">
      <c r="A1056" t="s">
        <v>1119</v>
      </c>
      <c r="B1056" t="s">
        <v>2095</v>
      </c>
      <c r="C1056" t="s">
        <v>2159</v>
      </c>
      <c r="D1056" s="1">
        <v>45510</v>
      </c>
      <c r="E1056" s="1">
        <v>45569</v>
      </c>
      <c r="F1056" s="1">
        <v>45654</v>
      </c>
      <c r="G1056" t="s">
        <v>2162</v>
      </c>
      <c r="I1056" t="s">
        <v>2176</v>
      </c>
      <c r="J1056">
        <v>19114</v>
      </c>
      <c r="K1056">
        <v>573</v>
      </c>
      <c r="L1056">
        <v>1.2</v>
      </c>
      <c r="M1056">
        <v>6.5</v>
      </c>
      <c r="N1056">
        <v>2</v>
      </c>
      <c r="O1056">
        <v>1232</v>
      </c>
      <c r="P1056" t="s">
        <v>2176</v>
      </c>
      <c r="Q1056">
        <v>12</v>
      </c>
      <c r="R1056">
        <v>13</v>
      </c>
      <c r="S1056">
        <v>25</v>
      </c>
      <c r="T1056">
        <v>382</v>
      </c>
      <c r="U1056" t="s">
        <v>2162</v>
      </c>
      <c r="W1056" t="s">
        <v>2208</v>
      </c>
      <c r="X1056" t="s">
        <v>2210</v>
      </c>
      <c r="Y1056" t="s">
        <v>2212</v>
      </c>
      <c r="Z1056" s="1">
        <v>45619</v>
      </c>
      <c r="AA1056" s="1">
        <v>45638</v>
      </c>
      <c r="AB1056" t="s">
        <v>2214</v>
      </c>
      <c r="AC1056" t="s">
        <v>2209</v>
      </c>
      <c r="AD1056" t="s">
        <v>2216</v>
      </c>
      <c r="AE1056" t="s">
        <v>2162</v>
      </c>
      <c r="AG1056" t="s">
        <v>2220</v>
      </c>
      <c r="AH1056">
        <v>50</v>
      </c>
      <c r="AI1056">
        <v>69</v>
      </c>
      <c r="AJ1056">
        <v>19</v>
      </c>
      <c r="AK1056">
        <v>10</v>
      </c>
      <c r="AL1056" t="s">
        <v>2230</v>
      </c>
      <c r="AM1056">
        <v>1</v>
      </c>
      <c r="AN1056" t="s">
        <v>2176</v>
      </c>
      <c r="AO1056" t="s">
        <v>2176</v>
      </c>
      <c r="AP1056" t="s">
        <v>2176</v>
      </c>
      <c r="AQ1056">
        <v>7.8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4.2</v>
      </c>
      <c r="AY1056">
        <v>4.2</v>
      </c>
      <c r="AZ1056">
        <v>0</v>
      </c>
      <c r="BA1056">
        <v>1</v>
      </c>
      <c r="BB1056">
        <v>25</v>
      </c>
      <c r="BC1056">
        <v>27</v>
      </c>
      <c r="BD1056">
        <v>21.89</v>
      </c>
      <c r="BE1056">
        <v>108</v>
      </c>
      <c r="BF1056">
        <v>87.6</v>
      </c>
      <c r="BG1056">
        <v>25</v>
      </c>
      <c r="BH1056">
        <v>27</v>
      </c>
      <c r="BI1056">
        <v>21.89</v>
      </c>
      <c r="BJ1056">
        <v>108</v>
      </c>
      <c r="BK1056">
        <v>87.6</v>
      </c>
      <c r="BL1056">
        <v>108</v>
      </c>
      <c r="BM1056">
        <v>6.5526</v>
      </c>
    </row>
    <row r="1057" spans="1:65" x14ac:dyDescent="0.25">
      <c r="A1057" t="s">
        <v>1120</v>
      </c>
      <c r="B1057" t="s">
        <v>2096</v>
      </c>
      <c r="C1057" t="s">
        <v>2158</v>
      </c>
      <c r="D1057" s="1">
        <v>45269</v>
      </c>
      <c r="E1057" s="1">
        <v>45306</v>
      </c>
      <c r="F1057" s="1">
        <v>45404</v>
      </c>
      <c r="G1057" t="s">
        <v>2164</v>
      </c>
      <c r="I1057" t="s">
        <v>2174</v>
      </c>
      <c r="J1057">
        <v>15916</v>
      </c>
      <c r="K1057">
        <v>477</v>
      </c>
      <c r="L1057">
        <v>2.2000000000000002</v>
      </c>
      <c r="M1057">
        <v>1.1000000000000001</v>
      </c>
      <c r="N1057">
        <v>1</v>
      </c>
      <c r="O1057">
        <v>1731</v>
      </c>
      <c r="P1057" t="s">
        <v>2176</v>
      </c>
      <c r="Q1057">
        <v>12</v>
      </c>
      <c r="R1057">
        <v>15</v>
      </c>
      <c r="S1057">
        <v>21</v>
      </c>
      <c r="T1057">
        <v>331</v>
      </c>
      <c r="U1057" t="s">
        <v>2164</v>
      </c>
      <c r="W1057" t="s">
        <v>2208</v>
      </c>
      <c r="X1057" t="s">
        <v>2210</v>
      </c>
      <c r="Y1057" t="s">
        <v>2212</v>
      </c>
      <c r="Z1057" s="1">
        <v>45354</v>
      </c>
      <c r="AA1057" s="1">
        <v>45370</v>
      </c>
      <c r="AB1057" t="s">
        <v>2214</v>
      </c>
      <c r="AC1057" t="s">
        <v>2209</v>
      </c>
      <c r="AD1057" t="s">
        <v>2216</v>
      </c>
      <c r="AE1057" t="s">
        <v>2164</v>
      </c>
      <c r="AG1057" t="s">
        <v>2220</v>
      </c>
      <c r="AH1057">
        <v>48</v>
      </c>
      <c r="AI1057">
        <v>64</v>
      </c>
      <c r="AJ1057">
        <v>16</v>
      </c>
      <c r="AK1057">
        <v>1</v>
      </c>
      <c r="AL1057" t="s">
        <v>2233</v>
      </c>
      <c r="AM1057">
        <v>0</v>
      </c>
      <c r="AN1057" t="s">
        <v>2176</v>
      </c>
      <c r="AO1057" t="s">
        <v>2176</v>
      </c>
      <c r="AP1057" t="s">
        <v>2176</v>
      </c>
      <c r="AQ1057">
        <v>2.42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4.5</v>
      </c>
      <c r="AY1057">
        <v>4.5</v>
      </c>
      <c r="AZ1057">
        <v>2</v>
      </c>
      <c r="BA1057">
        <v>0</v>
      </c>
      <c r="BB1057">
        <v>30</v>
      </c>
      <c r="BC1057">
        <v>27</v>
      </c>
      <c r="BD1057">
        <v>25.85</v>
      </c>
      <c r="BE1057">
        <v>132</v>
      </c>
      <c r="BF1057">
        <v>86.2</v>
      </c>
      <c r="BG1057">
        <v>30</v>
      </c>
      <c r="BH1057">
        <v>27</v>
      </c>
      <c r="BI1057">
        <v>25.85</v>
      </c>
      <c r="BJ1057">
        <v>132</v>
      </c>
      <c r="BK1057">
        <v>86.2</v>
      </c>
      <c r="BL1057">
        <v>132</v>
      </c>
      <c r="BM1057">
        <v>4.4645000000000001</v>
      </c>
    </row>
    <row r="1058" spans="1:65" x14ac:dyDescent="0.25">
      <c r="A1058" t="s">
        <v>1121</v>
      </c>
      <c r="B1058" t="s">
        <v>1873</v>
      </c>
      <c r="C1058" t="s">
        <v>2157</v>
      </c>
      <c r="D1058" s="1">
        <v>45292</v>
      </c>
      <c r="E1058" s="1">
        <v>45333</v>
      </c>
      <c r="F1058" s="1">
        <v>45388</v>
      </c>
      <c r="G1058" t="s">
        <v>2164</v>
      </c>
      <c r="I1058" t="s">
        <v>2174</v>
      </c>
      <c r="J1058">
        <v>12624</v>
      </c>
      <c r="K1058">
        <v>378</v>
      </c>
      <c r="L1058">
        <v>6.6</v>
      </c>
      <c r="M1058">
        <v>6.4</v>
      </c>
      <c r="N1058">
        <v>3</v>
      </c>
      <c r="O1058">
        <v>6229</v>
      </c>
      <c r="P1058" t="s">
        <v>2176</v>
      </c>
      <c r="Q1058">
        <v>7</v>
      </c>
      <c r="R1058">
        <v>10</v>
      </c>
      <c r="S1058">
        <v>12</v>
      </c>
      <c r="T1058">
        <v>435</v>
      </c>
      <c r="U1058" t="s">
        <v>2164</v>
      </c>
      <c r="W1058" t="s">
        <v>2208</v>
      </c>
      <c r="X1058" t="s">
        <v>2210</v>
      </c>
      <c r="Y1058" t="s">
        <v>2212</v>
      </c>
      <c r="Z1058" s="1">
        <v>45362</v>
      </c>
      <c r="AA1058" s="1">
        <v>45379</v>
      </c>
      <c r="AB1058" t="s">
        <v>2214</v>
      </c>
      <c r="AC1058" t="s">
        <v>2209</v>
      </c>
      <c r="AD1058" t="s">
        <v>2216</v>
      </c>
      <c r="AE1058" t="s">
        <v>2164</v>
      </c>
      <c r="AG1058" t="s">
        <v>2220</v>
      </c>
      <c r="AH1058">
        <v>29</v>
      </c>
      <c r="AI1058">
        <v>46</v>
      </c>
      <c r="AJ1058">
        <v>17</v>
      </c>
      <c r="AK1058">
        <v>2</v>
      </c>
      <c r="AL1058" t="s">
        <v>2228</v>
      </c>
      <c r="AM1058">
        <v>0</v>
      </c>
      <c r="AN1058" t="s">
        <v>2177</v>
      </c>
      <c r="AO1058" t="s">
        <v>2176</v>
      </c>
      <c r="AP1058" t="s">
        <v>2176</v>
      </c>
      <c r="AQ1058">
        <v>42.24</v>
      </c>
      <c r="AR1058">
        <v>1</v>
      </c>
      <c r="AS1058">
        <v>2</v>
      </c>
      <c r="AT1058">
        <v>1</v>
      </c>
      <c r="AU1058">
        <v>1</v>
      </c>
      <c r="AV1058">
        <v>1.333333333333333</v>
      </c>
      <c r="AW1058">
        <v>4.5</v>
      </c>
      <c r="AY1058">
        <v>4.5</v>
      </c>
      <c r="AZ1058">
        <v>3</v>
      </c>
      <c r="BA1058">
        <v>0</v>
      </c>
      <c r="BB1058">
        <v>27</v>
      </c>
      <c r="BC1058">
        <v>24</v>
      </c>
      <c r="BD1058">
        <v>24.04</v>
      </c>
      <c r="BE1058">
        <v>106</v>
      </c>
      <c r="BF1058">
        <v>89</v>
      </c>
      <c r="BG1058">
        <v>27</v>
      </c>
      <c r="BH1058">
        <v>24</v>
      </c>
      <c r="BI1058">
        <v>24.04</v>
      </c>
      <c r="BJ1058">
        <v>106</v>
      </c>
      <c r="BK1058">
        <v>89</v>
      </c>
      <c r="BL1058">
        <v>106</v>
      </c>
      <c r="BM1058">
        <v>4.9603000000000002</v>
      </c>
    </row>
    <row r="1059" spans="1:65" x14ac:dyDescent="0.25">
      <c r="A1059" t="s">
        <v>1122</v>
      </c>
      <c r="B1059" t="s">
        <v>2097</v>
      </c>
      <c r="C1059" t="s">
        <v>2157</v>
      </c>
      <c r="D1059" s="1">
        <v>45254</v>
      </c>
      <c r="E1059" s="1">
        <v>45310</v>
      </c>
      <c r="F1059" s="1">
        <v>45399</v>
      </c>
      <c r="G1059" t="s">
        <v>2164</v>
      </c>
      <c r="I1059" t="s">
        <v>2176</v>
      </c>
      <c r="J1059">
        <v>17531</v>
      </c>
      <c r="K1059">
        <v>525</v>
      </c>
      <c r="L1059">
        <v>4.0999999999999996</v>
      </c>
      <c r="M1059">
        <v>4.4000000000000004</v>
      </c>
      <c r="N1059">
        <v>2</v>
      </c>
      <c r="O1059">
        <v>3978</v>
      </c>
      <c r="P1059" t="s">
        <v>2176</v>
      </c>
      <c r="Q1059">
        <v>15</v>
      </c>
      <c r="R1059">
        <v>20</v>
      </c>
      <c r="S1059">
        <v>18</v>
      </c>
      <c r="T1059">
        <v>330</v>
      </c>
      <c r="U1059" t="s">
        <v>2164</v>
      </c>
      <c r="W1059" t="s">
        <v>2208</v>
      </c>
      <c r="X1059" t="s">
        <v>2210</v>
      </c>
      <c r="Y1059" t="s">
        <v>2212</v>
      </c>
      <c r="Z1059" s="1">
        <v>45363</v>
      </c>
      <c r="AA1059" s="1">
        <v>45382</v>
      </c>
      <c r="AB1059" t="s">
        <v>2214</v>
      </c>
      <c r="AC1059" t="s">
        <v>2209</v>
      </c>
      <c r="AD1059" t="s">
        <v>2216</v>
      </c>
      <c r="AE1059" t="s">
        <v>2164</v>
      </c>
      <c r="AG1059" t="s">
        <v>2220</v>
      </c>
      <c r="AH1059">
        <v>53</v>
      </c>
      <c r="AI1059">
        <v>72</v>
      </c>
      <c r="AJ1059">
        <v>19</v>
      </c>
      <c r="AK1059">
        <v>1</v>
      </c>
      <c r="AL1059" t="s">
        <v>2233</v>
      </c>
      <c r="AM1059">
        <v>0</v>
      </c>
      <c r="AN1059" t="s">
        <v>2176</v>
      </c>
      <c r="AO1059" t="s">
        <v>2176</v>
      </c>
      <c r="AP1059" t="s">
        <v>2176</v>
      </c>
      <c r="AQ1059">
        <v>18.04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4.5</v>
      </c>
      <c r="AY1059">
        <v>4.5</v>
      </c>
      <c r="AZ1059">
        <v>3</v>
      </c>
      <c r="BA1059">
        <v>1</v>
      </c>
      <c r="BB1059">
        <v>30</v>
      </c>
      <c r="BC1059">
        <v>27</v>
      </c>
      <c r="BD1059">
        <v>25.85</v>
      </c>
      <c r="BE1059">
        <v>132</v>
      </c>
      <c r="BF1059">
        <v>86.2</v>
      </c>
      <c r="BG1059">
        <v>30</v>
      </c>
      <c r="BH1059">
        <v>27</v>
      </c>
      <c r="BI1059">
        <v>25.85</v>
      </c>
      <c r="BJ1059">
        <v>132</v>
      </c>
      <c r="BK1059">
        <v>86.2</v>
      </c>
      <c r="BL1059">
        <v>132</v>
      </c>
      <c r="BM1059">
        <v>4.9175000000000004</v>
      </c>
    </row>
    <row r="1060" spans="1:65" x14ac:dyDescent="0.25">
      <c r="A1060" t="s">
        <v>1123</v>
      </c>
      <c r="B1060" t="s">
        <v>2098</v>
      </c>
      <c r="C1060" t="s">
        <v>2157</v>
      </c>
      <c r="D1060" s="1">
        <v>45487</v>
      </c>
      <c r="E1060" s="1">
        <v>45539</v>
      </c>
      <c r="F1060" s="1">
        <v>45626</v>
      </c>
      <c r="G1060" t="s">
        <v>2162</v>
      </c>
      <c r="I1060" t="s">
        <v>2176</v>
      </c>
      <c r="J1060">
        <v>13047</v>
      </c>
      <c r="K1060">
        <v>391</v>
      </c>
      <c r="L1060">
        <v>6.1</v>
      </c>
      <c r="M1060">
        <v>5.2</v>
      </c>
      <c r="N1060">
        <v>3</v>
      </c>
      <c r="O1060">
        <v>4891</v>
      </c>
      <c r="P1060" t="s">
        <v>2176</v>
      </c>
      <c r="Q1060">
        <v>7</v>
      </c>
      <c r="R1060">
        <v>7</v>
      </c>
      <c r="S1060">
        <v>19</v>
      </c>
      <c r="T1060">
        <v>395</v>
      </c>
      <c r="U1060" t="s">
        <v>2162</v>
      </c>
      <c r="W1060" t="s">
        <v>2208</v>
      </c>
      <c r="X1060" t="s">
        <v>2210</v>
      </c>
      <c r="Y1060" t="s">
        <v>2212</v>
      </c>
      <c r="Z1060" s="1">
        <v>45572</v>
      </c>
      <c r="AA1060" s="1">
        <v>45587</v>
      </c>
      <c r="AB1060" t="s">
        <v>2214</v>
      </c>
      <c r="AC1060" t="s">
        <v>2209</v>
      </c>
      <c r="AD1060" t="s">
        <v>2216</v>
      </c>
      <c r="AE1060" t="s">
        <v>2162</v>
      </c>
      <c r="AG1060" t="s">
        <v>2220</v>
      </c>
      <c r="AH1060">
        <v>33</v>
      </c>
      <c r="AI1060">
        <v>48</v>
      </c>
      <c r="AJ1060">
        <v>15</v>
      </c>
      <c r="AK1060">
        <v>9</v>
      </c>
      <c r="AL1060" t="s">
        <v>2234</v>
      </c>
      <c r="AM1060">
        <v>0</v>
      </c>
      <c r="AN1060" t="s">
        <v>2177</v>
      </c>
      <c r="AO1060" t="s">
        <v>2176</v>
      </c>
      <c r="AP1060" t="s">
        <v>2176</v>
      </c>
      <c r="AQ1060">
        <v>31.72</v>
      </c>
      <c r="AR1060">
        <v>1</v>
      </c>
      <c r="AS1060">
        <v>2</v>
      </c>
      <c r="AT1060">
        <v>1</v>
      </c>
      <c r="AU1060">
        <v>1</v>
      </c>
      <c r="AV1060">
        <v>1.333333333333333</v>
      </c>
      <c r="AW1060">
        <v>4.2</v>
      </c>
      <c r="AY1060">
        <v>4.2</v>
      </c>
      <c r="AZ1060">
        <v>3</v>
      </c>
      <c r="BA1060">
        <v>1</v>
      </c>
      <c r="BB1060">
        <v>30</v>
      </c>
      <c r="BC1060">
        <v>26</v>
      </c>
      <c r="BD1060">
        <v>26.54</v>
      </c>
      <c r="BE1060">
        <v>129</v>
      </c>
      <c r="BF1060">
        <v>88.5</v>
      </c>
      <c r="BG1060">
        <v>30</v>
      </c>
      <c r="BH1060">
        <v>26</v>
      </c>
      <c r="BI1060">
        <v>26.54</v>
      </c>
      <c r="BJ1060">
        <v>129</v>
      </c>
      <c r="BK1060">
        <v>88.5</v>
      </c>
      <c r="BL1060">
        <v>129</v>
      </c>
      <c r="BM1060">
        <v>3.8887999999999998</v>
      </c>
    </row>
    <row r="1061" spans="1:65" x14ac:dyDescent="0.25">
      <c r="A1061" t="s">
        <v>1124</v>
      </c>
      <c r="B1061" t="s">
        <v>2099</v>
      </c>
      <c r="C1061" t="s">
        <v>2158</v>
      </c>
      <c r="D1061" s="1">
        <v>45375</v>
      </c>
      <c r="E1061" s="1">
        <v>45397</v>
      </c>
      <c r="F1061" s="1">
        <v>45465</v>
      </c>
      <c r="G1061" t="s">
        <v>2164</v>
      </c>
      <c r="I1061" t="s">
        <v>2176</v>
      </c>
      <c r="J1061">
        <v>7102</v>
      </c>
      <c r="K1061">
        <v>213</v>
      </c>
      <c r="L1061">
        <v>1.8</v>
      </c>
      <c r="M1061">
        <v>5.8</v>
      </c>
      <c r="N1061">
        <v>3</v>
      </c>
      <c r="O1061">
        <v>5330</v>
      </c>
      <c r="P1061" t="s">
        <v>2176</v>
      </c>
      <c r="Q1061">
        <v>5</v>
      </c>
      <c r="R1061">
        <v>6</v>
      </c>
      <c r="S1061">
        <v>9</v>
      </c>
      <c r="T1061">
        <v>355</v>
      </c>
      <c r="U1061" t="s">
        <v>2164</v>
      </c>
      <c r="W1061" t="s">
        <v>2208</v>
      </c>
      <c r="X1061" t="s">
        <v>2210</v>
      </c>
      <c r="Y1061" t="s">
        <v>2212</v>
      </c>
      <c r="Z1061" s="1">
        <v>45417</v>
      </c>
      <c r="AA1061" s="1">
        <v>45435</v>
      </c>
      <c r="AB1061" t="s">
        <v>2214</v>
      </c>
      <c r="AC1061" t="s">
        <v>2209</v>
      </c>
      <c r="AD1061" t="s">
        <v>2216</v>
      </c>
      <c r="AE1061" t="s">
        <v>2164</v>
      </c>
      <c r="AG1061" t="s">
        <v>2220</v>
      </c>
      <c r="AH1061">
        <v>20</v>
      </c>
      <c r="AI1061">
        <v>38</v>
      </c>
      <c r="AJ1061">
        <v>18</v>
      </c>
      <c r="AK1061">
        <v>4</v>
      </c>
      <c r="AL1061" t="s">
        <v>2225</v>
      </c>
      <c r="AM1061">
        <v>0</v>
      </c>
      <c r="AN1061" t="s">
        <v>2176</v>
      </c>
      <c r="AO1061" t="s">
        <v>2176</v>
      </c>
      <c r="AP1061" t="s">
        <v>2176</v>
      </c>
      <c r="AQ1061">
        <v>10.44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4.5</v>
      </c>
      <c r="AY1061">
        <v>4.5</v>
      </c>
      <c r="AZ1061">
        <v>2</v>
      </c>
      <c r="BA1061">
        <v>1</v>
      </c>
      <c r="BB1061">
        <v>30</v>
      </c>
      <c r="BC1061">
        <v>26</v>
      </c>
      <c r="BD1061">
        <v>26.42</v>
      </c>
      <c r="BE1061">
        <v>126</v>
      </c>
      <c r="BF1061">
        <v>88.1</v>
      </c>
      <c r="BG1061">
        <v>30</v>
      </c>
      <c r="BH1061">
        <v>26</v>
      </c>
      <c r="BI1061">
        <v>26.42</v>
      </c>
      <c r="BJ1061">
        <v>126</v>
      </c>
      <c r="BK1061">
        <v>88.1</v>
      </c>
      <c r="BL1061">
        <v>126</v>
      </c>
      <c r="BM1061">
        <v>2.1671999999999998</v>
      </c>
    </row>
    <row r="1062" spans="1:65" x14ac:dyDescent="0.25">
      <c r="A1062" t="s">
        <v>1125</v>
      </c>
      <c r="B1062" t="s">
        <v>1412</v>
      </c>
      <c r="C1062" t="s">
        <v>2158</v>
      </c>
      <c r="D1062" s="1">
        <v>45248</v>
      </c>
      <c r="E1062" s="1">
        <v>45298</v>
      </c>
      <c r="F1062" s="1">
        <v>45355</v>
      </c>
      <c r="G1062" t="s">
        <v>2164</v>
      </c>
      <c r="I1062" t="s">
        <v>2174</v>
      </c>
      <c r="J1062">
        <v>5646</v>
      </c>
      <c r="K1062">
        <v>169</v>
      </c>
      <c r="L1062">
        <v>1.7</v>
      </c>
      <c r="M1062">
        <v>1.7</v>
      </c>
      <c r="N1062">
        <v>2</v>
      </c>
      <c r="O1062">
        <v>2504</v>
      </c>
      <c r="P1062" t="s">
        <v>2176</v>
      </c>
      <c r="Q1062">
        <v>3</v>
      </c>
      <c r="R1062">
        <v>3</v>
      </c>
      <c r="S1062">
        <v>6</v>
      </c>
      <c r="T1062">
        <v>470</v>
      </c>
      <c r="U1062" t="s">
        <v>2164</v>
      </c>
      <c r="W1062" t="s">
        <v>2208</v>
      </c>
      <c r="X1062" t="s">
        <v>2210</v>
      </c>
      <c r="Y1062" t="s">
        <v>2212</v>
      </c>
      <c r="Z1062" s="1">
        <v>45310</v>
      </c>
      <c r="AA1062" s="1">
        <v>45329</v>
      </c>
      <c r="AB1062" t="s">
        <v>2214</v>
      </c>
      <c r="AC1062" t="s">
        <v>2209</v>
      </c>
      <c r="AD1062" t="s">
        <v>2216</v>
      </c>
      <c r="AE1062" t="s">
        <v>2164</v>
      </c>
      <c r="AG1062" t="s">
        <v>2220</v>
      </c>
      <c r="AH1062">
        <v>12</v>
      </c>
      <c r="AI1062">
        <v>31</v>
      </c>
      <c r="AJ1062">
        <v>19</v>
      </c>
      <c r="AK1062">
        <v>1</v>
      </c>
      <c r="AL1062" t="s">
        <v>2233</v>
      </c>
      <c r="AM1062">
        <v>0</v>
      </c>
      <c r="AN1062" t="s">
        <v>2176</v>
      </c>
      <c r="AO1062" t="s">
        <v>2176</v>
      </c>
      <c r="AP1062" t="s">
        <v>2176</v>
      </c>
      <c r="AQ1062">
        <v>2.89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4.5</v>
      </c>
      <c r="AY1062">
        <v>4.5</v>
      </c>
      <c r="AZ1062">
        <v>2</v>
      </c>
      <c r="BA1062">
        <v>0</v>
      </c>
      <c r="BB1062">
        <v>30</v>
      </c>
      <c r="BC1062">
        <v>27</v>
      </c>
      <c r="BD1062">
        <v>25.85</v>
      </c>
      <c r="BE1062">
        <v>132</v>
      </c>
      <c r="BF1062">
        <v>86.2</v>
      </c>
      <c r="BG1062">
        <v>30</v>
      </c>
      <c r="BH1062">
        <v>27</v>
      </c>
      <c r="BI1062">
        <v>25.85</v>
      </c>
      <c r="BJ1062">
        <v>132</v>
      </c>
      <c r="BK1062">
        <v>86.2</v>
      </c>
      <c r="BL1062">
        <v>132</v>
      </c>
      <c r="BM1062">
        <v>1.5837000000000001</v>
      </c>
    </row>
    <row r="1063" spans="1:65" x14ac:dyDescent="0.25">
      <c r="A1063" t="s">
        <v>1126</v>
      </c>
      <c r="B1063" t="s">
        <v>2100</v>
      </c>
      <c r="C1063" t="s">
        <v>2157</v>
      </c>
      <c r="D1063" s="1">
        <v>45535</v>
      </c>
      <c r="E1063" s="1">
        <v>45577</v>
      </c>
      <c r="F1063" s="1">
        <v>45649</v>
      </c>
      <c r="G1063" t="s">
        <v>2162</v>
      </c>
      <c r="I1063" t="s">
        <v>2174</v>
      </c>
      <c r="J1063">
        <v>14107</v>
      </c>
      <c r="K1063">
        <v>423</v>
      </c>
      <c r="L1063">
        <v>1.6</v>
      </c>
      <c r="M1063">
        <v>4.8</v>
      </c>
      <c r="N1063">
        <v>1</v>
      </c>
      <c r="O1063">
        <v>1467</v>
      </c>
      <c r="P1063" t="s">
        <v>2176</v>
      </c>
      <c r="Q1063">
        <v>13</v>
      </c>
      <c r="R1063">
        <v>15</v>
      </c>
      <c r="S1063">
        <v>24</v>
      </c>
      <c r="T1063">
        <v>271</v>
      </c>
      <c r="U1063" t="s">
        <v>2162</v>
      </c>
      <c r="W1063" t="s">
        <v>2208</v>
      </c>
      <c r="X1063" t="s">
        <v>2210</v>
      </c>
      <c r="Y1063" t="s">
        <v>2212</v>
      </c>
      <c r="Z1063" s="1">
        <v>45629</v>
      </c>
      <c r="AA1063" s="1">
        <v>45647</v>
      </c>
      <c r="AB1063" t="s">
        <v>2214</v>
      </c>
      <c r="AC1063" t="s">
        <v>2209</v>
      </c>
      <c r="AD1063" t="s">
        <v>2216</v>
      </c>
      <c r="AE1063" t="s">
        <v>2162</v>
      </c>
      <c r="AG1063" t="s">
        <v>2220</v>
      </c>
      <c r="AH1063">
        <v>52</v>
      </c>
      <c r="AI1063">
        <v>70</v>
      </c>
      <c r="AJ1063">
        <v>18</v>
      </c>
      <c r="AK1063">
        <v>10</v>
      </c>
      <c r="AL1063" t="s">
        <v>2230</v>
      </c>
      <c r="AM1063">
        <v>1</v>
      </c>
      <c r="AN1063" t="s">
        <v>2176</v>
      </c>
      <c r="AO1063" t="s">
        <v>2176</v>
      </c>
      <c r="AP1063" t="s">
        <v>2176</v>
      </c>
      <c r="AQ1063">
        <v>7.68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4.2</v>
      </c>
      <c r="AY1063">
        <v>4.2</v>
      </c>
      <c r="AZ1063">
        <v>3</v>
      </c>
      <c r="BA1063">
        <v>0</v>
      </c>
      <c r="BB1063">
        <v>25</v>
      </c>
      <c r="BC1063">
        <v>27</v>
      </c>
      <c r="BD1063">
        <v>21.89</v>
      </c>
      <c r="BE1063">
        <v>108</v>
      </c>
      <c r="BF1063">
        <v>87.6</v>
      </c>
      <c r="BG1063">
        <v>25</v>
      </c>
      <c r="BH1063">
        <v>27</v>
      </c>
      <c r="BI1063">
        <v>21.89</v>
      </c>
      <c r="BJ1063">
        <v>108</v>
      </c>
      <c r="BK1063">
        <v>87.6</v>
      </c>
      <c r="BL1063">
        <v>108</v>
      </c>
      <c r="BM1063">
        <v>4.8361000000000001</v>
      </c>
    </row>
    <row r="1064" spans="1:65" x14ac:dyDescent="0.25">
      <c r="A1064" t="s">
        <v>1127</v>
      </c>
      <c r="B1064" t="s">
        <v>2101</v>
      </c>
      <c r="C1064" t="s">
        <v>2159</v>
      </c>
      <c r="D1064" s="1">
        <v>45317</v>
      </c>
      <c r="E1064" s="1">
        <v>45353</v>
      </c>
      <c r="F1064" s="1">
        <v>45420</v>
      </c>
      <c r="G1064" t="s">
        <v>2162</v>
      </c>
      <c r="I1064" t="s">
        <v>2174</v>
      </c>
      <c r="J1064">
        <v>13055</v>
      </c>
      <c r="K1064">
        <v>391</v>
      </c>
      <c r="L1064">
        <v>4.5</v>
      </c>
      <c r="M1064">
        <v>3.2</v>
      </c>
      <c r="N1064">
        <v>3</v>
      </c>
      <c r="O1064">
        <v>3287</v>
      </c>
      <c r="P1064" t="s">
        <v>2176</v>
      </c>
      <c r="Q1064">
        <v>7</v>
      </c>
      <c r="R1064">
        <v>8</v>
      </c>
      <c r="S1064">
        <v>20</v>
      </c>
      <c r="T1064">
        <v>373</v>
      </c>
      <c r="U1064" t="s">
        <v>2162</v>
      </c>
      <c r="W1064" t="s">
        <v>2208</v>
      </c>
      <c r="X1064" t="s">
        <v>2210</v>
      </c>
      <c r="Y1064" t="s">
        <v>2212</v>
      </c>
      <c r="Z1064" s="1">
        <v>45388</v>
      </c>
      <c r="AA1064" s="1">
        <v>45402</v>
      </c>
      <c r="AB1064" t="s">
        <v>2214</v>
      </c>
      <c r="AC1064" t="s">
        <v>2209</v>
      </c>
      <c r="AD1064" t="s">
        <v>2216</v>
      </c>
      <c r="AE1064" t="s">
        <v>2162</v>
      </c>
      <c r="AG1064" t="s">
        <v>2220</v>
      </c>
      <c r="AH1064">
        <v>35</v>
      </c>
      <c r="AI1064">
        <v>49</v>
      </c>
      <c r="AJ1064">
        <v>14</v>
      </c>
      <c r="AK1064">
        <v>3</v>
      </c>
      <c r="AL1064" t="s">
        <v>2227</v>
      </c>
      <c r="AM1064">
        <v>0</v>
      </c>
      <c r="AN1064" t="s">
        <v>2176</v>
      </c>
      <c r="AO1064" t="s">
        <v>2176</v>
      </c>
      <c r="AP1064" t="s">
        <v>2176</v>
      </c>
      <c r="AQ1064">
        <v>14.4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4.2</v>
      </c>
      <c r="AY1064">
        <v>4.2</v>
      </c>
      <c r="AZ1064">
        <v>0</v>
      </c>
      <c r="BA1064">
        <v>0</v>
      </c>
      <c r="BB1064">
        <v>31</v>
      </c>
      <c r="BC1064">
        <v>26</v>
      </c>
      <c r="BD1064">
        <v>27.27</v>
      </c>
      <c r="BE1064">
        <v>130</v>
      </c>
      <c r="BF1064">
        <v>88</v>
      </c>
      <c r="BG1064">
        <v>31</v>
      </c>
      <c r="BH1064">
        <v>26</v>
      </c>
      <c r="BI1064">
        <v>27.27</v>
      </c>
      <c r="BJ1064">
        <v>130</v>
      </c>
      <c r="BK1064">
        <v>88</v>
      </c>
      <c r="BL1064">
        <v>130</v>
      </c>
      <c r="BM1064">
        <v>3.8613</v>
      </c>
    </row>
    <row r="1065" spans="1:65" x14ac:dyDescent="0.25">
      <c r="A1065" t="s">
        <v>1128</v>
      </c>
      <c r="B1065" t="s">
        <v>2102</v>
      </c>
      <c r="C1065" t="s">
        <v>2159</v>
      </c>
      <c r="D1065" s="1">
        <v>45464</v>
      </c>
      <c r="E1065" s="1">
        <v>45521</v>
      </c>
      <c r="F1065" s="1">
        <v>45621</v>
      </c>
      <c r="G1065" t="s">
        <v>2162</v>
      </c>
      <c r="I1065" t="s">
        <v>2176</v>
      </c>
      <c r="J1065">
        <v>19059</v>
      </c>
      <c r="K1065">
        <v>571</v>
      </c>
      <c r="L1065">
        <v>2.7</v>
      </c>
      <c r="M1065">
        <v>6.7</v>
      </c>
      <c r="N1065">
        <v>2</v>
      </c>
      <c r="O1065">
        <v>5462</v>
      </c>
      <c r="P1065" t="s">
        <v>2176</v>
      </c>
      <c r="Q1065">
        <v>16</v>
      </c>
      <c r="R1065">
        <v>23</v>
      </c>
      <c r="S1065">
        <v>23</v>
      </c>
      <c r="T1065">
        <v>307</v>
      </c>
      <c r="U1065" t="s">
        <v>2162</v>
      </c>
      <c r="W1065" t="s">
        <v>2208</v>
      </c>
      <c r="X1065" t="s">
        <v>2210</v>
      </c>
      <c r="Y1065" t="s">
        <v>2212</v>
      </c>
      <c r="Z1065" s="1">
        <v>45583</v>
      </c>
      <c r="AA1065" s="1">
        <v>45601</v>
      </c>
      <c r="AB1065" t="s">
        <v>2214</v>
      </c>
      <c r="AC1065" t="s">
        <v>2209</v>
      </c>
      <c r="AD1065" t="s">
        <v>2216</v>
      </c>
      <c r="AE1065" t="s">
        <v>2162</v>
      </c>
      <c r="AG1065" t="s">
        <v>2220</v>
      </c>
      <c r="AH1065">
        <v>62</v>
      </c>
      <c r="AI1065">
        <v>80</v>
      </c>
      <c r="AJ1065">
        <v>18</v>
      </c>
      <c r="AK1065">
        <v>8</v>
      </c>
      <c r="AL1065" t="s">
        <v>2232</v>
      </c>
      <c r="AM1065">
        <v>0</v>
      </c>
      <c r="AN1065" t="s">
        <v>2176</v>
      </c>
      <c r="AO1065" t="s">
        <v>2176</v>
      </c>
      <c r="AP1065" t="s">
        <v>2176</v>
      </c>
      <c r="AQ1065">
        <v>18.09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4.2</v>
      </c>
      <c r="AY1065">
        <v>4.2</v>
      </c>
      <c r="AZ1065">
        <v>0</v>
      </c>
      <c r="BA1065">
        <v>1</v>
      </c>
      <c r="BB1065">
        <v>29</v>
      </c>
      <c r="BC1065">
        <v>26</v>
      </c>
      <c r="BD1065">
        <v>25.54</v>
      </c>
      <c r="BE1065">
        <v>124</v>
      </c>
      <c r="BF1065">
        <v>88.1</v>
      </c>
      <c r="BG1065">
        <v>29</v>
      </c>
      <c r="BH1065">
        <v>26</v>
      </c>
      <c r="BI1065">
        <v>25.54</v>
      </c>
      <c r="BJ1065">
        <v>124</v>
      </c>
      <c r="BK1065">
        <v>88.1</v>
      </c>
      <c r="BL1065">
        <v>124</v>
      </c>
      <c r="BM1065">
        <v>5.9097999999999997</v>
      </c>
    </row>
    <row r="1066" spans="1:65" x14ac:dyDescent="0.25">
      <c r="A1066" t="s">
        <v>1129</v>
      </c>
      <c r="B1066" t="s">
        <v>2103</v>
      </c>
      <c r="C1066" t="s">
        <v>2158</v>
      </c>
      <c r="D1066" s="1">
        <v>45402</v>
      </c>
      <c r="E1066" s="1">
        <v>45450</v>
      </c>
      <c r="F1066" s="1">
        <v>45519</v>
      </c>
      <c r="G1066" t="s">
        <v>2162</v>
      </c>
      <c r="I1066" t="s">
        <v>2176</v>
      </c>
      <c r="J1066">
        <v>15689</v>
      </c>
      <c r="K1066">
        <v>470</v>
      </c>
      <c r="L1066">
        <v>4.5</v>
      </c>
      <c r="M1066">
        <v>2.6</v>
      </c>
      <c r="N1066">
        <v>1</v>
      </c>
      <c r="O1066">
        <v>2835</v>
      </c>
      <c r="P1066" t="s">
        <v>2176</v>
      </c>
      <c r="Q1066">
        <v>10</v>
      </c>
      <c r="R1066">
        <v>11</v>
      </c>
      <c r="S1066">
        <v>22</v>
      </c>
      <c r="T1066">
        <v>364</v>
      </c>
      <c r="U1066" t="s">
        <v>2162</v>
      </c>
      <c r="W1066" t="s">
        <v>2208</v>
      </c>
      <c r="X1066" t="s">
        <v>2210</v>
      </c>
      <c r="Y1066" t="s">
        <v>2212</v>
      </c>
      <c r="Z1066" s="1">
        <v>45493</v>
      </c>
      <c r="AA1066" s="1">
        <v>45510</v>
      </c>
      <c r="AB1066" t="s">
        <v>2214</v>
      </c>
      <c r="AC1066" t="s">
        <v>2209</v>
      </c>
      <c r="AD1066" t="s">
        <v>2216</v>
      </c>
      <c r="AE1066" t="s">
        <v>2162</v>
      </c>
      <c r="AG1066" t="s">
        <v>2220</v>
      </c>
      <c r="AH1066">
        <v>43</v>
      </c>
      <c r="AI1066">
        <v>60</v>
      </c>
      <c r="AJ1066">
        <v>17</v>
      </c>
      <c r="AK1066">
        <v>6</v>
      </c>
      <c r="AL1066" t="s">
        <v>2223</v>
      </c>
      <c r="AM1066">
        <v>0</v>
      </c>
      <c r="AN1066" t="s">
        <v>2176</v>
      </c>
      <c r="AO1066" t="s">
        <v>2176</v>
      </c>
      <c r="AP1066" t="s">
        <v>2176</v>
      </c>
      <c r="AQ1066">
        <v>11.7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4.2</v>
      </c>
      <c r="AY1066">
        <v>4.2</v>
      </c>
      <c r="AZ1066">
        <v>2</v>
      </c>
      <c r="BA1066">
        <v>1</v>
      </c>
      <c r="BB1066">
        <v>29</v>
      </c>
      <c r="BC1066">
        <v>25</v>
      </c>
      <c r="BD1066">
        <v>25.56</v>
      </c>
      <c r="BE1066">
        <v>117</v>
      </c>
      <c r="BF1066">
        <v>88.1</v>
      </c>
      <c r="BG1066">
        <v>29</v>
      </c>
      <c r="BH1066">
        <v>25</v>
      </c>
      <c r="BI1066">
        <v>25.56</v>
      </c>
      <c r="BJ1066">
        <v>117</v>
      </c>
      <c r="BK1066">
        <v>88.1</v>
      </c>
      <c r="BL1066">
        <v>117</v>
      </c>
      <c r="BM1066">
        <v>5.3619000000000003</v>
      </c>
    </row>
    <row r="1067" spans="1:65" x14ac:dyDescent="0.25">
      <c r="A1067" t="s">
        <v>1130</v>
      </c>
      <c r="B1067" t="s">
        <v>2104</v>
      </c>
      <c r="C1067" t="s">
        <v>2160</v>
      </c>
      <c r="D1067" s="1">
        <v>45383</v>
      </c>
      <c r="E1067" s="1">
        <v>45415</v>
      </c>
      <c r="F1067" s="1">
        <v>45495</v>
      </c>
      <c r="G1067" t="s">
        <v>2162</v>
      </c>
      <c r="I1067" t="s">
        <v>2176</v>
      </c>
      <c r="J1067">
        <v>8612</v>
      </c>
      <c r="K1067">
        <v>258</v>
      </c>
      <c r="L1067">
        <v>1.1000000000000001</v>
      </c>
      <c r="M1067">
        <v>1.2</v>
      </c>
      <c r="N1067">
        <v>1</v>
      </c>
      <c r="O1067">
        <v>1560</v>
      </c>
      <c r="P1067" t="s">
        <v>2176</v>
      </c>
      <c r="Q1067">
        <v>7</v>
      </c>
      <c r="R1067">
        <v>10</v>
      </c>
      <c r="S1067">
        <v>14</v>
      </c>
      <c r="T1067">
        <v>277</v>
      </c>
      <c r="U1067" t="s">
        <v>2162</v>
      </c>
      <c r="W1067" t="s">
        <v>2208</v>
      </c>
      <c r="X1067" t="s">
        <v>2210</v>
      </c>
      <c r="Y1067" t="s">
        <v>2212</v>
      </c>
      <c r="Z1067" s="1">
        <v>45446</v>
      </c>
      <c r="AA1067" s="1">
        <v>45459</v>
      </c>
      <c r="AB1067" t="s">
        <v>2214</v>
      </c>
      <c r="AC1067" t="s">
        <v>2209</v>
      </c>
      <c r="AD1067" t="s">
        <v>2216</v>
      </c>
      <c r="AE1067" t="s">
        <v>2162</v>
      </c>
      <c r="AG1067" t="s">
        <v>2220</v>
      </c>
      <c r="AH1067">
        <v>31</v>
      </c>
      <c r="AI1067">
        <v>44</v>
      </c>
      <c r="AJ1067">
        <v>13</v>
      </c>
      <c r="AK1067">
        <v>5</v>
      </c>
      <c r="AL1067" t="s">
        <v>2224</v>
      </c>
      <c r="AM1067">
        <v>0</v>
      </c>
      <c r="AN1067" t="s">
        <v>2176</v>
      </c>
      <c r="AO1067" t="s">
        <v>2176</v>
      </c>
      <c r="AP1067" t="s">
        <v>2176</v>
      </c>
      <c r="AQ1067">
        <v>1.32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4.2</v>
      </c>
      <c r="AY1067">
        <v>4.2</v>
      </c>
      <c r="AZ1067">
        <v>1</v>
      </c>
      <c r="BA1067">
        <v>1</v>
      </c>
      <c r="BB1067">
        <v>24</v>
      </c>
      <c r="BC1067">
        <v>27</v>
      </c>
      <c r="BD1067">
        <v>21.44</v>
      </c>
      <c r="BE1067">
        <v>108</v>
      </c>
      <c r="BF1067">
        <v>89.3</v>
      </c>
      <c r="BG1067">
        <v>24</v>
      </c>
      <c r="BH1067">
        <v>27</v>
      </c>
      <c r="BI1067">
        <v>21.44</v>
      </c>
      <c r="BJ1067">
        <v>108</v>
      </c>
      <c r="BK1067">
        <v>89.3</v>
      </c>
      <c r="BL1067">
        <v>108</v>
      </c>
      <c r="BM1067">
        <v>2.9523000000000001</v>
      </c>
    </row>
    <row r="1068" spans="1:65" x14ac:dyDescent="0.25">
      <c r="A1068" t="s">
        <v>1131</v>
      </c>
      <c r="B1068" t="s">
        <v>2105</v>
      </c>
      <c r="C1068" t="s">
        <v>2158</v>
      </c>
      <c r="D1068" s="1">
        <v>45271</v>
      </c>
      <c r="E1068" s="1">
        <v>45298</v>
      </c>
      <c r="F1068" s="1">
        <v>45382</v>
      </c>
      <c r="G1068" t="s">
        <v>2162</v>
      </c>
      <c r="I1068" t="s">
        <v>2176</v>
      </c>
      <c r="J1068">
        <v>19462</v>
      </c>
      <c r="K1068">
        <v>583</v>
      </c>
      <c r="L1068">
        <v>2.9</v>
      </c>
      <c r="M1068">
        <v>3.9</v>
      </c>
      <c r="N1068">
        <v>3</v>
      </c>
      <c r="O1068">
        <v>4932</v>
      </c>
      <c r="P1068" t="s">
        <v>2176</v>
      </c>
      <c r="Q1068">
        <v>15</v>
      </c>
      <c r="R1068">
        <v>21</v>
      </c>
      <c r="S1068">
        <v>21</v>
      </c>
      <c r="T1068">
        <v>341</v>
      </c>
      <c r="U1068" t="s">
        <v>2162</v>
      </c>
      <c r="W1068" t="s">
        <v>2208</v>
      </c>
      <c r="X1068" t="s">
        <v>2210</v>
      </c>
      <c r="Y1068" t="s">
        <v>2212</v>
      </c>
      <c r="Z1068" s="1">
        <v>45355</v>
      </c>
      <c r="AA1068" s="1">
        <v>45370</v>
      </c>
      <c r="AB1068" t="s">
        <v>2214</v>
      </c>
      <c r="AC1068" t="s">
        <v>2209</v>
      </c>
      <c r="AD1068" t="s">
        <v>2216</v>
      </c>
      <c r="AE1068" t="s">
        <v>2162</v>
      </c>
      <c r="AG1068" t="s">
        <v>2220</v>
      </c>
      <c r="AH1068">
        <v>57</v>
      </c>
      <c r="AI1068">
        <v>72</v>
      </c>
      <c r="AJ1068">
        <v>15</v>
      </c>
      <c r="AK1068">
        <v>1</v>
      </c>
      <c r="AL1068" t="s">
        <v>2233</v>
      </c>
      <c r="AM1068">
        <v>0</v>
      </c>
      <c r="AN1068" t="s">
        <v>2176</v>
      </c>
      <c r="AO1068" t="s">
        <v>2176</v>
      </c>
      <c r="AP1068" t="s">
        <v>2176</v>
      </c>
      <c r="AQ1068">
        <v>11.31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4.2</v>
      </c>
      <c r="AY1068">
        <v>4.2</v>
      </c>
      <c r="AZ1068">
        <v>2</v>
      </c>
      <c r="BA1068">
        <v>1</v>
      </c>
      <c r="BB1068">
        <v>26</v>
      </c>
      <c r="BC1068">
        <v>27</v>
      </c>
      <c r="BD1068">
        <v>23.19</v>
      </c>
      <c r="BE1068">
        <v>113</v>
      </c>
      <c r="BF1068">
        <v>89.2</v>
      </c>
      <c r="BG1068">
        <v>26</v>
      </c>
      <c r="BH1068">
        <v>27</v>
      </c>
      <c r="BI1068">
        <v>23.19</v>
      </c>
      <c r="BJ1068">
        <v>113</v>
      </c>
      <c r="BK1068">
        <v>89.2</v>
      </c>
      <c r="BL1068">
        <v>113</v>
      </c>
      <c r="BM1068">
        <v>6.3768000000000002</v>
      </c>
    </row>
    <row r="1069" spans="1:65" x14ac:dyDescent="0.25">
      <c r="A1069" t="s">
        <v>1132</v>
      </c>
      <c r="B1069" t="s">
        <v>2106</v>
      </c>
      <c r="C1069" t="s">
        <v>2159</v>
      </c>
      <c r="D1069" s="1">
        <v>45391</v>
      </c>
      <c r="E1069" s="1">
        <v>45421</v>
      </c>
      <c r="F1069" s="1">
        <v>45477</v>
      </c>
      <c r="G1069" t="s">
        <v>2164</v>
      </c>
      <c r="I1069" t="s">
        <v>2174</v>
      </c>
      <c r="J1069">
        <v>13744</v>
      </c>
      <c r="K1069">
        <v>412</v>
      </c>
      <c r="L1069">
        <v>2.6</v>
      </c>
      <c r="M1069">
        <v>2.2999999999999998</v>
      </c>
      <c r="N1069">
        <v>3</v>
      </c>
      <c r="O1069">
        <v>5760</v>
      </c>
      <c r="P1069" t="s">
        <v>2176</v>
      </c>
      <c r="Q1069">
        <v>9</v>
      </c>
      <c r="R1069">
        <v>13</v>
      </c>
      <c r="S1069">
        <v>13</v>
      </c>
      <c r="T1069">
        <v>392</v>
      </c>
      <c r="U1069" t="s">
        <v>2164</v>
      </c>
      <c r="W1069" t="s">
        <v>2208</v>
      </c>
      <c r="X1069" t="s">
        <v>2210</v>
      </c>
      <c r="Y1069" t="s">
        <v>2212</v>
      </c>
      <c r="Z1069" s="1">
        <v>45456</v>
      </c>
      <c r="AA1069" s="1">
        <v>45474</v>
      </c>
      <c r="AB1069" t="s">
        <v>2214</v>
      </c>
      <c r="AC1069" t="s">
        <v>2209</v>
      </c>
      <c r="AD1069" t="s">
        <v>2216</v>
      </c>
      <c r="AE1069" t="s">
        <v>2164</v>
      </c>
      <c r="AG1069" t="s">
        <v>2220</v>
      </c>
      <c r="AH1069">
        <v>35</v>
      </c>
      <c r="AI1069">
        <v>53</v>
      </c>
      <c r="AJ1069">
        <v>18</v>
      </c>
      <c r="AK1069">
        <v>5</v>
      </c>
      <c r="AL1069" t="s">
        <v>2224</v>
      </c>
      <c r="AM1069">
        <v>0</v>
      </c>
      <c r="AN1069" t="s">
        <v>2176</v>
      </c>
      <c r="AO1069" t="s">
        <v>2176</v>
      </c>
      <c r="AP1069" t="s">
        <v>2176</v>
      </c>
      <c r="AQ1069">
        <v>5.98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4.5</v>
      </c>
      <c r="AY1069">
        <v>4.5</v>
      </c>
      <c r="AZ1069">
        <v>0</v>
      </c>
      <c r="BA1069">
        <v>0</v>
      </c>
      <c r="BB1069">
        <v>35</v>
      </c>
      <c r="BC1069">
        <v>27</v>
      </c>
      <c r="BD1069">
        <v>30.96</v>
      </c>
      <c r="BE1069">
        <v>158</v>
      </c>
      <c r="BF1069">
        <v>88.5</v>
      </c>
      <c r="BG1069">
        <v>35</v>
      </c>
      <c r="BH1069">
        <v>27</v>
      </c>
      <c r="BI1069">
        <v>30.96</v>
      </c>
      <c r="BJ1069">
        <v>158</v>
      </c>
      <c r="BK1069">
        <v>88.5</v>
      </c>
      <c r="BL1069">
        <v>158</v>
      </c>
      <c r="BM1069">
        <v>3.2210000000000001</v>
      </c>
    </row>
    <row r="1070" spans="1:65" x14ac:dyDescent="0.25">
      <c r="A1070" t="s">
        <v>1133</v>
      </c>
      <c r="B1070" t="s">
        <v>2107</v>
      </c>
      <c r="C1070" t="s">
        <v>2159</v>
      </c>
      <c r="D1070" s="1">
        <v>45512</v>
      </c>
      <c r="E1070" s="1">
        <v>45567</v>
      </c>
      <c r="F1070" s="1">
        <v>45642</v>
      </c>
      <c r="G1070" t="s">
        <v>2164</v>
      </c>
      <c r="I1070" t="s">
        <v>2176</v>
      </c>
      <c r="J1070">
        <v>18465</v>
      </c>
      <c r="K1070">
        <v>553</v>
      </c>
      <c r="L1070">
        <v>5.2</v>
      </c>
      <c r="M1070">
        <v>1.2</v>
      </c>
      <c r="N1070">
        <v>2</v>
      </c>
      <c r="O1070">
        <v>5867</v>
      </c>
      <c r="P1070" t="s">
        <v>2176</v>
      </c>
      <c r="Q1070">
        <v>14</v>
      </c>
      <c r="R1070">
        <v>17</v>
      </c>
      <c r="S1070">
        <v>23</v>
      </c>
      <c r="T1070">
        <v>341</v>
      </c>
      <c r="U1070" t="s">
        <v>2164</v>
      </c>
      <c r="W1070" t="s">
        <v>2208</v>
      </c>
      <c r="X1070" t="s">
        <v>2210</v>
      </c>
      <c r="Y1070" t="s">
        <v>2212</v>
      </c>
      <c r="Z1070" s="1">
        <v>45621</v>
      </c>
      <c r="AA1070" s="1">
        <v>45634</v>
      </c>
      <c r="AB1070" t="s">
        <v>2214</v>
      </c>
      <c r="AC1070" t="s">
        <v>2209</v>
      </c>
      <c r="AD1070" t="s">
        <v>2216</v>
      </c>
      <c r="AE1070" t="s">
        <v>2164</v>
      </c>
      <c r="AG1070" t="s">
        <v>2220</v>
      </c>
      <c r="AH1070">
        <v>54</v>
      </c>
      <c r="AI1070">
        <v>67</v>
      </c>
      <c r="AJ1070">
        <v>13</v>
      </c>
      <c r="AK1070">
        <v>10</v>
      </c>
      <c r="AL1070" t="s">
        <v>2230</v>
      </c>
      <c r="AM1070">
        <v>1</v>
      </c>
      <c r="AN1070" t="s">
        <v>2176</v>
      </c>
      <c r="AO1070" t="s">
        <v>2176</v>
      </c>
      <c r="AP1070" t="s">
        <v>2176</v>
      </c>
      <c r="AQ1070">
        <v>6.24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4.5</v>
      </c>
      <c r="AY1070">
        <v>4.5</v>
      </c>
      <c r="AZ1070">
        <v>0</v>
      </c>
      <c r="BA1070">
        <v>1</v>
      </c>
      <c r="BB1070">
        <v>27</v>
      </c>
      <c r="BC1070">
        <v>27</v>
      </c>
      <c r="BD1070">
        <v>23.56</v>
      </c>
      <c r="BE1070">
        <v>116</v>
      </c>
      <c r="BF1070">
        <v>87.3</v>
      </c>
      <c r="BG1070">
        <v>27</v>
      </c>
      <c r="BH1070">
        <v>27</v>
      </c>
      <c r="BI1070">
        <v>23.56</v>
      </c>
      <c r="BJ1070">
        <v>116</v>
      </c>
      <c r="BK1070">
        <v>87.3</v>
      </c>
      <c r="BL1070">
        <v>116</v>
      </c>
      <c r="BM1070">
        <v>5.8936999999999999</v>
      </c>
    </row>
    <row r="1071" spans="1:65" x14ac:dyDescent="0.25">
      <c r="A1071" t="s">
        <v>1134</v>
      </c>
      <c r="B1071" t="s">
        <v>2108</v>
      </c>
      <c r="C1071" t="s">
        <v>2158</v>
      </c>
      <c r="D1071" s="1">
        <v>45524</v>
      </c>
      <c r="E1071" s="1">
        <v>45577</v>
      </c>
      <c r="F1071" s="1">
        <v>45657</v>
      </c>
      <c r="G1071" t="s">
        <v>2162</v>
      </c>
      <c r="I1071" t="s">
        <v>2176</v>
      </c>
      <c r="J1071">
        <v>18301</v>
      </c>
      <c r="K1071">
        <v>549</v>
      </c>
      <c r="L1071">
        <v>5.3</v>
      </c>
      <c r="M1071">
        <v>2.2000000000000002</v>
      </c>
      <c r="N1071">
        <v>3</v>
      </c>
      <c r="O1071">
        <v>5511</v>
      </c>
      <c r="P1071" t="s">
        <v>2176</v>
      </c>
      <c r="Q1071">
        <v>15</v>
      </c>
      <c r="R1071">
        <v>19</v>
      </c>
      <c r="S1071">
        <v>17</v>
      </c>
      <c r="T1071">
        <v>358</v>
      </c>
      <c r="U1071" t="s">
        <v>2162</v>
      </c>
      <c r="W1071" t="s">
        <v>2208</v>
      </c>
      <c r="X1071" t="s">
        <v>2210</v>
      </c>
      <c r="Y1071" t="s">
        <v>2212</v>
      </c>
      <c r="Z1071" s="1">
        <v>45628</v>
      </c>
      <c r="AA1071" s="1">
        <v>45644</v>
      </c>
      <c r="AB1071" t="s">
        <v>2214</v>
      </c>
      <c r="AC1071" t="s">
        <v>2209</v>
      </c>
      <c r="AD1071" t="s">
        <v>2216</v>
      </c>
      <c r="AE1071" t="s">
        <v>2162</v>
      </c>
      <c r="AG1071" t="s">
        <v>2220</v>
      </c>
      <c r="AH1071">
        <v>51</v>
      </c>
      <c r="AI1071">
        <v>67</v>
      </c>
      <c r="AJ1071">
        <v>16</v>
      </c>
      <c r="AK1071">
        <v>10</v>
      </c>
      <c r="AL1071" t="s">
        <v>2230</v>
      </c>
      <c r="AM1071">
        <v>1</v>
      </c>
      <c r="AN1071" t="s">
        <v>2176</v>
      </c>
      <c r="AO1071" t="s">
        <v>2176</v>
      </c>
      <c r="AP1071" t="s">
        <v>2176</v>
      </c>
      <c r="AQ1071">
        <v>11.66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4.2</v>
      </c>
      <c r="AY1071">
        <v>4.2</v>
      </c>
      <c r="AZ1071">
        <v>2</v>
      </c>
      <c r="BA1071">
        <v>1</v>
      </c>
      <c r="BB1071">
        <v>25</v>
      </c>
      <c r="BC1071">
        <v>27</v>
      </c>
      <c r="BD1071">
        <v>21.89</v>
      </c>
      <c r="BE1071">
        <v>108</v>
      </c>
      <c r="BF1071">
        <v>87.6</v>
      </c>
      <c r="BG1071">
        <v>25</v>
      </c>
      <c r="BH1071">
        <v>27</v>
      </c>
      <c r="BI1071">
        <v>21.89</v>
      </c>
      <c r="BJ1071">
        <v>108</v>
      </c>
      <c r="BK1071">
        <v>87.6</v>
      </c>
      <c r="BL1071">
        <v>108</v>
      </c>
      <c r="BM1071">
        <v>6.2739000000000003</v>
      </c>
    </row>
    <row r="1072" spans="1:65" x14ac:dyDescent="0.25">
      <c r="A1072" t="s">
        <v>1135</v>
      </c>
      <c r="B1072" t="s">
        <v>2109</v>
      </c>
      <c r="C1072" t="s">
        <v>2159</v>
      </c>
      <c r="D1072" s="1">
        <v>45302</v>
      </c>
      <c r="E1072" s="1">
        <v>45333</v>
      </c>
      <c r="F1072" s="1">
        <v>45423</v>
      </c>
      <c r="G1072" t="s">
        <v>2162</v>
      </c>
      <c r="I1072" t="s">
        <v>2176</v>
      </c>
      <c r="J1072">
        <v>13252</v>
      </c>
      <c r="K1072">
        <v>397</v>
      </c>
      <c r="L1072">
        <v>6.2</v>
      </c>
      <c r="M1072">
        <v>6.1</v>
      </c>
      <c r="N1072">
        <v>2</v>
      </c>
      <c r="O1072">
        <v>5974</v>
      </c>
      <c r="P1072" t="s">
        <v>2176</v>
      </c>
      <c r="Q1072">
        <v>12</v>
      </c>
      <c r="R1072">
        <v>17</v>
      </c>
      <c r="S1072">
        <v>13</v>
      </c>
      <c r="T1072">
        <v>315</v>
      </c>
      <c r="U1072" t="s">
        <v>2162</v>
      </c>
      <c r="W1072" t="s">
        <v>2208</v>
      </c>
      <c r="X1072" t="s">
        <v>2210</v>
      </c>
      <c r="Y1072" t="s">
        <v>2212</v>
      </c>
      <c r="Z1072" s="1">
        <v>45375</v>
      </c>
      <c r="AA1072" s="1">
        <v>45393</v>
      </c>
      <c r="AB1072" t="s">
        <v>2214</v>
      </c>
      <c r="AC1072" t="s">
        <v>2209</v>
      </c>
      <c r="AD1072" t="s">
        <v>2216</v>
      </c>
      <c r="AE1072" t="s">
        <v>2162</v>
      </c>
      <c r="AG1072" t="s">
        <v>2220</v>
      </c>
      <c r="AH1072">
        <v>42</v>
      </c>
      <c r="AI1072">
        <v>60</v>
      </c>
      <c r="AJ1072">
        <v>18</v>
      </c>
      <c r="AK1072">
        <v>2</v>
      </c>
      <c r="AL1072" t="s">
        <v>2228</v>
      </c>
      <c r="AM1072">
        <v>0</v>
      </c>
      <c r="AN1072" t="s">
        <v>2177</v>
      </c>
      <c r="AO1072" t="s">
        <v>2176</v>
      </c>
      <c r="AP1072" t="s">
        <v>2176</v>
      </c>
      <c r="AQ1072">
        <v>37.82</v>
      </c>
      <c r="AR1072">
        <v>1</v>
      </c>
      <c r="AS1072">
        <v>2</v>
      </c>
      <c r="AT1072">
        <v>1</v>
      </c>
      <c r="AU1072">
        <v>1</v>
      </c>
      <c r="AV1072">
        <v>1.333333333333333</v>
      </c>
      <c r="AW1072">
        <v>4.2</v>
      </c>
      <c r="AY1072">
        <v>4.2</v>
      </c>
      <c r="AZ1072">
        <v>0</v>
      </c>
      <c r="BA1072">
        <v>1</v>
      </c>
      <c r="BB1072">
        <v>34</v>
      </c>
      <c r="BC1072">
        <v>24</v>
      </c>
      <c r="BD1072">
        <v>30.5</v>
      </c>
      <c r="BE1072">
        <v>136</v>
      </c>
      <c r="BF1072">
        <v>89.7</v>
      </c>
      <c r="BG1072">
        <v>34</v>
      </c>
      <c r="BH1072">
        <v>24</v>
      </c>
      <c r="BI1072">
        <v>30.5</v>
      </c>
      <c r="BJ1072">
        <v>136</v>
      </c>
      <c r="BK1072">
        <v>89.7</v>
      </c>
      <c r="BL1072">
        <v>136</v>
      </c>
      <c r="BM1072">
        <v>4.0587999999999997</v>
      </c>
    </row>
    <row r="1073" spans="1:65" x14ac:dyDescent="0.25">
      <c r="A1073" t="s">
        <v>1136</v>
      </c>
      <c r="B1073" t="s">
        <v>2110</v>
      </c>
      <c r="C1073" t="s">
        <v>2158</v>
      </c>
      <c r="D1073" s="1">
        <v>45531</v>
      </c>
      <c r="E1073" s="1">
        <v>45569</v>
      </c>
      <c r="F1073" s="1">
        <v>45674</v>
      </c>
      <c r="G1073" t="s">
        <v>2164</v>
      </c>
      <c r="I1073" t="s">
        <v>2176</v>
      </c>
      <c r="J1073">
        <v>17736</v>
      </c>
      <c r="K1073">
        <v>532</v>
      </c>
      <c r="L1073">
        <v>1.6</v>
      </c>
      <c r="M1073">
        <v>5.2</v>
      </c>
      <c r="N1073">
        <v>1</v>
      </c>
      <c r="O1073">
        <v>4659</v>
      </c>
      <c r="P1073" t="s">
        <v>2176</v>
      </c>
      <c r="Q1073">
        <v>15</v>
      </c>
      <c r="R1073">
        <v>21</v>
      </c>
      <c r="S1073">
        <v>17</v>
      </c>
      <c r="T1073">
        <v>334</v>
      </c>
      <c r="U1073" t="s">
        <v>2164</v>
      </c>
      <c r="W1073" t="s">
        <v>2208</v>
      </c>
      <c r="X1073" t="s">
        <v>2210</v>
      </c>
      <c r="Y1073" t="s">
        <v>2212</v>
      </c>
      <c r="Z1073" s="1">
        <v>45622</v>
      </c>
      <c r="AA1073" s="1">
        <v>45637</v>
      </c>
      <c r="AB1073" t="s">
        <v>2214</v>
      </c>
      <c r="AC1073" t="s">
        <v>2209</v>
      </c>
      <c r="AD1073" t="s">
        <v>2216</v>
      </c>
      <c r="AE1073" t="s">
        <v>2164</v>
      </c>
      <c r="AG1073" t="s">
        <v>2220</v>
      </c>
      <c r="AH1073">
        <v>53</v>
      </c>
      <c r="AI1073">
        <v>68</v>
      </c>
      <c r="AJ1073">
        <v>15</v>
      </c>
      <c r="AK1073">
        <v>10</v>
      </c>
      <c r="AL1073" t="s">
        <v>2230</v>
      </c>
      <c r="AM1073">
        <v>1</v>
      </c>
      <c r="AN1073" t="s">
        <v>2176</v>
      </c>
      <c r="AO1073" t="s">
        <v>2176</v>
      </c>
      <c r="AP1073" t="s">
        <v>2176</v>
      </c>
      <c r="AQ1073">
        <v>8.32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4.5</v>
      </c>
      <c r="AY1073">
        <v>4.5</v>
      </c>
      <c r="AZ1073">
        <v>2</v>
      </c>
      <c r="BA1073">
        <v>1</v>
      </c>
      <c r="BB1073">
        <v>27</v>
      </c>
      <c r="BC1073">
        <v>27</v>
      </c>
      <c r="BD1073">
        <v>23.56</v>
      </c>
      <c r="BE1073">
        <v>116</v>
      </c>
      <c r="BF1073">
        <v>87.3</v>
      </c>
      <c r="BG1073">
        <v>27</v>
      </c>
      <c r="BH1073">
        <v>27</v>
      </c>
      <c r="BI1073">
        <v>23.56</v>
      </c>
      <c r="BJ1073">
        <v>116</v>
      </c>
      <c r="BK1073">
        <v>87.3</v>
      </c>
      <c r="BL1073">
        <v>116</v>
      </c>
      <c r="BM1073">
        <v>5.6609999999999996</v>
      </c>
    </row>
    <row r="1074" spans="1:65" x14ac:dyDescent="0.25">
      <c r="A1074" t="s">
        <v>1137</v>
      </c>
      <c r="B1074" t="s">
        <v>2111</v>
      </c>
      <c r="C1074" t="s">
        <v>2159</v>
      </c>
      <c r="D1074" s="1">
        <v>45284</v>
      </c>
      <c r="E1074" s="1">
        <v>45324</v>
      </c>
      <c r="F1074" s="1">
        <v>45370</v>
      </c>
      <c r="G1074" t="s">
        <v>2164</v>
      </c>
      <c r="I1074" t="s">
        <v>2174</v>
      </c>
      <c r="J1074">
        <v>6055</v>
      </c>
      <c r="K1074">
        <v>181</v>
      </c>
      <c r="L1074">
        <v>2.1</v>
      </c>
      <c r="M1074">
        <v>4.9000000000000004</v>
      </c>
      <c r="N1074">
        <v>3</v>
      </c>
      <c r="O1074">
        <v>4395</v>
      </c>
      <c r="P1074" t="s">
        <v>2176</v>
      </c>
      <c r="Q1074">
        <v>4</v>
      </c>
      <c r="R1074">
        <v>5</v>
      </c>
      <c r="S1074">
        <v>12</v>
      </c>
      <c r="T1074">
        <v>288</v>
      </c>
      <c r="U1074" t="s">
        <v>2164</v>
      </c>
      <c r="W1074" t="s">
        <v>2208</v>
      </c>
      <c r="X1074" t="s">
        <v>2210</v>
      </c>
      <c r="Y1074" t="s">
        <v>2212</v>
      </c>
      <c r="Z1074" s="1">
        <v>45345</v>
      </c>
      <c r="AA1074" s="1">
        <v>45361</v>
      </c>
      <c r="AB1074" t="s">
        <v>2214</v>
      </c>
      <c r="AC1074" t="s">
        <v>2209</v>
      </c>
      <c r="AD1074" t="s">
        <v>2216</v>
      </c>
      <c r="AE1074" t="s">
        <v>2164</v>
      </c>
      <c r="AG1074" t="s">
        <v>2220</v>
      </c>
      <c r="AH1074">
        <v>21</v>
      </c>
      <c r="AI1074">
        <v>37</v>
      </c>
      <c r="AJ1074">
        <v>16</v>
      </c>
      <c r="AK1074">
        <v>2</v>
      </c>
      <c r="AL1074" t="s">
        <v>2228</v>
      </c>
      <c r="AM1074">
        <v>0</v>
      </c>
      <c r="AN1074" t="s">
        <v>2176</v>
      </c>
      <c r="AO1074" t="s">
        <v>2176</v>
      </c>
      <c r="AP1074" t="s">
        <v>2176</v>
      </c>
      <c r="AQ1074">
        <v>10.29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4.5</v>
      </c>
      <c r="AY1074">
        <v>4.5</v>
      </c>
      <c r="AZ1074">
        <v>0</v>
      </c>
      <c r="BA1074">
        <v>0</v>
      </c>
      <c r="BB1074">
        <v>27</v>
      </c>
      <c r="BC1074">
        <v>24</v>
      </c>
      <c r="BD1074">
        <v>24.04</v>
      </c>
      <c r="BE1074">
        <v>106</v>
      </c>
      <c r="BF1074">
        <v>89</v>
      </c>
      <c r="BG1074">
        <v>27</v>
      </c>
      <c r="BH1074">
        <v>24</v>
      </c>
      <c r="BI1074">
        <v>24.04</v>
      </c>
      <c r="BJ1074">
        <v>106</v>
      </c>
      <c r="BK1074">
        <v>89</v>
      </c>
      <c r="BL1074">
        <v>106</v>
      </c>
      <c r="BM1074">
        <v>2.3792</v>
      </c>
    </row>
    <row r="1075" spans="1:65" x14ac:dyDescent="0.25">
      <c r="A1075" t="s">
        <v>1138</v>
      </c>
      <c r="B1075" t="s">
        <v>2112</v>
      </c>
      <c r="C1075" t="s">
        <v>2159</v>
      </c>
      <c r="D1075" s="1">
        <v>45264</v>
      </c>
      <c r="E1075" s="1">
        <v>45306</v>
      </c>
      <c r="F1075" s="1">
        <v>45370</v>
      </c>
      <c r="G1075" t="s">
        <v>2162</v>
      </c>
      <c r="I1075" t="s">
        <v>2176</v>
      </c>
      <c r="J1075">
        <v>12272</v>
      </c>
      <c r="K1075">
        <v>368</v>
      </c>
      <c r="L1075">
        <v>2.2999999999999998</v>
      </c>
      <c r="M1075">
        <v>2.4</v>
      </c>
      <c r="N1075">
        <v>2</v>
      </c>
      <c r="O1075">
        <v>6024</v>
      </c>
      <c r="P1075" t="s">
        <v>2176</v>
      </c>
      <c r="Q1075">
        <v>8</v>
      </c>
      <c r="R1075">
        <v>9</v>
      </c>
      <c r="S1075">
        <v>11</v>
      </c>
      <c r="T1075">
        <v>438</v>
      </c>
      <c r="U1075" t="s">
        <v>2162</v>
      </c>
      <c r="W1075" t="s">
        <v>2208</v>
      </c>
      <c r="X1075" t="s">
        <v>2210</v>
      </c>
      <c r="Y1075" t="s">
        <v>2212</v>
      </c>
      <c r="Z1075" s="1">
        <v>45334</v>
      </c>
      <c r="AA1075" s="1">
        <v>45348</v>
      </c>
      <c r="AB1075" t="s">
        <v>2214</v>
      </c>
      <c r="AC1075" t="s">
        <v>2209</v>
      </c>
      <c r="AD1075" t="s">
        <v>2216</v>
      </c>
      <c r="AE1075" t="s">
        <v>2162</v>
      </c>
      <c r="AG1075" t="s">
        <v>2220</v>
      </c>
      <c r="AH1075">
        <v>28</v>
      </c>
      <c r="AI1075">
        <v>42</v>
      </c>
      <c r="AJ1075">
        <v>14</v>
      </c>
      <c r="AK1075">
        <v>1</v>
      </c>
      <c r="AL1075" t="s">
        <v>2233</v>
      </c>
      <c r="AM1075">
        <v>0</v>
      </c>
      <c r="AN1075" t="s">
        <v>2176</v>
      </c>
      <c r="AO1075" t="s">
        <v>2176</v>
      </c>
      <c r="AP1075" t="s">
        <v>2176</v>
      </c>
      <c r="AQ1075">
        <v>5.52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4.2</v>
      </c>
      <c r="AY1075">
        <v>4.2</v>
      </c>
      <c r="AZ1075">
        <v>0</v>
      </c>
      <c r="BA1075">
        <v>1</v>
      </c>
      <c r="BB1075">
        <v>26</v>
      </c>
      <c r="BC1075">
        <v>27</v>
      </c>
      <c r="BD1075">
        <v>23.19</v>
      </c>
      <c r="BE1075">
        <v>113</v>
      </c>
      <c r="BF1075">
        <v>89.2</v>
      </c>
      <c r="BG1075">
        <v>26</v>
      </c>
      <c r="BH1075">
        <v>27</v>
      </c>
      <c r="BI1075">
        <v>23.19</v>
      </c>
      <c r="BJ1075">
        <v>113</v>
      </c>
      <c r="BK1075">
        <v>89.2</v>
      </c>
      <c r="BL1075">
        <v>113</v>
      </c>
      <c r="BM1075">
        <v>4.0209999999999999</v>
      </c>
    </row>
    <row r="1076" spans="1:65" x14ac:dyDescent="0.25">
      <c r="A1076" t="s">
        <v>1139</v>
      </c>
      <c r="B1076" t="s">
        <v>2113</v>
      </c>
      <c r="C1076" t="s">
        <v>2159</v>
      </c>
      <c r="D1076" s="1">
        <v>45405</v>
      </c>
      <c r="E1076" s="1">
        <v>45457</v>
      </c>
      <c r="F1076" s="1">
        <v>45551</v>
      </c>
      <c r="G1076" t="s">
        <v>2162</v>
      </c>
      <c r="I1076" t="s">
        <v>2174</v>
      </c>
      <c r="J1076">
        <v>17985</v>
      </c>
      <c r="K1076">
        <v>539</v>
      </c>
      <c r="L1076">
        <v>3.2</v>
      </c>
      <c r="M1076">
        <v>5.7</v>
      </c>
      <c r="N1076">
        <v>1</v>
      </c>
      <c r="O1076">
        <v>2487</v>
      </c>
      <c r="P1076" t="s">
        <v>2176</v>
      </c>
      <c r="Q1076">
        <v>10</v>
      </c>
      <c r="R1076">
        <v>12</v>
      </c>
      <c r="S1076">
        <v>30</v>
      </c>
      <c r="T1076">
        <v>345</v>
      </c>
      <c r="U1076" t="s">
        <v>2162</v>
      </c>
      <c r="W1076" t="s">
        <v>2208</v>
      </c>
      <c r="X1076" t="s">
        <v>2210</v>
      </c>
      <c r="Y1076" t="s">
        <v>2212</v>
      </c>
      <c r="Z1076" s="1">
        <v>45509</v>
      </c>
      <c r="AA1076" s="1">
        <v>45525</v>
      </c>
      <c r="AB1076" t="s">
        <v>2214</v>
      </c>
      <c r="AC1076" t="s">
        <v>2209</v>
      </c>
      <c r="AD1076" t="s">
        <v>2216</v>
      </c>
      <c r="AE1076" t="s">
        <v>2162</v>
      </c>
      <c r="AG1076" t="s">
        <v>2220</v>
      </c>
      <c r="AH1076">
        <v>52</v>
      </c>
      <c r="AI1076">
        <v>68</v>
      </c>
      <c r="AJ1076">
        <v>16</v>
      </c>
      <c r="AK1076">
        <v>6</v>
      </c>
      <c r="AL1076" t="s">
        <v>2223</v>
      </c>
      <c r="AM1076">
        <v>0</v>
      </c>
      <c r="AN1076" t="s">
        <v>2176</v>
      </c>
      <c r="AO1076" t="s">
        <v>2176</v>
      </c>
      <c r="AP1076" t="s">
        <v>2176</v>
      </c>
      <c r="AQ1076">
        <v>18.239999999999998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4.2</v>
      </c>
      <c r="AY1076">
        <v>4.2</v>
      </c>
      <c r="AZ1076">
        <v>0</v>
      </c>
      <c r="BA1076">
        <v>0</v>
      </c>
      <c r="BB1076">
        <v>29</v>
      </c>
      <c r="BC1076">
        <v>25</v>
      </c>
      <c r="BD1076">
        <v>25.56</v>
      </c>
      <c r="BE1076">
        <v>117</v>
      </c>
      <c r="BF1076">
        <v>88.1</v>
      </c>
      <c r="BG1076">
        <v>29</v>
      </c>
      <c r="BH1076">
        <v>25</v>
      </c>
      <c r="BI1076">
        <v>25.56</v>
      </c>
      <c r="BJ1076">
        <v>117</v>
      </c>
      <c r="BK1076">
        <v>88.1</v>
      </c>
      <c r="BL1076">
        <v>117</v>
      </c>
      <c r="BM1076">
        <v>6.1466000000000003</v>
      </c>
    </row>
    <row r="1077" spans="1:65" x14ac:dyDescent="0.25">
      <c r="A1077" t="s">
        <v>1140</v>
      </c>
      <c r="B1077" t="s">
        <v>2114</v>
      </c>
      <c r="C1077" t="s">
        <v>2158</v>
      </c>
      <c r="D1077" s="1">
        <v>45301</v>
      </c>
      <c r="E1077" s="1">
        <v>45330</v>
      </c>
      <c r="F1077" s="1">
        <v>45393</v>
      </c>
      <c r="G1077" t="s">
        <v>2164</v>
      </c>
      <c r="I1077" t="s">
        <v>2174</v>
      </c>
      <c r="J1077">
        <v>8397</v>
      </c>
      <c r="K1077">
        <v>251</v>
      </c>
      <c r="L1077">
        <v>2.4</v>
      </c>
      <c r="M1077">
        <v>4.4000000000000004</v>
      </c>
      <c r="N1077">
        <v>3</v>
      </c>
      <c r="O1077">
        <v>4036</v>
      </c>
      <c r="P1077" t="s">
        <v>2176</v>
      </c>
      <c r="Q1077">
        <v>6</v>
      </c>
      <c r="R1077">
        <v>8</v>
      </c>
      <c r="S1077">
        <v>14</v>
      </c>
      <c r="T1077">
        <v>299</v>
      </c>
      <c r="U1077" t="s">
        <v>2164</v>
      </c>
      <c r="W1077" t="s">
        <v>2208</v>
      </c>
      <c r="X1077" t="s">
        <v>2210</v>
      </c>
      <c r="Y1077" t="s">
        <v>2212</v>
      </c>
      <c r="Z1077" s="1">
        <v>45358</v>
      </c>
      <c r="AA1077" s="1">
        <v>45373</v>
      </c>
      <c r="AB1077" t="s">
        <v>2214</v>
      </c>
      <c r="AC1077" t="s">
        <v>2209</v>
      </c>
      <c r="AD1077" t="s">
        <v>2216</v>
      </c>
      <c r="AE1077" t="s">
        <v>2164</v>
      </c>
      <c r="AG1077" t="s">
        <v>2220</v>
      </c>
      <c r="AH1077">
        <v>28</v>
      </c>
      <c r="AI1077">
        <v>43</v>
      </c>
      <c r="AJ1077">
        <v>15</v>
      </c>
      <c r="AK1077">
        <v>2</v>
      </c>
      <c r="AL1077" t="s">
        <v>2228</v>
      </c>
      <c r="AM1077">
        <v>0</v>
      </c>
      <c r="AN1077" t="s">
        <v>2176</v>
      </c>
      <c r="AO1077" t="s">
        <v>2176</v>
      </c>
      <c r="AP1077" t="s">
        <v>2176</v>
      </c>
      <c r="AQ1077">
        <v>10.56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4.5</v>
      </c>
      <c r="AY1077">
        <v>4.5</v>
      </c>
      <c r="AZ1077">
        <v>2</v>
      </c>
      <c r="BA1077">
        <v>0</v>
      </c>
      <c r="BB1077">
        <v>27</v>
      </c>
      <c r="BC1077">
        <v>24</v>
      </c>
      <c r="BD1077">
        <v>24.04</v>
      </c>
      <c r="BE1077">
        <v>106</v>
      </c>
      <c r="BF1077">
        <v>89</v>
      </c>
      <c r="BG1077">
        <v>27</v>
      </c>
      <c r="BH1077">
        <v>24</v>
      </c>
      <c r="BI1077">
        <v>24.04</v>
      </c>
      <c r="BJ1077">
        <v>106</v>
      </c>
      <c r="BK1077">
        <v>89</v>
      </c>
      <c r="BL1077">
        <v>106</v>
      </c>
      <c r="BM1077">
        <v>3.2993999999999999</v>
      </c>
    </row>
    <row r="1078" spans="1:65" x14ac:dyDescent="0.25">
      <c r="A1078" t="s">
        <v>1141</v>
      </c>
      <c r="B1078" t="s">
        <v>2115</v>
      </c>
      <c r="C1078" t="s">
        <v>2159</v>
      </c>
      <c r="D1078" s="1">
        <v>45243</v>
      </c>
      <c r="E1078" s="1">
        <v>45298</v>
      </c>
      <c r="F1078" s="1">
        <v>45354</v>
      </c>
      <c r="G1078" t="s">
        <v>2162</v>
      </c>
      <c r="I1078" t="s">
        <v>2174</v>
      </c>
      <c r="J1078">
        <v>9349</v>
      </c>
      <c r="K1078">
        <v>280</v>
      </c>
      <c r="L1078">
        <v>3.3</v>
      </c>
      <c r="M1078">
        <v>6.7</v>
      </c>
      <c r="N1078">
        <v>3</v>
      </c>
      <c r="O1078">
        <v>6234</v>
      </c>
      <c r="P1078" t="s">
        <v>2176</v>
      </c>
      <c r="Q1078">
        <v>5</v>
      </c>
      <c r="R1078">
        <v>7</v>
      </c>
      <c r="S1078">
        <v>11</v>
      </c>
      <c r="T1078">
        <v>406</v>
      </c>
      <c r="U1078" t="s">
        <v>2162</v>
      </c>
      <c r="W1078" t="s">
        <v>2208</v>
      </c>
      <c r="X1078" t="s">
        <v>2210</v>
      </c>
      <c r="Y1078" t="s">
        <v>2212</v>
      </c>
      <c r="Z1078" s="1">
        <v>45321</v>
      </c>
      <c r="AA1078" s="1">
        <v>45334</v>
      </c>
      <c r="AB1078" t="s">
        <v>2214</v>
      </c>
      <c r="AC1078" t="s">
        <v>2209</v>
      </c>
      <c r="AD1078" t="s">
        <v>2216</v>
      </c>
      <c r="AE1078" t="s">
        <v>2162</v>
      </c>
      <c r="AG1078" t="s">
        <v>2220</v>
      </c>
      <c r="AH1078">
        <v>23</v>
      </c>
      <c r="AI1078">
        <v>36</v>
      </c>
      <c r="AJ1078">
        <v>13</v>
      </c>
      <c r="AK1078">
        <v>1</v>
      </c>
      <c r="AL1078" t="s">
        <v>2233</v>
      </c>
      <c r="AM1078">
        <v>0</v>
      </c>
      <c r="AN1078" t="s">
        <v>2176</v>
      </c>
      <c r="AO1078" t="s">
        <v>2176</v>
      </c>
      <c r="AP1078" t="s">
        <v>2176</v>
      </c>
      <c r="AQ1078">
        <v>22.11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4.2</v>
      </c>
      <c r="AY1078">
        <v>4.2</v>
      </c>
      <c r="AZ1078">
        <v>0</v>
      </c>
      <c r="BA1078">
        <v>0</v>
      </c>
      <c r="BB1078">
        <v>26</v>
      </c>
      <c r="BC1078">
        <v>27</v>
      </c>
      <c r="BD1078">
        <v>23.19</v>
      </c>
      <c r="BE1078">
        <v>113</v>
      </c>
      <c r="BF1078">
        <v>89.2</v>
      </c>
      <c r="BG1078">
        <v>26</v>
      </c>
      <c r="BH1078">
        <v>27</v>
      </c>
      <c r="BI1078">
        <v>23.19</v>
      </c>
      <c r="BJ1078">
        <v>113</v>
      </c>
      <c r="BK1078">
        <v>89.2</v>
      </c>
      <c r="BL1078">
        <v>113</v>
      </c>
      <c r="BM1078">
        <v>3.0632000000000001</v>
      </c>
    </row>
    <row r="1079" spans="1:65" x14ac:dyDescent="0.25">
      <c r="A1079" t="s">
        <v>1142</v>
      </c>
      <c r="B1079" t="s">
        <v>2116</v>
      </c>
      <c r="C1079" t="s">
        <v>2160</v>
      </c>
      <c r="D1079" s="1">
        <v>45500</v>
      </c>
      <c r="E1079" s="1">
        <v>45537</v>
      </c>
      <c r="F1079" s="1">
        <v>45618</v>
      </c>
      <c r="G1079" t="s">
        <v>2162</v>
      </c>
      <c r="I1079" t="s">
        <v>2174</v>
      </c>
      <c r="J1079">
        <v>18556</v>
      </c>
      <c r="K1079">
        <v>556</v>
      </c>
      <c r="L1079">
        <v>3.9</v>
      </c>
      <c r="M1079">
        <v>3</v>
      </c>
      <c r="N1079">
        <v>3</v>
      </c>
      <c r="O1079">
        <v>1402</v>
      </c>
      <c r="P1079" t="s">
        <v>2176</v>
      </c>
      <c r="Q1079">
        <v>12</v>
      </c>
      <c r="R1079">
        <v>13</v>
      </c>
      <c r="S1079">
        <v>20</v>
      </c>
      <c r="T1079">
        <v>412</v>
      </c>
      <c r="U1079" t="s">
        <v>2162</v>
      </c>
      <c r="W1079" t="s">
        <v>2208</v>
      </c>
      <c r="X1079" t="s">
        <v>2210</v>
      </c>
      <c r="Y1079" t="s">
        <v>2212</v>
      </c>
      <c r="Z1079" s="1">
        <v>45582</v>
      </c>
      <c r="AA1079" s="1">
        <v>45600</v>
      </c>
      <c r="AB1079" t="s">
        <v>2214</v>
      </c>
      <c r="AC1079" t="s">
        <v>2209</v>
      </c>
      <c r="AD1079" t="s">
        <v>2216</v>
      </c>
      <c r="AE1079" t="s">
        <v>2162</v>
      </c>
      <c r="AG1079" t="s">
        <v>2220</v>
      </c>
      <c r="AH1079">
        <v>45</v>
      </c>
      <c r="AI1079">
        <v>63</v>
      </c>
      <c r="AJ1079">
        <v>18</v>
      </c>
      <c r="AK1079">
        <v>9</v>
      </c>
      <c r="AL1079" t="s">
        <v>2234</v>
      </c>
      <c r="AM1079">
        <v>0</v>
      </c>
      <c r="AN1079" t="s">
        <v>2176</v>
      </c>
      <c r="AO1079" t="s">
        <v>2176</v>
      </c>
      <c r="AP1079" t="s">
        <v>2176</v>
      </c>
      <c r="AQ1079">
        <v>11.7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4.2</v>
      </c>
      <c r="AY1079">
        <v>4.2</v>
      </c>
      <c r="AZ1079">
        <v>1</v>
      </c>
      <c r="BA1079">
        <v>0</v>
      </c>
      <c r="BB1079">
        <v>30</v>
      </c>
      <c r="BC1079">
        <v>26</v>
      </c>
      <c r="BD1079">
        <v>26.54</v>
      </c>
      <c r="BE1079">
        <v>129</v>
      </c>
      <c r="BF1079">
        <v>88.5</v>
      </c>
      <c r="BG1079">
        <v>30</v>
      </c>
      <c r="BH1079">
        <v>26</v>
      </c>
      <c r="BI1079">
        <v>26.54</v>
      </c>
      <c r="BJ1079">
        <v>129</v>
      </c>
      <c r="BK1079">
        <v>88.5</v>
      </c>
      <c r="BL1079">
        <v>129</v>
      </c>
      <c r="BM1079">
        <v>5.5308000000000002</v>
      </c>
    </row>
    <row r="1080" spans="1:65" x14ac:dyDescent="0.25">
      <c r="A1080" t="s">
        <v>1143</v>
      </c>
      <c r="B1080" t="s">
        <v>2117</v>
      </c>
      <c r="C1080" t="s">
        <v>2158</v>
      </c>
      <c r="D1080" s="1">
        <v>45301</v>
      </c>
      <c r="E1080" s="1">
        <v>45325</v>
      </c>
      <c r="F1080" s="1">
        <v>45401</v>
      </c>
      <c r="G1080" t="s">
        <v>2164</v>
      </c>
      <c r="I1080" t="s">
        <v>2174</v>
      </c>
      <c r="J1080">
        <v>9692</v>
      </c>
      <c r="K1080">
        <v>290</v>
      </c>
      <c r="L1080">
        <v>6</v>
      </c>
      <c r="M1080">
        <v>1.2</v>
      </c>
      <c r="N1080">
        <v>1</v>
      </c>
      <c r="O1080">
        <v>5541</v>
      </c>
      <c r="P1080" t="s">
        <v>2176</v>
      </c>
      <c r="Q1080">
        <v>9</v>
      </c>
      <c r="R1080">
        <v>12</v>
      </c>
      <c r="S1080">
        <v>10</v>
      </c>
      <c r="T1080">
        <v>312</v>
      </c>
      <c r="U1080" t="s">
        <v>2164</v>
      </c>
      <c r="W1080" t="s">
        <v>2208</v>
      </c>
      <c r="X1080" t="s">
        <v>2210</v>
      </c>
      <c r="Y1080" t="s">
        <v>2212</v>
      </c>
      <c r="Z1080" s="1">
        <v>45356</v>
      </c>
      <c r="AA1080" s="1">
        <v>45373</v>
      </c>
      <c r="AB1080" t="s">
        <v>2214</v>
      </c>
      <c r="AC1080" t="s">
        <v>2209</v>
      </c>
      <c r="AD1080" t="s">
        <v>2216</v>
      </c>
      <c r="AE1080" t="s">
        <v>2164</v>
      </c>
      <c r="AG1080" t="s">
        <v>2220</v>
      </c>
      <c r="AH1080">
        <v>31</v>
      </c>
      <c r="AI1080">
        <v>48</v>
      </c>
      <c r="AJ1080">
        <v>17</v>
      </c>
      <c r="AK1080">
        <v>2</v>
      </c>
      <c r="AL1080" t="s">
        <v>2228</v>
      </c>
      <c r="AM1080">
        <v>0</v>
      </c>
      <c r="AN1080" t="s">
        <v>2176</v>
      </c>
      <c r="AO1080" t="s">
        <v>2176</v>
      </c>
      <c r="AP1080" t="s">
        <v>2176</v>
      </c>
      <c r="AQ1080">
        <v>7.1999999999999993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4.5</v>
      </c>
      <c r="AY1080">
        <v>4.5</v>
      </c>
      <c r="AZ1080">
        <v>2</v>
      </c>
      <c r="BA1080">
        <v>0</v>
      </c>
      <c r="BB1080">
        <v>27</v>
      </c>
      <c r="BC1080">
        <v>24</v>
      </c>
      <c r="BD1080">
        <v>24.04</v>
      </c>
      <c r="BE1080">
        <v>106</v>
      </c>
      <c r="BF1080">
        <v>89</v>
      </c>
      <c r="BG1080">
        <v>27</v>
      </c>
      <c r="BH1080">
        <v>24</v>
      </c>
      <c r="BI1080">
        <v>24.04</v>
      </c>
      <c r="BJ1080">
        <v>106</v>
      </c>
      <c r="BK1080">
        <v>89</v>
      </c>
      <c r="BL1080">
        <v>106</v>
      </c>
      <c r="BM1080">
        <v>3.8083</v>
      </c>
    </row>
    <row r="1081" spans="1:65" x14ac:dyDescent="0.25">
      <c r="A1081" t="s">
        <v>1144</v>
      </c>
      <c r="B1081" t="s">
        <v>2118</v>
      </c>
      <c r="C1081" t="s">
        <v>2158</v>
      </c>
      <c r="D1081" s="1">
        <v>45301</v>
      </c>
      <c r="E1081" s="1">
        <v>45326</v>
      </c>
      <c r="F1081" s="1">
        <v>45430</v>
      </c>
      <c r="G1081" t="s">
        <v>2162</v>
      </c>
      <c r="I1081" t="s">
        <v>2176</v>
      </c>
      <c r="J1081">
        <v>19588</v>
      </c>
      <c r="K1081">
        <v>587</v>
      </c>
      <c r="L1081">
        <v>1.7</v>
      </c>
      <c r="M1081">
        <v>5.2</v>
      </c>
      <c r="N1081">
        <v>2</v>
      </c>
      <c r="O1081">
        <v>5741</v>
      </c>
      <c r="P1081" t="s">
        <v>2176</v>
      </c>
      <c r="Q1081">
        <v>17</v>
      </c>
      <c r="R1081">
        <v>22</v>
      </c>
      <c r="S1081">
        <v>30</v>
      </c>
      <c r="T1081">
        <v>283</v>
      </c>
      <c r="U1081" t="s">
        <v>2162</v>
      </c>
      <c r="W1081" t="s">
        <v>2208</v>
      </c>
      <c r="X1081" t="s">
        <v>2210</v>
      </c>
      <c r="Y1081" t="s">
        <v>2212</v>
      </c>
      <c r="Z1081" s="1">
        <v>45395</v>
      </c>
      <c r="AA1081" s="1">
        <v>45413</v>
      </c>
      <c r="AB1081" t="s">
        <v>2214</v>
      </c>
      <c r="AC1081" t="s">
        <v>2209</v>
      </c>
      <c r="AD1081" t="s">
        <v>2216</v>
      </c>
      <c r="AE1081" t="s">
        <v>2162</v>
      </c>
      <c r="AG1081" t="s">
        <v>2220</v>
      </c>
      <c r="AH1081">
        <v>69</v>
      </c>
      <c r="AI1081">
        <v>87</v>
      </c>
      <c r="AJ1081">
        <v>18</v>
      </c>
      <c r="AK1081">
        <v>2</v>
      </c>
      <c r="AL1081" t="s">
        <v>2228</v>
      </c>
      <c r="AM1081">
        <v>0</v>
      </c>
      <c r="AN1081" t="s">
        <v>2176</v>
      </c>
      <c r="AO1081" t="s">
        <v>2176</v>
      </c>
      <c r="AP1081" t="s">
        <v>2176</v>
      </c>
      <c r="AQ1081">
        <v>8.84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4.2</v>
      </c>
      <c r="AY1081">
        <v>4.2</v>
      </c>
      <c r="AZ1081">
        <v>2</v>
      </c>
      <c r="BA1081">
        <v>1</v>
      </c>
      <c r="BB1081">
        <v>34</v>
      </c>
      <c r="BC1081">
        <v>24</v>
      </c>
      <c r="BD1081">
        <v>30.5</v>
      </c>
      <c r="BE1081">
        <v>136</v>
      </c>
      <c r="BF1081">
        <v>89.7</v>
      </c>
      <c r="BG1081">
        <v>34</v>
      </c>
      <c r="BH1081">
        <v>24</v>
      </c>
      <c r="BI1081">
        <v>30.5</v>
      </c>
      <c r="BJ1081">
        <v>136</v>
      </c>
      <c r="BK1081">
        <v>89.7</v>
      </c>
      <c r="BL1081">
        <v>136</v>
      </c>
      <c r="BM1081">
        <v>5.9993999999999996</v>
      </c>
    </row>
    <row r="1082" spans="1:65" x14ac:dyDescent="0.25">
      <c r="A1082" t="s">
        <v>1145</v>
      </c>
      <c r="B1082" t="s">
        <v>2119</v>
      </c>
      <c r="C1082" t="s">
        <v>2158</v>
      </c>
      <c r="D1082" s="1">
        <v>45544</v>
      </c>
      <c r="E1082" s="1">
        <v>45579</v>
      </c>
      <c r="F1082" s="1">
        <v>45695</v>
      </c>
      <c r="G1082" t="s">
        <v>2164</v>
      </c>
      <c r="I1082" t="s">
        <v>2176</v>
      </c>
      <c r="J1082">
        <v>18751</v>
      </c>
      <c r="K1082">
        <v>562</v>
      </c>
      <c r="L1082">
        <v>6.4</v>
      </c>
      <c r="M1082">
        <v>1.6</v>
      </c>
      <c r="N1082">
        <v>3</v>
      </c>
      <c r="O1082">
        <v>2865</v>
      </c>
      <c r="P1082" t="s">
        <v>2176</v>
      </c>
      <c r="Q1082">
        <v>13</v>
      </c>
      <c r="R1082">
        <v>15</v>
      </c>
      <c r="S1082">
        <v>29</v>
      </c>
      <c r="T1082">
        <v>328</v>
      </c>
      <c r="U1082" t="s">
        <v>2164</v>
      </c>
      <c r="W1082" t="s">
        <v>2208</v>
      </c>
      <c r="X1082" t="s">
        <v>2210</v>
      </c>
      <c r="Y1082" t="s">
        <v>2212</v>
      </c>
      <c r="Z1082" s="1">
        <v>45636</v>
      </c>
      <c r="AA1082" s="1">
        <v>45650</v>
      </c>
      <c r="AB1082" t="s">
        <v>2214</v>
      </c>
      <c r="AC1082" t="s">
        <v>2209</v>
      </c>
      <c r="AD1082" t="s">
        <v>2216</v>
      </c>
      <c r="AE1082" t="s">
        <v>2164</v>
      </c>
      <c r="AG1082" t="s">
        <v>2220</v>
      </c>
      <c r="AH1082">
        <v>57</v>
      </c>
      <c r="AI1082">
        <v>71</v>
      </c>
      <c r="AJ1082">
        <v>14</v>
      </c>
      <c r="AK1082">
        <v>10</v>
      </c>
      <c r="AL1082" t="s">
        <v>2230</v>
      </c>
      <c r="AM1082">
        <v>1</v>
      </c>
      <c r="AN1082" t="s">
        <v>2176</v>
      </c>
      <c r="AO1082" t="s">
        <v>2176</v>
      </c>
      <c r="AP1082" t="s">
        <v>2176</v>
      </c>
      <c r="AQ1082">
        <v>10.24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4.5</v>
      </c>
      <c r="AY1082">
        <v>4.5</v>
      </c>
      <c r="AZ1082">
        <v>2</v>
      </c>
      <c r="BA1082">
        <v>1</v>
      </c>
      <c r="BB1082">
        <v>27</v>
      </c>
      <c r="BC1082">
        <v>27</v>
      </c>
      <c r="BD1082">
        <v>23.56</v>
      </c>
      <c r="BE1082">
        <v>116</v>
      </c>
      <c r="BF1082">
        <v>87.3</v>
      </c>
      <c r="BG1082">
        <v>27</v>
      </c>
      <c r="BH1082">
        <v>27</v>
      </c>
      <c r="BI1082">
        <v>23.56</v>
      </c>
      <c r="BJ1082">
        <v>116</v>
      </c>
      <c r="BK1082">
        <v>87.3</v>
      </c>
      <c r="BL1082">
        <v>116</v>
      </c>
      <c r="BM1082">
        <v>5.9850000000000003</v>
      </c>
    </row>
    <row r="1083" spans="1:65" x14ac:dyDescent="0.25">
      <c r="A1083" t="s">
        <v>1146</v>
      </c>
      <c r="B1083" t="s">
        <v>1670</v>
      </c>
      <c r="C1083" t="s">
        <v>2158</v>
      </c>
      <c r="D1083" s="1">
        <v>45434</v>
      </c>
      <c r="E1083" s="1">
        <v>45457</v>
      </c>
      <c r="F1083" s="1">
        <v>45538</v>
      </c>
      <c r="G1083" t="s">
        <v>2164</v>
      </c>
      <c r="I1083" t="s">
        <v>2176</v>
      </c>
      <c r="J1083">
        <v>17306</v>
      </c>
      <c r="K1083">
        <v>519</v>
      </c>
      <c r="L1083">
        <v>3.3</v>
      </c>
      <c r="M1083">
        <v>3.2</v>
      </c>
      <c r="N1083">
        <v>3</v>
      </c>
      <c r="O1083">
        <v>3396</v>
      </c>
      <c r="P1083" t="s">
        <v>2176</v>
      </c>
      <c r="Q1083">
        <v>11</v>
      </c>
      <c r="R1083">
        <v>13</v>
      </c>
      <c r="S1083">
        <v>21</v>
      </c>
      <c r="T1083">
        <v>384</v>
      </c>
      <c r="U1083" t="s">
        <v>2164</v>
      </c>
      <c r="W1083" t="s">
        <v>2208</v>
      </c>
      <c r="X1083" t="s">
        <v>2210</v>
      </c>
      <c r="Y1083" t="s">
        <v>2212</v>
      </c>
      <c r="Z1083" s="1">
        <v>45502</v>
      </c>
      <c r="AA1083" s="1">
        <v>45517</v>
      </c>
      <c r="AB1083" t="s">
        <v>2214</v>
      </c>
      <c r="AC1083" t="s">
        <v>2209</v>
      </c>
      <c r="AD1083" t="s">
        <v>2216</v>
      </c>
      <c r="AE1083" t="s">
        <v>2164</v>
      </c>
      <c r="AG1083" t="s">
        <v>2220</v>
      </c>
      <c r="AH1083">
        <v>45</v>
      </c>
      <c r="AI1083">
        <v>60</v>
      </c>
      <c r="AJ1083">
        <v>15</v>
      </c>
      <c r="AK1083">
        <v>6</v>
      </c>
      <c r="AL1083" t="s">
        <v>2223</v>
      </c>
      <c r="AM1083">
        <v>0</v>
      </c>
      <c r="AN1083" t="s">
        <v>2176</v>
      </c>
      <c r="AO1083" t="s">
        <v>2176</v>
      </c>
      <c r="AP1083" t="s">
        <v>2176</v>
      </c>
      <c r="AQ1083">
        <v>10.56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4.5</v>
      </c>
      <c r="AY1083">
        <v>4.5</v>
      </c>
      <c r="AZ1083">
        <v>2</v>
      </c>
      <c r="BA1083">
        <v>1</v>
      </c>
      <c r="BB1083">
        <v>33</v>
      </c>
      <c r="BC1083">
        <v>25</v>
      </c>
      <c r="BD1083">
        <v>28.64</v>
      </c>
      <c r="BE1083">
        <v>133</v>
      </c>
      <c r="BF1083">
        <v>86.8</v>
      </c>
      <c r="BG1083">
        <v>33</v>
      </c>
      <c r="BH1083">
        <v>25</v>
      </c>
      <c r="BI1083">
        <v>28.64</v>
      </c>
      <c r="BJ1083">
        <v>133</v>
      </c>
      <c r="BK1083">
        <v>86.8</v>
      </c>
      <c r="BL1083">
        <v>133</v>
      </c>
      <c r="BM1083">
        <v>5.2031999999999998</v>
      </c>
    </row>
    <row r="1084" spans="1:65" x14ac:dyDescent="0.25">
      <c r="A1084" t="s">
        <v>1147</v>
      </c>
      <c r="B1084" t="s">
        <v>2120</v>
      </c>
      <c r="C1084" t="s">
        <v>2157</v>
      </c>
      <c r="D1084" s="1">
        <v>45447</v>
      </c>
      <c r="E1084" s="1">
        <v>45485</v>
      </c>
      <c r="F1084" s="1">
        <v>45566</v>
      </c>
      <c r="G1084" t="s">
        <v>2162</v>
      </c>
      <c r="I1084" t="s">
        <v>2176</v>
      </c>
      <c r="J1084">
        <v>9377</v>
      </c>
      <c r="K1084">
        <v>281</v>
      </c>
      <c r="L1084">
        <v>5.4</v>
      </c>
      <c r="M1084">
        <v>1.2</v>
      </c>
      <c r="N1084">
        <v>3</v>
      </c>
      <c r="O1084">
        <v>4775</v>
      </c>
      <c r="P1084" t="s">
        <v>2176</v>
      </c>
      <c r="Q1084">
        <v>5</v>
      </c>
      <c r="R1084">
        <v>6</v>
      </c>
      <c r="S1084">
        <v>18</v>
      </c>
      <c r="T1084">
        <v>323</v>
      </c>
      <c r="U1084" t="s">
        <v>2162</v>
      </c>
      <c r="W1084" t="s">
        <v>2208</v>
      </c>
      <c r="X1084" t="s">
        <v>2210</v>
      </c>
      <c r="Y1084" t="s">
        <v>2212</v>
      </c>
      <c r="Z1084" s="1">
        <v>45514</v>
      </c>
      <c r="AA1084" s="1">
        <v>45527</v>
      </c>
      <c r="AB1084" t="s">
        <v>2214</v>
      </c>
      <c r="AC1084" t="s">
        <v>2209</v>
      </c>
      <c r="AD1084" t="s">
        <v>2216</v>
      </c>
      <c r="AE1084" t="s">
        <v>2162</v>
      </c>
      <c r="AG1084" t="s">
        <v>2220</v>
      </c>
      <c r="AH1084">
        <v>29</v>
      </c>
      <c r="AI1084">
        <v>42</v>
      </c>
      <c r="AJ1084">
        <v>13</v>
      </c>
      <c r="AK1084">
        <v>7</v>
      </c>
      <c r="AL1084" t="s">
        <v>2226</v>
      </c>
      <c r="AM1084">
        <v>0</v>
      </c>
      <c r="AN1084" t="s">
        <v>2176</v>
      </c>
      <c r="AO1084" t="s">
        <v>2176</v>
      </c>
      <c r="AP1084" t="s">
        <v>2176</v>
      </c>
      <c r="AQ1084">
        <v>6.48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4.2</v>
      </c>
      <c r="AY1084">
        <v>4.2</v>
      </c>
      <c r="AZ1084">
        <v>3</v>
      </c>
      <c r="BA1084">
        <v>1</v>
      </c>
      <c r="BB1084">
        <v>30</v>
      </c>
      <c r="BC1084">
        <v>27</v>
      </c>
      <c r="BD1084">
        <v>26.15</v>
      </c>
      <c r="BE1084">
        <v>133</v>
      </c>
      <c r="BF1084">
        <v>87.2</v>
      </c>
      <c r="BG1084">
        <v>30</v>
      </c>
      <c r="BH1084">
        <v>27</v>
      </c>
      <c r="BI1084">
        <v>26.15</v>
      </c>
      <c r="BJ1084">
        <v>133</v>
      </c>
      <c r="BK1084">
        <v>87.2</v>
      </c>
      <c r="BL1084">
        <v>133</v>
      </c>
      <c r="BM1084">
        <v>2.6105</v>
      </c>
    </row>
    <row r="1085" spans="1:65" x14ac:dyDescent="0.25">
      <c r="A1085" t="s">
        <v>1148</v>
      </c>
      <c r="B1085" t="s">
        <v>2121</v>
      </c>
      <c r="C1085" t="s">
        <v>2159</v>
      </c>
      <c r="D1085" s="1">
        <v>45511</v>
      </c>
      <c r="E1085" s="1">
        <v>45567</v>
      </c>
      <c r="F1085" s="1">
        <v>45639</v>
      </c>
      <c r="G1085" t="s">
        <v>2164</v>
      </c>
      <c r="I1085" t="s">
        <v>2174</v>
      </c>
      <c r="J1085">
        <v>14609</v>
      </c>
      <c r="K1085">
        <v>438</v>
      </c>
      <c r="L1085">
        <v>6.6</v>
      </c>
      <c r="M1085">
        <v>4.0999999999999996</v>
      </c>
      <c r="N1085">
        <v>3</v>
      </c>
      <c r="O1085">
        <v>6435</v>
      </c>
      <c r="P1085" t="s">
        <v>2176</v>
      </c>
      <c r="Q1085">
        <v>11</v>
      </c>
      <c r="R1085">
        <v>12</v>
      </c>
      <c r="S1085">
        <v>13</v>
      </c>
      <c r="T1085">
        <v>405</v>
      </c>
      <c r="U1085" t="s">
        <v>2164</v>
      </c>
      <c r="W1085" t="s">
        <v>2208</v>
      </c>
      <c r="X1085" t="s">
        <v>2210</v>
      </c>
      <c r="Y1085" t="s">
        <v>2212</v>
      </c>
      <c r="Z1085" s="1">
        <v>45603</v>
      </c>
      <c r="AA1085" s="1">
        <v>45621</v>
      </c>
      <c r="AB1085" t="s">
        <v>2214</v>
      </c>
      <c r="AC1085" t="s">
        <v>2209</v>
      </c>
      <c r="AD1085" t="s">
        <v>2216</v>
      </c>
      <c r="AE1085" t="s">
        <v>2164</v>
      </c>
      <c r="AG1085" t="s">
        <v>2220</v>
      </c>
      <c r="AH1085">
        <v>36</v>
      </c>
      <c r="AI1085">
        <v>54</v>
      </c>
      <c r="AJ1085">
        <v>18</v>
      </c>
      <c r="AK1085">
        <v>10</v>
      </c>
      <c r="AL1085" t="s">
        <v>2230</v>
      </c>
      <c r="AM1085">
        <v>1</v>
      </c>
      <c r="AN1085" t="s">
        <v>2176</v>
      </c>
      <c r="AO1085" t="s">
        <v>2176</v>
      </c>
      <c r="AP1085" t="s">
        <v>2176</v>
      </c>
      <c r="AQ1085">
        <v>27.06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4.5</v>
      </c>
      <c r="AY1085">
        <v>4.5</v>
      </c>
      <c r="AZ1085">
        <v>0</v>
      </c>
      <c r="BA1085">
        <v>0</v>
      </c>
      <c r="BB1085">
        <v>27</v>
      </c>
      <c r="BC1085">
        <v>27</v>
      </c>
      <c r="BD1085">
        <v>23.56</v>
      </c>
      <c r="BE1085">
        <v>116</v>
      </c>
      <c r="BF1085">
        <v>87.3</v>
      </c>
      <c r="BG1085">
        <v>27</v>
      </c>
      <c r="BH1085">
        <v>27</v>
      </c>
      <c r="BI1085">
        <v>23.56</v>
      </c>
      <c r="BJ1085">
        <v>116</v>
      </c>
      <c r="BK1085">
        <v>87.3</v>
      </c>
      <c r="BL1085">
        <v>116</v>
      </c>
      <c r="BM1085">
        <v>4.6628999999999996</v>
      </c>
    </row>
    <row r="1086" spans="1:65" x14ac:dyDescent="0.25">
      <c r="A1086" t="s">
        <v>1149</v>
      </c>
      <c r="B1086" t="s">
        <v>2122</v>
      </c>
      <c r="C1086" t="s">
        <v>2160</v>
      </c>
      <c r="D1086" s="1">
        <v>45510</v>
      </c>
      <c r="E1086" s="1">
        <v>45539</v>
      </c>
      <c r="F1086" s="1">
        <v>45622</v>
      </c>
      <c r="G1086" t="s">
        <v>2162</v>
      </c>
      <c r="I1086" t="s">
        <v>2176</v>
      </c>
      <c r="J1086">
        <v>14945</v>
      </c>
      <c r="K1086">
        <v>448</v>
      </c>
      <c r="L1086">
        <v>4.4000000000000004</v>
      </c>
      <c r="M1086">
        <v>5.0999999999999996</v>
      </c>
      <c r="N1086">
        <v>3</v>
      </c>
      <c r="O1086">
        <v>3065</v>
      </c>
      <c r="P1086" t="s">
        <v>2176</v>
      </c>
      <c r="Q1086">
        <v>10</v>
      </c>
      <c r="R1086">
        <v>14</v>
      </c>
      <c r="S1086">
        <v>16</v>
      </c>
      <c r="T1086">
        <v>373</v>
      </c>
      <c r="U1086" t="s">
        <v>2162</v>
      </c>
      <c r="W1086" t="s">
        <v>2208</v>
      </c>
      <c r="X1086" t="s">
        <v>2210</v>
      </c>
      <c r="Y1086" t="s">
        <v>2212</v>
      </c>
      <c r="Z1086" s="1">
        <v>45579</v>
      </c>
      <c r="AA1086" s="1">
        <v>45596</v>
      </c>
      <c r="AB1086" t="s">
        <v>2214</v>
      </c>
      <c r="AC1086" t="s">
        <v>2209</v>
      </c>
      <c r="AD1086" t="s">
        <v>2216</v>
      </c>
      <c r="AE1086" t="s">
        <v>2162</v>
      </c>
      <c r="AG1086" t="s">
        <v>2220</v>
      </c>
      <c r="AH1086">
        <v>40</v>
      </c>
      <c r="AI1086">
        <v>57</v>
      </c>
      <c r="AJ1086">
        <v>17</v>
      </c>
      <c r="AK1086">
        <v>9</v>
      </c>
      <c r="AL1086" t="s">
        <v>2234</v>
      </c>
      <c r="AM1086">
        <v>0</v>
      </c>
      <c r="AN1086" t="s">
        <v>2176</v>
      </c>
      <c r="AO1086" t="s">
        <v>2176</v>
      </c>
      <c r="AP1086" t="s">
        <v>2176</v>
      </c>
      <c r="AQ1086">
        <v>22.44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4.2</v>
      </c>
      <c r="AY1086">
        <v>4.2</v>
      </c>
      <c r="AZ1086">
        <v>1</v>
      </c>
      <c r="BA1086">
        <v>1</v>
      </c>
      <c r="BB1086">
        <v>30</v>
      </c>
      <c r="BC1086">
        <v>26</v>
      </c>
      <c r="BD1086">
        <v>26.54</v>
      </c>
      <c r="BE1086">
        <v>129</v>
      </c>
      <c r="BF1086">
        <v>88.5</v>
      </c>
      <c r="BG1086">
        <v>30</v>
      </c>
      <c r="BH1086">
        <v>26</v>
      </c>
      <c r="BI1086">
        <v>26.54</v>
      </c>
      <c r="BJ1086">
        <v>129</v>
      </c>
      <c r="BK1086">
        <v>88.5</v>
      </c>
      <c r="BL1086">
        <v>129</v>
      </c>
      <c r="BM1086">
        <v>4.4545000000000003</v>
      </c>
    </row>
    <row r="1087" spans="1:65" x14ac:dyDescent="0.25">
      <c r="A1087" t="s">
        <v>1150</v>
      </c>
      <c r="B1087" t="s">
        <v>2123</v>
      </c>
      <c r="C1087" t="s">
        <v>2159</v>
      </c>
      <c r="D1087" s="1">
        <v>45324</v>
      </c>
      <c r="E1087" s="1">
        <v>45363</v>
      </c>
      <c r="F1087" s="1">
        <v>45460</v>
      </c>
      <c r="G1087" t="s">
        <v>2162</v>
      </c>
      <c r="I1087" t="s">
        <v>2176</v>
      </c>
      <c r="J1087">
        <v>14581</v>
      </c>
      <c r="K1087">
        <v>437</v>
      </c>
      <c r="L1087">
        <v>6.2</v>
      </c>
      <c r="M1087">
        <v>5.9</v>
      </c>
      <c r="N1087">
        <v>1</v>
      </c>
      <c r="O1087">
        <v>5508</v>
      </c>
      <c r="P1087" t="s">
        <v>2176</v>
      </c>
      <c r="Q1087">
        <v>10</v>
      </c>
      <c r="R1087">
        <v>14</v>
      </c>
      <c r="S1087">
        <v>20</v>
      </c>
      <c r="T1087">
        <v>331</v>
      </c>
      <c r="U1087" t="s">
        <v>2162</v>
      </c>
      <c r="W1087" t="s">
        <v>2208</v>
      </c>
      <c r="X1087" t="s">
        <v>2210</v>
      </c>
      <c r="Y1087" t="s">
        <v>2212</v>
      </c>
      <c r="Z1087" s="1">
        <v>45407</v>
      </c>
      <c r="AA1087" s="1">
        <v>45423</v>
      </c>
      <c r="AB1087" t="s">
        <v>2214</v>
      </c>
      <c r="AC1087" t="s">
        <v>2209</v>
      </c>
      <c r="AD1087" t="s">
        <v>2216</v>
      </c>
      <c r="AE1087" t="s">
        <v>2162</v>
      </c>
      <c r="AG1087" t="s">
        <v>2220</v>
      </c>
      <c r="AH1087">
        <v>44</v>
      </c>
      <c r="AI1087">
        <v>60</v>
      </c>
      <c r="AJ1087">
        <v>16</v>
      </c>
      <c r="AK1087">
        <v>3</v>
      </c>
      <c r="AL1087" t="s">
        <v>2227</v>
      </c>
      <c r="AM1087">
        <v>0</v>
      </c>
      <c r="AN1087" t="s">
        <v>2177</v>
      </c>
      <c r="AO1087" t="s">
        <v>2176</v>
      </c>
      <c r="AP1087" t="s">
        <v>2176</v>
      </c>
      <c r="AQ1087">
        <v>36.580000000000013</v>
      </c>
      <c r="AR1087">
        <v>1</v>
      </c>
      <c r="AS1087">
        <v>2</v>
      </c>
      <c r="AT1087">
        <v>1</v>
      </c>
      <c r="AU1087">
        <v>1</v>
      </c>
      <c r="AV1087">
        <v>1.333333333333333</v>
      </c>
      <c r="AW1087">
        <v>4.2</v>
      </c>
      <c r="AY1087">
        <v>4.2</v>
      </c>
      <c r="AZ1087">
        <v>0</v>
      </c>
      <c r="BA1087">
        <v>1</v>
      </c>
      <c r="BB1087">
        <v>31</v>
      </c>
      <c r="BC1087">
        <v>26</v>
      </c>
      <c r="BD1087">
        <v>27.27</v>
      </c>
      <c r="BE1087">
        <v>130</v>
      </c>
      <c r="BF1087">
        <v>88</v>
      </c>
      <c r="BG1087">
        <v>31</v>
      </c>
      <c r="BH1087">
        <v>26</v>
      </c>
      <c r="BI1087">
        <v>27.27</v>
      </c>
      <c r="BJ1087">
        <v>130</v>
      </c>
      <c r="BK1087">
        <v>88</v>
      </c>
      <c r="BL1087">
        <v>130</v>
      </c>
      <c r="BM1087">
        <v>4.3125999999999998</v>
      </c>
    </row>
    <row r="1088" spans="1:65" x14ac:dyDescent="0.25">
      <c r="A1088" t="s">
        <v>1151</v>
      </c>
      <c r="B1088" t="s">
        <v>1730</v>
      </c>
      <c r="C1088" t="s">
        <v>2160</v>
      </c>
      <c r="D1088" s="1">
        <v>45535</v>
      </c>
      <c r="E1088" s="1">
        <v>45569</v>
      </c>
      <c r="F1088" s="1">
        <v>45639</v>
      </c>
      <c r="G1088" t="s">
        <v>2162</v>
      </c>
      <c r="I1088" t="s">
        <v>2176</v>
      </c>
      <c r="J1088">
        <v>7770</v>
      </c>
      <c r="K1088">
        <v>233</v>
      </c>
      <c r="L1088">
        <v>1.6</v>
      </c>
      <c r="M1088">
        <v>6.4</v>
      </c>
      <c r="N1088">
        <v>2</v>
      </c>
      <c r="O1088">
        <v>1738</v>
      </c>
      <c r="P1088" t="s">
        <v>2176</v>
      </c>
      <c r="Q1088">
        <v>4</v>
      </c>
      <c r="R1088">
        <v>4</v>
      </c>
      <c r="S1088">
        <v>9</v>
      </c>
      <c r="T1088">
        <v>457</v>
      </c>
      <c r="U1088" t="s">
        <v>2162</v>
      </c>
      <c r="W1088" t="s">
        <v>2208</v>
      </c>
      <c r="X1088" t="s">
        <v>2210</v>
      </c>
      <c r="Y1088" t="s">
        <v>2212</v>
      </c>
      <c r="Z1088" s="1">
        <v>45586</v>
      </c>
      <c r="AA1088" s="1">
        <v>45599</v>
      </c>
      <c r="AB1088" t="s">
        <v>2214</v>
      </c>
      <c r="AC1088" t="s">
        <v>2209</v>
      </c>
      <c r="AD1088" t="s">
        <v>2216</v>
      </c>
      <c r="AE1088" t="s">
        <v>2162</v>
      </c>
      <c r="AG1088" t="s">
        <v>2220</v>
      </c>
      <c r="AH1088">
        <v>17</v>
      </c>
      <c r="AI1088">
        <v>30</v>
      </c>
      <c r="AJ1088">
        <v>13</v>
      </c>
      <c r="AK1088">
        <v>10</v>
      </c>
      <c r="AL1088" t="s">
        <v>2230</v>
      </c>
      <c r="AM1088">
        <v>1</v>
      </c>
      <c r="AN1088" t="s">
        <v>2176</v>
      </c>
      <c r="AO1088" t="s">
        <v>2176</v>
      </c>
      <c r="AP1088" t="s">
        <v>2176</v>
      </c>
      <c r="AQ1088">
        <v>10.24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4.2</v>
      </c>
      <c r="AY1088">
        <v>4.2</v>
      </c>
      <c r="AZ1088">
        <v>1</v>
      </c>
      <c r="BA1088">
        <v>1</v>
      </c>
      <c r="BB1088">
        <v>25</v>
      </c>
      <c r="BC1088">
        <v>27</v>
      </c>
      <c r="BD1088">
        <v>21.89</v>
      </c>
      <c r="BE1088">
        <v>108</v>
      </c>
      <c r="BF1088">
        <v>87.6</v>
      </c>
      <c r="BG1088">
        <v>25</v>
      </c>
      <c r="BH1088">
        <v>27</v>
      </c>
      <c r="BI1088">
        <v>21.89</v>
      </c>
      <c r="BJ1088">
        <v>108</v>
      </c>
      <c r="BK1088">
        <v>87.6</v>
      </c>
      <c r="BL1088">
        <v>108</v>
      </c>
      <c r="BM1088">
        <v>2.6637</v>
      </c>
    </row>
    <row r="1089" spans="1:65" x14ac:dyDescent="0.25">
      <c r="A1089" t="s">
        <v>1152</v>
      </c>
      <c r="B1089" t="s">
        <v>2124</v>
      </c>
      <c r="C1089" t="s">
        <v>2160</v>
      </c>
      <c r="D1089" s="1">
        <v>45522</v>
      </c>
      <c r="E1089" s="1">
        <v>45545</v>
      </c>
      <c r="F1089" s="1">
        <v>45620</v>
      </c>
      <c r="G1089" t="s">
        <v>2164</v>
      </c>
      <c r="I1089" t="s">
        <v>2176</v>
      </c>
      <c r="J1089">
        <v>13581</v>
      </c>
      <c r="K1089">
        <v>407</v>
      </c>
      <c r="L1089">
        <v>1.7</v>
      </c>
      <c r="M1089">
        <v>3.7</v>
      </c>
      <c r="N1089">
        <v>3</v>
      </c>
      <c r="O1089">
        <v>6117</v>
      </c>
      <c r="P1089" t="s">
        <v>2176</v>
      </c>
      <c r="Q1089">
        <v>7</v>
      </c>
      <c r="R1089">
        <v>8</v>
      </c>
      <c r="S1089">
        <v>12</v>
      </c>
      <c r="T1089">
        <v>503</v>
      </c>
      <c r="U1089" t="s">
        <v>2164</v>
      </c>
      <c r="W1089" t="s">
        <v>2208</v>
      </c>
      <c r="X1089" t="s">
        <v>2210</v>
      </c>
      <c r="Y1089" t="s">
        <v>2212</v>
      </c>
      <c r="Z1089" s="1">
        <v>45572</v>
      </c>
      <c r="AA1089" s="1">
        <v>45589</v>
      </c>
      <c r="AB1089" t="s">
        <v>2214</v>
      </c>
      <c r="AC1089" t="s">
        <v>2209</v>
      </c>
      <c r="AD1089" t="s">
        <v>2216</v>
      </c>
      <c r="AE1089" t="s">
        <v>2164</v>
      </c>
      <c r="AG1089" t="s">
        <v>2220</v>
      </c>
      <c r="AH1089">
        <v>27</v>
      </c>
      <c r="AI1089">
        <v>44</v>
      </c>
      <c r="AJ1089">
        <v>17</v>
      </c>
      <c r="AK1089">
        <v>9</v>
      </c>
      <c r="AL1089" t="s">
        <v>2234</v>
      </c>
      <c r="AM1089">
        <v>0</v>
      </c>
      <c r="AN1089" t="s">
        <v>2176</v>
      </c>
      <c r="AO1089" t="s">
        <v>2176</v>
      </c>
      <c r="AP1089" t="s">
        <v>2176</v>
      </c>
      <c r="AQ1089">
        <v>6.29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4.5</v>
      </c>
      <c r="AY1089">
        <v>4.5</v>
      </c>
      <c r="AZ1089">
        <v>1</v>
      </c>
      <c r="BA1089">
        <v>1</v>
      </c>
      <c r="BB1089">
        <v>34</v>
      </c>
      <c r="BC1089">
        <v>26</v>
      </c>
      <c r="BD1089">
        <v>29.81</v>
      </c>
      <c r="BE1089">
        <v>147</v>
      </c>
      <c r="BF1089">
        <v>87.7</v>
      </c>
      <c r="BG1089">
        <v>34</v>
      </c>
      <c r="BH1089">
        <v>26</v>
      </c>
      <c r="BI1089">
        <v>29.81</v>
      </c>
      <c r="BJ1089">
        <v>147</v>
      </c>
      <c r="BK1089">
        <v>87.7</v>
      </c>
      <c r="BL1089">
        <v>147</v>
      </c>
      <c r="BM1089">
        <v>3.5524</v>
      </c>
    </row>
    <row r="1090" spans="1:65" x14ac:dyDescent="0.25">
      <c r="A1090" t="s">
        <v>1153</v>
      </c>
      <c r="B1090" t="s">
        <v>2125</v>
      </c>
      <c r="C1090" t="s">
        <v>2160</v>
      </c>
      <c r="D1090" s="1">
        <v>45309</v>
      </c>
      <c r="E1090" s="1">
        <v>45363</v>
      </c>
      <c r="F1090" s="1">
        <v>45409</v>
      </c>
      <c r="G1090" t="s">
        <v>2162</v>
      </c>
      <c r="I1090" t="s">
        <v>2176</v>
      </c>
      <c r="J1090">
        <v>6250</v>
      </c>
      <c r="K1090">
        <v>187</v>
      </c>
      <c r="L1090">
        <v>3.7</v>
      </c>
      <c r="M1090">
        <v>5.0999999999999996</v>
      </c>
      <c r="N1090">
        <v>1</v>
      </c>
      <c r="O1090">
        <v>1484</v>
      </c>
      <c r="P1090" t="s">
        <v>2176</v>
      </c>
      <c r="Q1090">
        <v>3</v>
      </c>
      <c r="R1090">
        <v>4</v>
      </c>
      <c r="S1090">
        <v>7</v>
      </c>
      <c r="T1090">
        <v>446</v>
      </c>
      <c r="U1090" t="s">
        <v>2162</v>
      </c>
      <c r="W1090" t="s">
        <v>2208</v>
      </c>
      <c r="X1090" t="s">
        <v>2210</v>
      </c>
      <c r="Y1090" t="s">
        <v>2212</v>
      </c>
      <c r="Z1090" s="1">
        <v>45377</v>
      </c>
      <c r="AA1090" s="1">
        <v>45392</v>
      </c>
      <c r="AB1090" t="s">
        <v>2214</v>
      </c>
      <c r="AC1090" t="s">
        <v>2209</v>
      </c>
      <c r="AD1090" t="s">
        <v>2216</v>
      </c>
      <c r="AE1090" t="s">
        <v>2162</v>
      </c>
      <c r="AG1090" t="s">
        <v>2220</v>
      </c>
      <c r="AH1090">
        <v>14</v>
      </c>
      <c r="AI1090">
        <v>29</v>
      </c>
      <c r="AJ1090">
        <v>15</v>
      </c>
      <c r="AK1090">
        <v>3</v>
      </c>
      <c r="AL1090" t="s">
        <v>2227</v>
      </c>
      <c r="AM1090">
        <v>0</v>
      </c>
      <c r="AN1090" t="s">
        <v>2176</v>
      </c>
      <c r="AO1090" t="s">
        <v>2176</v>
      </c>
      <c r="AP1090" t="s">
        <v>2176</v>
      </c>
      <c r="AQ1090">
        <v>18.87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4.2</v>
      </c>
      <c r="AY1090">
        <v>4.2</v>
      </c>
      <c r="AZ1090">
        <v>1</v>
      </c>
      <c r="BA1090">
        <v>1</v>
      </c>
      <c r="BB1090">
        <v>31</v>
      </c>
      <c r="BC1090">
        <v>26</v>
      </c>
      <c r="BD1090">
        <v>27.27</v>
      </c>
      <c r="BE1090">
        <v>130</v>
      </c>
      <c r="BF1090">
        <v>88</v>
      </c>
      <c r="BG1090">
        <v>31</v>
      </c>
      <c r="BH1090">
        <v>26</v>
      </c>
      <c r="BI1090">
        <v>27.27</v>
      </c>
      <c r="BJ1090">
        <v>130</v>
      </c>
      <c r="BK1090">
        <v>88</v>
      </c>
      <c r="BL1090">
        <v>130</v>
      </c>
      <c r="BM1090">
        <v>1.8486</v>
      </c>
    </row>
    <row r="1091" spans="1:65" x14ac:dyDescent="0.25">
      <c r="A1091" t="s">
        <v>1154</v>
      </c>
      <c r="B1091" t="s">
        <v>2126</v>
      </c>
      <c r="C1091" t="s">
        <v>2157</v>
      </c>
      <c r="D1091" s="1">
        <v>45381</v>
      </c>
      <c r="E1091" s="1">
        <v>45431</v>
      </c>
      <c r="F1091" s="1">
        <v>45529</v>
      </c>
      <c r="G1091" t="s">
        <v>2164</v>
      </c>
      <c r="I1091" t="s">
        <v>2174</v>
      </c>
      <c r="J1091">
        <v>15107</v>
      </c>
      <c r="K1091">
        <v>453</v>
      </c>
      <c r="L1091">
        <v>3.5</v>
      </c>
      <c r="M1091">
        <v>6.2</v>
      </c>
      <c r="N1091">
        <v>1</v>
      </c>
      <c r="O1091">
        <v>2670</v>
      </c>
      <c r="P1091" t="s">
        <v>2176</v>
      </c>
      <c r="Q1091">
        <v>10</v>
      </c>
      <c r="R1091">
        <v>13</v>
      </c>
      <c r="S1091">
        <v>20</v>
      </c>
      <c r="T1091">
        <v>351</v>
      </c>
      <c r="U1091" t="s">
        <v>2164</v>
      </c>
      <c r="W1091" t="s">
        <v>2208</v>
      </c>
      <c r="X1091" t="s">
        <v>2210</v>
      </c>
      <c r="Y1091" t="s">
        <v>2212</v>
      </c>
      <c r="Z1091" s="1">
        <v>45474</v>
      </c>
      <c r="AA1091" s="1">
        <v>45487</v>
      </c>
      <c r="AB1091" t="s">
        <v>2214</v>
      </c>
      <c r="AC1091" t="s">
        <v>2209</v>
      </c>
      <c r="AD1091" t="s">
        <v>2216</v>
      </c>
      <c r="AE1091" t="s">
        <v>2164</v>
      </c>
      <c r="AG1091" t="s">
        <v>2220</v>
      </c>
      <c r="AH1091">
        <v>43</v>
      </c>
      <c r="AI1091">
        <v>56</v>
      </c>
      <c r="AJ1091">
        <v>13</v>
      </c>
      <c r="AK1091">
        <v>5</v>
      </c>
      <c r="AL1091" t="s">
        <v>2224</v>
      </c>
      <c r="AM1091">
        <v>0</v>
      </c>
      <c r="AN1091" t="s">
        <v>2176</v>
      </c>
      <c r="AO1091" t="s">
        <v>2176</v>
      </c>
      <c r="AP1091" t="s">
        <v>2176</v>
      </c>
      <c r="AQ1091">
        <v>21.7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4.5</v>
      </c>
      <c r="AY1091">
        <v>4.5</v>
      </c>
      <c r="AZ1091">
        <v>3</v>
      </c>
      <c r="BA1091">
        <v>0</v>
      </c>
      <c r="BB1091">
        <v>35</v>
      </c>
      <c r="BC1091">
        <v>27</v>
      </c>
      <c r="BD1091">
        <v>30.96</v>
      </c>
      <c r="BE1091">
        <v>158</v>
      </c>
      <c r="BF1091">
        <v>88.5</v>
      </c>
      <c r="BG1091">
        <v>35</v>
      </c>
      <c r="BH1091">
        <v>27</v>
      </c>
      <c r="BI1091">
        <v>30.96</v>
      </c>
      <c r="BJ1091">
        <v>158</v>
      </c>
      <c r="BK1091">
        <v>88.5</v>
      </c>
      <c r="BL1091">
        <v>158</v>
      </c>
      <c r="BM1091">
        <v>3.5404</v>
      </c>
    </row>
    <row r="1092" spans="1:65" x14ac:dyDescent="0.25">
      <c r="A1092" t="s">
        <v>1155</v>
      </c>
      <c r="B1092" t="s">
        <v>2127</v>
      </c>
      <c r="C1092" t="s">
        <v>2158</v>
      </c>
      <c r="D1092" s="1">
        <v>45479</v>
      </c>
      <c r="E1092" s="1">
        <v>45512</v>
      </c>
      <c r="F1092" s="1">
        <v>45591</v>
      </c>
      <c r="G1092" t="s">
        <v>2162</v>
      </c>
      <c r="I1092" t="s">
        <v>2176</v>
      </c>
      <c r="J1092">
        <v>9747</v>
      </c>
      <c r="K1092">
        <v>292</v>
      </c>
      <c r="L1092">
        <v>4.5999999999999996</v>
      </c>
      <c r="M1092">
        <v>3.9</v>
      </c>
      <c r="N1092">
        <v>3</v>
      </c>
      <c r="O1092">
        <v>4955</v>
      </c>
      <c r="P1092" t="s">
        <v>2176</v>
      </c>
      <c r="Q1092">
        <v>6</v>
      </c>
      <c r="R1092">
        <v>7</v>
      </c>
      <c r="S1092">
        <v>8</v>
      </c>
      <c r="T1092">
        <v>464</v>
      </c>
      <c r="U1092" t="s">
        <v>2162</v>
      </c>
      <c r="W1092" t="s">
        <v>2208</v>
      </c>
      <c r="X1092" t="s">
        <v>2210</v>
      </c>
      <c r="Y1092" t="s">
        <v>2212</v>
      </c>
      <c r="Z1092" s="1">
        <v>45533</v>
      </c>
      <c r="AA1092" s="1">
        <v>45551</v>
      </c>
      <c r="AB1092" t="s">
        <v>2214</v>
      </c>
      <c r="AC1092" t="s">
        <v>2209</v>
      </c>
      <c r="AD1092" t="s">
        <v>2216</v>
      </c>
      <c r="AE1092" t="s">
        <v>2162</v>
      </c>
      <c r="AG1092" t="s">
        <v>2220</v>
      </c>
      <c r="AH1092">
        <v>21</v>
      </c>
      <c r="AI1092">
        <v>39</v>
      </c>
      <c r="AJ1092">
        <v>18</v>
      </c>
      <c r="AK1092">
        <v>8</v>
      </c>
      <c r="AL1092" t="s">
        <v>2232</v>
      </c>
      <c r="AM1092">
        <v>0</v>
      </c>
      <c r="AN1092" t="s">
        <v>2176</v>
      </c>
      <c r="AO1092" t="s">
        <v>2176</v>
      </c>
      <c r="AP1092" t="s">
        <v>2176</v>
      </c>
      <c r="AQ1092">
        <v>17.940000000000001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4.2</v>
      </c>
      <c r="AY1092">
        <v>4.2</v>
      </c>
      <c r="AZ1092">
        <v>2</v>
      </c>
      <c r="BA1092">
        <v>1</v>
      </c>
      <c r="BB1092">
        <v>29</v>
      </c>
      <c r="BC1092">
        <v>26</v>
      </c>
      <c r="BD1092">
        <v>25.54</v>
      </c>
      <c r="BE1092">
        <v>124</v>
      </c>
      <c r="BF1092">
        <v>88.1</v>
      </c>
      <c r="BG1092">
        <v>29</v>
      </c>
      <c r="BH1092">
        <v>26</v>
      </c>
      <c r="BI1092">
        <v>25.54</v>
      </c>
      <c r="BJ1092">
        <v>124</v>
      </c>
      <c r="BK1092">
        <v>88.1</v>
      </c>
      <c r="BL1092">
        <v>124</v>
      </c>
      <c r="BM1092">
        <v>3.0223</v>
      </c>
    </row>
    <row r="1093" spans="1:65" x14ac:dyDescent="0.25">
      <c r="A1093" t="s">
        <v>1156</v>
      </c>
      <c r="B1093" t="s">
        <v>2128</v>
      </c>
      <c r="C1093" t="s">
        <v>2158</v>
      </c>
      <c r="D1093" s="1">
        <v>45295</v>
      </c>
      <c r="E1093" s="1">
        <v>45330</v>
      </c>
      <c r="F1093" s="1">
        <v>45415</v>
      </c>
      <c r="G1093" t="s">
        <v>2164</v>
      </c>
      <c r="I1093" t="s">
        <v>2176</v>
      </c>
      <c r="J1093">
        <v>14244</v>
      </c>
      <c r="K1093">
        <v>427</v>
      </c>
      <c r="L1093">
        <v>1.2</v>
      </c>
      <c r="M1093">
        <v>1.8</v>
      </c>
      <c r="N1093">
        <v>1</v>
      </c>
      <c r="O1093">
        <v>6036</v>
      </c>
      <c r="P1093" t="s">
        <v>2176</v>
      </c>
      <c r="Q1093">
        <v>13</v>
      </c>
      <c r="R1093">
        <v>17</v>
      </c>
      <c r="S1093">
        <v>17</v>
      </c>
      <c r="T1093">
        <v>303</v>
      </c>
      <c r="U1093" t="s">
        <v>2164</v>
      </c>
      <c r="W1093" t="s">
        <v>2208</v>
      </c>
      <c r="X1093" t="s">
        <v>2210</v>
      </c>
      <c r="Y1093" t="s">
        <v>2212</v>
      </c>
      <c r="Z1093" s="1">
        <v>45377</v>
      </c>
      <c r="AA1093" s="1">
        <v>45390</v>
      </c>
      <c r="AB1093" t="s">
        <v>2214</v>
      </c>
      <c r="AC1093" t="s">
        <v>2209</v>
      </c>
      <c r="AD1093" t="s">
        <v>2216</v>
      </c>
      <c r="AE1093" t="s">
        <v>2164</v>
      </c>
      <c r="AG1093" t="s">
        <v>2220</v>
      </c>
      <c r="AH1093">
        <v>47</v>
      </c>
      <c r="AI1093">
        <v>60</v>
      </c>
      <c r="AJ1093">
        <v>13</v>
      </c>
      <c r="AK1093">
        <v>2</v>
      </c>
      <c r="AL1093" t="s">
        <v>2228</v>
      </c>
      <c r="AM1093">
        <v>0</v>
      </c>
      <c r="AN1093" t="s">
        <v>2176</v>
      </c>
      <c r="AO1093" t="s">
        <v>2176</v>
      </c>
      <c r="AP1093" t="s">
        <v>2176</v>
      </c>
      <c r="AQ1093">
        <v>2.16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4.5</v>
      </c>
      <c r="AY1093">
        <v>4.5</v>
      </c>
      <c r="AZ1093">
        <v>2</v>
      </c>
      <c r="BA1093">
        <v>1</v>
      </c>
      <c r="BB1093">
        <v>27</v>
      </c>
      <c r="BC1093">
        <v>24</v>
      </c>
      <c r="BD1093">
        <v>24.04</v>
      </c>
      <c r="BE1093">
        <v>106</v>
      </c>
      <c r="BF1093">
        <v>89</v>
      </c>
      <c r="BG1093">
        <v>27</v>
      </c>
      <c r="BH1093">
        <v>24</v>
      </c>
      <c r="BI1093">
        <v>24.04</v>
      </c>
      <c r="BJ1093">
        <v>106</v>
      </c>
      <c r="BK1093">
        <v>89</v>
      </c>
      <c r="BL1093">
        <v>106</v>
      </c>
      <c r="BM1093">
        <v>5.5968999999999998</v>
      </c>
    </row>
    <row r="1094" spans="1:65" x14ac:dyDescent="0.25">
      <c r="A1094" t="s">
        <v>1157</v>
      </c>
      <c r="B1094" t="s">
        <v>2129</v>
      </c>
      <c r="C1094" t="s">
        <v>2158</v>
      </c>
      <c r="D1094" s="1">
        <v>45513</v>
      </c>
      <c r="E1094" s="1">
        <v>45537</v>
      </c>
      <c r="F1094" s="1">
        <v>45588</v>
      </c>
      <c r="G1094" t="s">
        <v>2164</v>
      </c>
      <c r="I1094" t="s">
        <v>2174</v>
      </c>
      <c r="J1094">
        <v>7693</v>
      </c>
      <c r="K1094">
        <v>230</v>
      </c>
      <c r="L1094">
        <v>6.4</v>
      </c>
      <c r="M1094">
        <v>3.7</v>
      </c>
      <c r="N1094">
        <v>2</v>
      </c>
      <c r="O1094">
        <v>1675</v>
      </c>
      <c r="P1094" t="s">
        <v>2176</v>
      </c>
      <c r="Q1094">
        <v>5</v>
      </c>
      <c r="R1094">
        <v>7</v>
      </c>
      <c r="S1094">
        <v>7</v>
      </c>
      <c r="T1094">
        <v>404</v>
      </c>
      <c r="U1094" t="s">
        <v>2164</v>
      </c>
      <c r="W1094" t="s">
        <v>2208</v>
      </c>
      <c r="X1094" t="s">
        <v>2210</v>
      </c>
      <c r="Y1094" t="s">
        <v>2212</v>
      </c>
      <c r="Z1094" s="1">
        <v>45556</v>
      </c>
      <c r="AA1094" s="1">
        <v>45572</v>
      </c>
      <c r="AB1094" t="s">
        <v>2214</v>
      </c>
      <c r="AC1094" t="s">
        <v>2209</v>
      </c>
      <c r="AD1094" t="s">
        <v>2216</v>
      </c>
      <c r="AE1094" t="s">
        <v>2164</v>
      </c>
      <c r="AG1094" t="s">
        <v>2220</v>
      </c>
      <c r="AH1094">
        <v>19</v>
      </c>
      <c r="AI1094">
        <v>35</v>
      </c>
      <c r="AJ1094">
        <v>16</v>
      </c>
      <c r="AK1094">
        <v>9</v>
      </c>
      <c r="AL1094" t="s">
        <v>2234</v>
      </c>
      <c r="AM1094">
        <v>0</v>
      </c>
      <c r="AN1094" t="s">
        <v>2176</v>
      </c>
      <c r="AO1094" t="s">
        <v>2176</v>
      </c>
      <c r="AP1094" t="s">
        <v>2176</v>
      </c>
      <c r="AQ1094">
        <v>23.68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4.5</v>
      </c>
      <c r="AY1094">
        <v>4.5</v>
      </c>
      <c r="AZ1094">
        <v>2</v>
      </c>
      <c r="BA1094">
        <v>0</v>
      </c>
      <c r="BB1094">
        <v>34</v>
      </c>
      <c r="BC1094">
        <v>26</v>
      </c>
      <c r="BD1094">
        <v>29.81</v>
      </c>
      <c r="BE1094">
        <v>147</v>
      </c>
      <c r="BF1094">
        <v>87.7</v>
      </c>
      <c r="BG1094">
        <v>34</v>
      </c>
      <c r="BH1094">
        <v>26</v>
      </c>
      <c r="BI1094">
        <v>29.81</v>
      </c>
      <c r="BJ1094">
        <v>147</v>
      </c>
      <c r="BK1094">
        <v>87.7</v>
      </c>
      <c r="BL1094">
        <v>147</v>
      </c>
      <c r="BM1094">
        <v>2.0123000000000002</v>
      </c>
    </row>
    <row r="1095" spans="1:65" x14ac:dyDescent="0.25">
      <c r="A1095" t="s">
        <v>1158</v>
      </c>
      <c r="B1095" t="s">
        <v>2130</v>
      </c>
      <c r="C1095" t="s">
        <v>2159</v>
      </c>
      <c r="D1095" s="1">
        <v>45267</v>
      </c>
      <c r="E1095" s="1">
        <v>45324</v>
      </c>
      <c r="F1095" s="1">
        <v>45401</v>
      </c>
      <c r="G1095" t="s">
        <v>2164</v>
      </c>
      <c r="I1095" t="s">
        <v>2174</v>
      </c>
      <c r="J1095">
        <v>6787</v>
      </c>
      <c r="K1095">
        <v>203</v>
      </c>
      <c r="L1095">
        <v>3.9</v>
      </c>
      <c r="M1095">
        <v>4.0999999999999996</v>
      </c>
      <c r="N1095">
        <v>3</v>
      </c>
      <c r="O1095">
        <v>4076</v>
      </c>
      <c r="P1095" t="s">
        <v>2176</v>
      </c>
      <c r="Q1095">
        <v>4</v>
      </c>
      <c r="R1095">
        <v>5</v>
      </c>
      <c r="S1095">
        <v>10</v>
      </c>
      <c r="T1095">
        <v>357</v>
      </c>
      <c r="U1095" t="s">
        <v>2164</v>
      </c>
      <c r="W1095" t="s">
        <v>2208</v>
      </c>
      <c r="X1095" t="s">
        <v>2210</v>
      </c>
      <c r="Y1095" t="s">
        <v>2212</v>
      </c>
      <c r="Z1095" s="1">
        <v>45343</v>
      </c>
      <c r="AA1095" s="1">
        <v>45359</v>
      </c>
      <c r="AB1095" t="s">
        <v>2214</v>
      </c>
      <c r="AC1095" t="s">
        <v>2209</v>
      </c>
      <c r="AD1095" t="s">
        <v>2216</v>
      </c>
      <c r="AE1095" t="s">
        <v>2164</v>
      </c>
      <c r="AG1095" t="s">
        <v>2220</v>
      </c>
      <c r="AH1095">
        <v>19</v>
      </c>
      <c r="AI1095">
        <v>35</v>
      </c>
      <c r="AJ1095">
        <v>16</v>
      </c>
      <c r="AK1095">
        <v>2</v>
      </c>
      <c r="AL1095" t="s">
        <v>2228</v>
      </c>
      <c r="AM1095">
        <v>0</v>
      </c>
      <c r="AN1095" t="s">
        <v>2176</v>
      </c>
      <c r="AO1095" t="s">
        <v>2176</v>
      </c>
      <c r="AP1095" t="s">
        <v>2176</v>
      </c>
      <c r="AQ1095">
        <v>15.99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4.5</v>
      </c>
      <c r="AY1095">
        <v>4.5</v>
      </c>
      <c r="AZ1095">
        <v>0</v>
      </c>
      <c r="BA1095">
        <v>0</v>
      </c>
      <c r="BB1095">
        <v>27</v>
      </c>
      <c r="BC1095">
        <v>24</v>
      </c>
      <c r="BD1095">
        <v>24.04</v>
      </c>
      <c r="BE1095">
        <v>106</v>
      </c>
      <c r="BF1095">
        <v>89</v>
      </c>
      <c r="BG1095">
        <v>27</v>
      </c>
      <c r="BH1095">
        <v>24</v>
      </c>
      <c r="BI1095">
        <v>24.04</v>
      </c>
      <c r="BJ1095">
        <v>106</v>
      </c>
      <c r="BK1095">
        <v>89</v>
      </c>
      <c r="BL1095">
        <v>106</v>
      </c>
      <c r="BM1095">
        <v>2.6667999999999998</v>
      </c>
    </row>
    <row r="1096" spans="1:65" x14ac:dyDescent="0.25">
      <c r="A1096" t="s">
        <v>1159</v>
      </c>
      <c r="B1096" t="s">
        <v>2131</v>
      </c>
      <c r="C1096" t="s">
        <v>2158</v>
      </c>
      <c r="D1096" s="1">
        <v>45406</v>
      </c>
      <c r="E1096" s="1">
        <v>45450</v>
      </c>
      <c r="F1096" s="1">
        <v>45517</v>
      </c>
      <c r="G1096" t="s">
        <v>2164</v>
      </c>
      <c r="I1096" t="s">
        <v>2176</v>
      </c>
      <c r="J1096">
        <v>12887</v>
      </c>
      <c r="K1096">
        <v>386</v>
      </c>
      <c r="L1096">
        <v>4.8</v>
      </c>
      <c r="M1096">
        <v>6.2</v>
      </c>
      <c r="N1096">
        <v>2</v>
      </c>
      <c r="O1096">
        <v>6371</v>
      </c>
      <c r="P1096" t="s">
        <v>2176</v>
      </c>
      <c r="Q1096">
        <v>7</v>
      </c>
      <c r="R1096">
        <v>9</v>
      </c>
      <c r="S1096">
        <v>14</v>
      </c>
      <c r="T1096">
        <v>429</v>
      </c>
      <c r="U1096" t="s">
        <v>2164</v>
      </c>
      <c r="W1096" t="s">
        <v>2208</v>
      </c>
      <c r="X1096" t="s">
        <v>2210</v>
      </c>
      <c r="Y1096" t="s">
        <v>2212</v>
      </c>
      <c r="Z1096" s="1">
        <v>45480</v>
      </c>
      <c r="AA1096" s="1">
        <v>45499</v>
      </c>
      <c r="AB1096" t="s">
        <v>2214</v>
      </c>
      <c r="AC1096" t="s">
        <v>2209</v>
      </c>
      <c r="AD1096" t="s">
        <v>2216</v>
      </c>
      <c r="AE1096" t="s">
        <v>2164</v>
      </c>
      <c r="AG1096" t="s">
        <v>2220</v>
      </c>
      <c r="AH1096">
        <v>30</v>
      </c>
      <c r="AI1096">
        <v>49</v>
      </c>
      <c r="AJ1096">
        <v>19</v>
      </c>
      <c r="AK1096">
        <v>6</v>
      </c>
      <c r="AL1096" t="s">
        <v>2223</v>
      </c>
      <c r="AM1096">
        <v>0</v>
      </c>
      <c r="AN1096" t="s">
        <v>2176</v>
      </c>
      <c r="AO1096" t="s">
        <v>2176</v>
      </c>
      <c r="AP1096" t="s">
        <v>2176</v>
      </c>
      <c r="AQ1096">
        <v>29.76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4.5</v>
      </c>
      <c r="AY1096">
        <v>4.5</v>
      </c>
      <c r="AZ1096">
        <v>2</v>
      </c>
      <c r="BA1096">
        <v>1</v>
      </c>
      <c r="BB1096">
        <v>33</v>
      </c>
      <c r="BC1096">
        <v>25</v>
      </c>
      <c r="BD1096">
        <v>28.64</v>
      </c>
      <c r="BE1096">
        <v>133</v>
      </c>
      <c r="BF1096">
        <v>86.8</v>
      </c>
      <c r="BG1096">
        <v>33</v>
      </c>
      <c r="BH1096">
        <v>25</v>
      </c>
      <c r="BI1096">
        <v>28.64</v>
      </c>
      <c r="BJ1096">
        <v>133</v>
      </c>
      <c r="BK1096">
        <v>86.8</v>
      </c>
      <c r="BL1096">
        <v>133</v>
      </c>
      <c r="BM1096">
        <v>3.8746</v>
      </c>
    </row>
    <row r="1097" spans="1:65" x14ac:dyDescent="0.25">
      <c r="A1097" t="s">
        <v>1160</v>
      </c>
      <c r="B1097" t="s">
        <v>2132</v>
      </c>
      <c r="C1097" t="s">
        <v>2158</v>
      </c>
      <c r="D1097" s="1">
        <v>45362</v>
      </c>
      <c r="E1097" s="1">
        <v>45417</v>
      </c>
      <c r="F1097" s="1">
        <v>45460</v>
      </c>
      <c r="G1097" t="s">
        <v>2162</v>
      </c>
      <c r="I1097" t="s">
        <v>2176</v>
      </c>
      <c r="J1097">
        <v>6515</v>
      </c>
      <c r="K1097">
        <v>195</v>
      </c>
      <c r="L1097">
        <v>4.3</v>
      </c>
      <c r="M1097">
        <v>5.3</v>
      </c>
      <c r="N1097">
        <v>3</v>
      </c>
      <c r="O1097">
        <v>4508</v>
      </c>
      <c r="P1097" t="s">
        <v>2176</v>
      </c>
      <c r="Q1097">
        <v>4</v>
      </c>
      <c r="R1097">
        <v>4</v>
      </c>
      <c r="S1097">
        <v>8</v>
      </c>
      <c r="T1097">
        <v>407</v>
      </c>
      <c r="U1097" t="s">
        <v>2162</v>
      </c>
      <c r="W1097" t="s">
        <v>2208</v>
      </c>
      <c r="X1097" t="s">
        <v>2210</v>
      </c>
      <c r="Y1097" t="s">
        <v>2212</v>
      </c>
      <c r="Z1097" s="1">
        <v>45433</v>
      </c>
      <c r="AA1097" s="1">
        <v>45449</v>
      </c>
      <c r="AB1097" t="s">
        <v>2214</v>
      </c>
      <c r="AC1097" t="s">
        <v>2209</v>
      </c>
      <c r="AD1097" t="s">
        <v>2216</v>
      </c>
      <c r="AE1097" t="s">
        <v>2162</v>
      </c>
      <c r="AG1097" t="s">
        <v>2220</v>
      </c>
      <c r="AH1097">
        <v>16</v>
      </c>
      <c r="AI1097">
        <v>32</v>
      </c>
      <c r="AJ1097">
        <v>16</v>
      </c>
      <c r="AK1097">
        <v>5</v>
      </c>
      <c r="AL1097" t="s">
        <v>2224</v>
      </c>
      <c r="AM1097">
        <v>0</v>
      </c>
      <c r="AN1097" t="s">
        <v>2176</v>
      </c>
      <c r="AO1097" t="s">
        <v>2176</v>
      </c>
      <c r="AP1097" t="s">
        <v>2176</v>
      </c>
      <c r="AQ1097">
        <v>22.79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4.2</v>
      </c>
      <c r="AY1097">
        <v>4.2</v>
      </c>
      <c r="AZ1097">
        <v>2</v>
      </c>
      <c r="BA1097">
        <v>1</v>
      </c>
      <c r="BB1097">
        <v>24</v>
      </c>
      <c r="BC1097">
        <v>27</v>
      </c>
      <c r="BD1097">
        <v>21.44</v>
      </c>
      <c r="BE1097">
        <v>108</v>
      </c>
      <c r="BF1097">
        <v>89.3</v>
      </c>
      <c r="BG1097">
        <v>24</v>
      </c>
      <c r="BH1097">
        <v>27</v>
      </c>
      <c r="BI1097">
        <v>21.44</v>
      </c>
      <c r="BJ1097">
        <v>108</v>
      </c>
      <c r="BK1097">
        <v>89.3</v>
      </c>
      <c r="BL1097">
        <v>108</v>
      </c>
      <c r="BM1097">
        <v>2.2334999999999998</v>
      </c>
    </row>
    <row r="1098" spans="1:65" x14ac:dyDescent="0.25">
      <c r="A1098" t="s">
        <v>1161</v>
      </c>
      <c r="B1098" t="s">
        <v>2133</v>
      </c>
      <c r="C1098" t="s">
        <v>2157</v>
      </c>
      <c r="D1098" s="1">
        <v>45264</v>
      </c>
      <c r="E1098" s="1">
        <v>45310</v>
      </c>
      <c r="F1098" s="1">
        <v>45376</v>
      </c>
      <c r="G1098" t="s">
        <v>2164</v>
      </c>
      <c r="I1098" t="s">
        <v>2174</v>
      </c>
      <c r="J1098">
        <v>15222</v>
      </c>
      <c r="K1098">
        <v>456</v>
      </c>
      <c r="L1098">
        <v>6.6</v>
      </c>
      <c r="M1098">
        <v>3.9</v>
      </c>
      <c r="N1098">
        <v>1</v>
      </c>
      <c r="O1098">
        <v>3265</v>
      </c>
      <c r="P1098" t="s">
        <v>2176</v>
      </c>
      <c r="Q1098">
        <v>9</v>
      </c>
      <c r="R1098">
        <v>12</v>
      </c>
      <c r="S1098">
        <v>22</v>
      </c>
      <c r="T1098">
        <v>354</v>
      </c>
      <c r="U1098" t="s">
        <v>2164</v>
      </c>
      <c r="W1098" t="s">
        <v>2208</v>
      </c>
      <c r="X1098" t="s">
        <v>2210</v>
      </c>
      <c r="Y1098" t="s">
        <v>2212</v>
      </c>
      <c r="Z1098" s="1">
        <v>45353</v>
      </c>
      <c r="AA1098" s="1">
        <v>45368</v>
      </c>
      <c r="AB1098" t="s">
        <v>2214</v>
      </c>
      <c r="AC1098" t="s">
        <v>2209</v>
      </c>
      <c r="AD1098" t="s">
        <v>2216</v>
      </c>
      <c r="AE1098" t="s">
        <v>2164</v>
      </c>
      <c r="AG1098" t="s">
        <v>2220</v>
      </c>
      <c r="AH1098">
        <v>43</v>
      </c>
      <c r="AI1098">
        <v>58</v>
      </c>
      <c r="AJ1098">
        <v>15</v>
      </c>
      <c r="AK1098">
        <v>1</v>
      </c>
      <c r="AL1098" t="s">
        <v>2233</v>
      </c>
      <c r="AM1098">
        <v>0</v>
      </c>
      <c r="AN1098" t="s">
        <v>2176</v>
      </c>
      <c r="AO1098" t="s">
        <v>2176</v>
      </c>
      <c r="AP1098" t="s">
        <v>2176</v>
      </c>
      <c r="AQ1098">
        <v>25.74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4.5</v>
      </c>
      <c r="AY1098">
        <v>4.5</v>
      </c>
      <c r="AZ1098">
        <v>3</v>
      </c>
      <c r="BA1098">
        <v>0</v>
      </c>
      <c r="BB1098">
        <v>30</v>
      </c>
      <c r="BC1098">
        <v>27</v>
      </c>
      <c r="BD1098">
        <v>25.85</v>
      </c>
      <c r="BE1098">
        <v>132</v>
      </c>
      <c r="BF1098">
        <v>86.2</v>
      </c>
      <c r="BG1098">
        <v>30</v>
      </c>
      <c r="BH1098">
        <v>27</v>
      </c>
      <c r="BI1098">
        <v>25.85</v>
      </c>
      <c r="BJ1098">
        <v>132</v>
      </c>
      <c r="BK1098">
        <v>86.2</v>
      </c>
      <c r="BL1098">
        <v>132</v>
      </c>
      <c r="BM1098">
        <v>4.2698</v>
      </c>
    </row>
    <row r="1099" spans="1:65" x14ac:dyDescent="0.25">
      <c r="A1099" t="s">
        <v>1162</v>
      </c>
      <c r="B1099" t="s">
        <v>2134</v>
      </c>
      <c r="C1099" t="s">
        <v>2157</v>
      </c>
      <c r="D1099" s="1">
        <v>45511</v>
      </c>
      <c r="E1099" s="1">
        <v>45539</v>
      </c>
      <c r="F1099" s="1">
        <v>45587</v>
      </c>
      <c r="G1099" t="s">
        <v>2164</v>
      </c>
      <c r="I1099" t="s">
        <v>2174</v>
      </c>
      <c r="J1099">
        <v>9825</v>
      </c>
      <c r="K1099">
        <v>294</v>
      </c>
      <c r="L1099">
        <v>1.2</v>
      </c>
      <c r="M1099">
        <v>3.8</v>
      </c>
      <c r="N1099">
        <v>1</v>
      </c>
      <c r="O1099">
        <v>2421</v>
      </c>
      <c r="P1099" t="s">
        <v>2176</v>
      </c>
      <c r="Q1099">
        <v>6</v>
      </c>
      <c r="R1099">
        <v>8</v>
      </c>
      <c r="S1099">
        <v>9</v>
      </c>
      <c r="T1099">
        <v>427</v>
      </c>
      <c r="U1099" t="s">
        <v>2164</v>
      </c>
      <c r="W1099" t="s">
        <v>2208</v>
      </c>
      <c r="X1099" t="s">
        <v>2210</v>
      </c>
      <c r="Y1099" t="s">
        <v>2212</v>
      </c>
      <c r="Z1099" s="1">
        <v>45562</v>
      </c>
      <c r="AA1099" s="1">
        <v>45577</v>
      </c>
      <c r="AB1099" t="s">
        <v>2214</v>
      </c>
      <c r="AC1099" t="s">
        <v>2209</v>
      </c>
      <c r="AD1099" t="s">
        <v>2216</v>
      </c>
      <c r="AE1099" t="s">
        <v>2164</v>
      </c>
      <c r="AG1099" t="s">
        <v>2220</v>
      </c>
      <c r="AH1099">
        <v>23</v>
      </c>
      <c r="AI1099">
        <v>38</v>
      </c>
      <c r="AJ1099">
        <v>15</v>
      </c>
      <c r="AK1099">
        <v>9</v>
      </c>
      <c r="AL1099" t="s">
        <v>2234</v>
      </c>
      <c r="AM1099">
        <v>0</v>
      </c>
      <c r="AN1099" t="s">
        <v>2176</v>
      </c>
      <c r="AO1099" t="s">
        <v>2176</v>
      </c>
      <c r="AP1099" t="s">
        <v>2176</v>
      </c>
      <c r="AQ1099">
        <v>4.5599999999999996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4.5</v>
      </c>
      <c r="AY1099">
        <v>4.5</v>
      </c>
      <c r="AZ1099">
        <v>3</v>
      </c>
      <c r="BA1099">
        <v>0</v>
      </c>
      <c r="BB1099">
        <v>34</v>
      </c>
      <c r="BC1099">
        <v>26</v>
      </c>
      <c r="BD1099">
        <v>29.81</v>
      </c>
      <c r="BE1099">
        <v>147</v>
      </c>
      <c r="BF1099">
        <v>87.7</v>
      </c>
      <c r="BG1099">
        <v>34</v>
      </c>
      <c r="BH1099">
        <v>26</v>
      </c>
      <c r="BI1099">
        <v>29.81</v>
      </c>
      <c r="BJ1099">
        <v>147</v>
      </c>
      <c r="BK1099">
        <v>87.7</v>
      </c>
      <c r="BL1099">
        <v>147</v>
      </c>
      <c r="BM1099">
        <v>2.57</v>
      </c>
    </row>
    <row r="1100" spans="1:65" x14ac:dyDescent="0.25">
      <c r="A1100" t="s">
        <v>1163</v>
      </c>
      <c r="B1100" t="s">
        <v>2135</v>
      </c>
      <c r="C1100" t="s">
        <v>2160</v>
      </c>
      <c r="D1100" s="1">
        <v>45301</v>
      </c>
      <c r="E1100" s="1">
        <v>45324</v>
      </c>
      <c r="F1100" s="1">
        <v>45410</v>
      </c>
      <c r="G1100" t="s">
        <v>2162</v>
      </c>
      <c r="I1100" t="s">
        <v>2174</v>
      </c>
      <c r="J1100">
        <v>12248</v>
      </c>
      <c r="K1100">
        <v>367</v>
      </c>
      <c r="L1100">
        <v>1.3</v>
      </c>
      <c r="M1100">
        <v>2</v>
      </c>
      <c r="N1100">
        <v>1</v>
      </c>
      <c r="O1100">
        <v>1591</v>
      </c>
      <c r="P1100" t="s">
        <v>2176</v>
      </c>
      <c r="Q1100">
        <v>10</v>
      </c>
      <c r="R1100">
        <v>12</v>
      </c>
      <c r="S1100">
        <v>16</v>
      </c>
      <c r="T1100">
        <v>322</v>
      </c>
      <c r="U1100" t="s">
        <v>2162</v>
      </c>
      <c r="W1100" t="s">
        <v>2208</v>
      </c>
      <c r="X1100" t="s">
        <v>2210</v>
      </c>
      <c r="Y1100" t="s">
        <v>2212</v>
      </c>
      <c r="Z1100" s="1">
        <v>45362</v>
      </c>
      <c r="AA1100" s="1">
        <v>45380</v>
      </c>
      <c r="AB1100" t="s">
        <v>2214</v>
      </c>
      <c r="AC1100" t="s">
        <v>2209</v>
      </c>
      <c r="AD1100" t="s">
        <v>2216</v>
      </c>
      <c r="AE1100" t="s">
        <v>2162</v>
      </c>
      <c r="AG1100" t="s">
        <v>2220</v>
      </c>
      <c r="AH1100">
        <v>38</v>
      </c>
      <c r="AI1100">
        <v>56</v>
      </c>
      <c r="AJ1100">
        <v>18</v>
      </c>
      <c r="AK1100">
        <v>2</v>
      </c>
      <c r="AL1100" t="s">
        <v>2228</v>
      </c>
      <c r="AM1100">
        <v>0</v>
      </c>
      <c r="AN1100" t="s">
        <v>2176</v>
      </c>
      <c r="AO1100" t="s">
        <v>2176</v>
      </c>
      <c r="AP1100" t="s">
        <v>2176</v>
      </c>
      <c r="AQ1100">
        <v>2.6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4.2</v>
      </c>
      <c r="AY1100">
        <v>4.2</v>
      </c>
      <c r="AZ1100">
        <v>1</v>
      </c>
      <c r="BA1100">
        <v>0</v>
      </c>
      <c r="BB1100">
        <v>34</v>
      </c>
      <c r="BC1100">
        <v>24</v>
      </c>
      <c r="BD1100">
        <v>30.5</v>
      </c>
      <c r="BE1100">
        <v>136</v>
      </c>
      <c r="BF1100">
        <v>89.7</v>
      </c>
      <c r="BG1100">
        <v>34</v>
      </c>
      <c r="BH1100">
        <v>24</v>
      </c>
      <c r="BI1100">
        <v>30.5</v>
      </c>
      <c r="BJ1100">
        <v>136</v>
      </c>
      <c r="BK1100">
        <v>89.7</v>
      </c>
      <c r="BL1100">
        <v>136</v>
      </c>
      <c r="BM1100">
        <v>3.7513000000000001</v>
      </c>
    </row>
    <row r="1101" spans="1:65" x14ac:dyDescent="0.25">
      <c r="A1101" t="s">
        <v>1164</v>
      </c>
      <c r="B1101" t="s">
        <v>2136</v>
      </c>
      <c r="C1101" t="s">
        <v>2160</v>
      </c>
      <c r="D1101" s="1">
        <v>45432</v>
      </c>
      <c r="E1101" s="1">
        <v>45481</v>
      </c>
      <c r="F1101" s="1">
        <v>45556</v>
      </c>
      <c r="G1101" t="s">
        <v>2162</v>
      </c>
      <c r="I1101" t="s">
        <v>2176</v>
      </c>
      <c r="J1101">
        <v>13357</v>
      </c>
      <c r="K1101">
        <v>400</v>
      </c>
      <c r="L1101">
        <v>1.4</v>
      </c>
      <c r="M1101">
        <v>3.9</v>
      </c>
      <c r="N1101">
        <v>2</v>
      </c>
      <c r="O1101">
        <v>3766</v>
      </c>
      <c r="P1101" t="s">
        <v>2176</v>
      </c>
      <c r="Q1101">
        <v>9</v>
      </c>
      <c r="R1101">
        <v>13</v>
      </c>
      <c r="S1101">
        <v>12</v>
      </c>
      <c r="T1101">
        <v>392</v>
      </c>
      <c r="U1101" t="s">
        <v>2162</v>
      </c>
      <c r="W1101" t="s">
        <v>2208</v>
      </c>
      <c r="X1101" t="s">
        <v>2210</v>
      </c>
      <c r="Y1101" t="s">
        <v>2212</v>
      </c>
      <c r="Z1101" s="1">
        <v>45515</v>
      </c>
      <c r="AA1101" s="1">
        <v>45529</v>
      </c>
      <c r="AB1101" t="s">
        <v>2214</v>
      </c>
      <c r="AC1101" t="s">
        <v>2209</v>
      </c>
      <c r="AD1101" t="s">
        <v>2216</v>
      </c>
      <c r="AE1101" t="s">
        <v>2162</v>
      </c>
      <c r="AG1101" t="s">
        <v>2220</v>
      </c>
      <c r="AH1101">
        <v>34</v>
      </c>
      <c r="AI1101">
        <v>48</v>
      </c>
      <c r="AJ1101">
        <v>14</v>
      </c>
      <c r="AK1101">
        <v>7</v>
      </c>
      <c r="AL1101" t="s">
        <v>2226</v>
      </c>
      <c r="AM1101">
        <v>0</v>
      </c>
      <c r="AN1101" t="s">
        <v>2176</v>
      </c>
      <c r="AO1101" t="s">
        <v>2176</v>
      </c>
      <c r="AP1101" t="s">
        <v>2176</v>
      </c>
      <c r="AQ1101">
        <v>5.46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4.2</v>
      </c>
      <c r="AY1101">
        <v>4.2</v>
      </c>
      <c r="AZ1101">
        <v>1</v>
      </c>
      <c r="BA1101">
        <v>1</v>
      </c>
      <c r="BB1101">
        <v>30</v>
      </c>
      <c r="BC1101">
        <v>27</v>
      </c>
      <c r="BD1101">
        <v>26.15</v>
      </c>
      <c r="BE1101">
        <v>133</v>
      </c>
      <c r="BF1101">
        <v>87.2</v>
      </c>
      <c r="BG1101">
        <v>30</v>
      </c>
      <c r="BH1101">
        <v>27</v>
      </c>
      <c r="BI1101">
        <v>26.15</v>
      </c>
      <c r="BJ1101">
        <v>133</v>
      </c>
      <c r="BK1101">
        <v>87.2</v>
      </c>
      <c r="BL1101">
        <v>133</v>
      </c>
      <c r="BM1101">
        <v>3.7185000000000001</v>
      </c>
    </row>
    <row r="1102" spans="1:65" x14ac:dyDescent="0.25">
      <c r="A1102" t="s">
        <v>1165</v>
      </c>
      <c r="B1102" t="s">
        <v>2137</v>
      </c>
      <c r="C1102" t="s">
        <v>2160</v>
      </c>
      <c r="D1102" s="1">
        <v>45376</v>
      </c>
      <c r="E1102" s="1">
        <v>45417</v>
      </c>
      <c r="F1102" s="1">
        <v>45508</v>
      </c>
      <c r="G1102" t="s">
        <v>2162</v>
      </c>
      <c r="I1102" t="s">
        <v>2176</v>
      </c>
      <c r="J1102">
        <v>17938</v>
      </c>
      <c r="K1102">
        <v>538</v>
      </c>
      <c r="L1102">
        <v>2.9</v>
      </c>
      <c r="M1102">
        <v>4.5</v>
      </c>
      <c r="N1102">
        <v>1</v>
      </c>
      <c r="O1102">
        <v>5829</v>
      </c>
      <c r="P1102" t="s">
        <v>2176</v>
      </c>
      <c r="Q1102">
        <v>14</v>
      </c>
      <c r="R1102">
        <v>16</v>
      </c>
      <c r="S1102">
        <v>24</v>
      </c>
      <c r="T1102">
        <v>332</v>
      </c>
      <c r="U1102" t="s">
        <v>2162</v>
      </c>
      <c r="W1102" t="s">
        <v>2208</v>
      </c>
      <c r="X1102" t="s">
        <v>2210</v>
      </c>
      <c r="Y1102" t="s">
        <v>2212</v>
      </c>
      <c r="Z1102" s="1">
        <v>45471</v>
      </c>
      <c r="AA1102" s="1">
        <v>45490</v>
      </c>
      <c r="AB1102" t="s">
        <v>2214</v>
      </c>
      <c r="AC1102" t="s">
        <v>2209</v>
      </c>
      <c r="AD1102" t="s">
        <v>2216</v>
      </c>
      <c r="AE1102" t="s">
        <v>2162</v>
      </c>
      <c r="AG1102" t="s">
        <v>2220</v>
      </c>
      <c r="AH1102">
        <v>54</v>
      </c>
      <c r="AI1102">
        <v>73</v>
      </c>
      <c r="AJ1102">
        <v>19</v>
      </c>
      <c r="AK1102">
        <v>5</v>
      </c>
      <c r="AL1102" t="s">
        <v>2224</v>
      </c>
      <c r="AM1102">
        <v>0</v>
      </c>
      <c r="AN1102" t="s">
        <v>2176</v>
      </c>
      <c r="AO1102" t="s">
        <v>2176</v>
      </c>
      <c r="AP1102" t="s">
        <v>2176</v>
      </c>
      <c r="AQ1102">
        <v>13.05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4.2</v>
      </c>
      <c r="AY1102">
        <v>4.2</v>
      </c>
      <c r="AZ1102">
        <v>1</v>
      </c>
      <c r="BA1102">
        <v>1</v>
      </c>
      <c r="BB1102">
        <v>24</v>
      </c>
      <c r="BC1102">
        <v>27</v>
      </c>
      <c r="BD1102">
        <v>21.44</v>
      </c>
      <c r="BE1102">
        <v>108</v>
      </c>
      <c r="BF1102">
        <v>89.3</v>
      </c>
      <c r="BG1102">
        <v>24</v>
      </c>
      <c r="BH1102">
        <v>27</v>
      </c>
      <c r="BI1102">
        <v>21.44</v>
      </c>
      <c r="BJ1102">
        <v>108</v>
      </c>
      <c r="BK1102">
        <v>89.3</v>
      </c>
      <c r="BL1102">
        <v>108</v>
      </c>
      <c r="BM1102">
        <v>6.1494999999999997</v>
      </c>
    </row>
    <row r="1103" spans="1:65" x14ac:dyDescent="0.25">
      <c r="A1103" t="s">
        <v>1166</v>
      </c>
      <c r="B1103" t="s">
        <v>2138</v>
      </c>
      <c r="C1103" t="s">
        <v>2157</v>
      </c>
      <c r="D1103" s="1">
        <v>45306</v>
      </c>
      <c r="E1103" s="1">
        <v>45363</v>
      </c>
      <c r="F1103" s="1">
        <v>45420</v>
      </c>
      <c r="G1103" t="s">
        <v>2162</v>
      </c>
      <c r="I1103" t="s">
        <v>2176</v>
      </c>
      <c r="J1103">
        <v>10311</v>
      </c>
      <c r="K1103">
        <v>309</v>
      </c>
      <c r="L1103">
        <v>5.6</v>
      </c>
      <c r="M1103">
        <v>6.8</v>
      </c>
      <c r="N1103">
        <v>3</v>
      </c>
      <c r="O1103">
        <v>4183</v>
      </c>
      <c r="P1103" t="s">
        <v>2176</v>
      </c>
      <c r="Q1103">
        <v>8</v>
      </c>
      <c r="R1103">
        <v>10</v>
      </c>
      <c r="S1103">
        <v>13</v>
      </c>
      <c r="T1103">
        <v>332</v>
      </c>
      <c r="U1103" t="s">
        <v>2162</v>
      </c>
      <c r="W1103" t="s">
        <v>2208</v>
      </c>
      <c r="X1103" t="s">
        <v>2210</v>
      </c>
      <c r="Y1103" t="s">
        <v>2212</v>
      </c>
      <c r="Z1103" s="1">
        <v>45394</v>
      </c>
      <c r="AA1103" s="1">
        <v>45409</v>
      </c>
      <c r="AB1103" t="s">
        <v>2214</v>
      </c>
      <c r="AC1103" t="s">
        <v>2209</v>
      </c>
      <c r="AD1103" t="s">
        <v>2216</v>
      </c>
      <c r="AE1103" t="s">
        <v>2162</v>
      </c>
      <c r="AG1103" t="s">
        <v>2220</v>
      </c>
      <c r="AH1103">
        <v>31</v>
      </c>
      <c r="AI1103">
        <v>46</v>
      </c>
      <c r="AJ1103">
        <v>15</v>
      </c>
      <c r="AK1103">
        <v>3</v>
      </c>
      <c r="AL1103" t="s">
        <v>2227</v>
      </c>
      <c r="AM1103">
        <v>0</v>
      </c>
      <c r="AN1103" t="s">
        <v>2177</v>
      </c>
      <c r="AO1103" t="s">
        <v>2176</v>
      </c>
      <c r="AP1103" t="s">
        <v>2176</v>
      </c>
      <c r="AQ1103">
        <v>38.08</v>
      </c>
      <c r="AR1103">
        <v>1</v>
      </c>
      <c r="AS1103">
        <v>2</v>
      </c>
      <c r="AT1103">
        <v>1</v>
      </c>
      <c r="AU1103">
        <v>1</v>
      </c>
      <c r="AV1103">
        <v>1.333333333333333</v>
      </c>
      <c r="AW1103">
        <v>4.2</v>
      </c>
      <c r="AY1103">
        <v>4.2</v>
      </c>
      <c r="AZ1103">
        <v>3</v>
      </c>
      <c r="BA1103">
        <v>1</v>
      </c>
      <c r="BB1103">
        <v>31</v>
      </c>
      <c r="BC1103">
        <v>26</v>
      </c>
      <c r="BD1103">
        <v>27.27</v>
      </c>
      <c r="BE1103">
        <v>130</v>
      </c>
      <c r="BF1103">
        <v>88</v>
      </c>
      <c r="BG1103">
        <v>31</v>
      </c>
      <c r="BH1103">
        <v>26</v>
      </c>
      <c r="BI1103">
        <v>27.27</v>
      </c>
      <c r="BJ1103">
        <v>130</v>
      </c>
      <c r="BK1103">
        <v>88</v>
      </c>
      <c r="BL1103">
        <v>130</v>
      </c>
      <c r="BM1103">
        <v>3.0497000000000001</v>
      </c>
    </row>
    <row r="1104" spans="1:65" x14ac:dyDescent="0.25">
      <c r="A1104" t="s">
        <v>1167</v>
      </c>
      <c r="B1104" t="s">
        <v>2139</v>
      </c>
      <c r="C1104" t="s">
        <v>2157</v>
      </c>
      <c r="D1104" s="1">
        <v>45344</v>
      </c>
      <c r="E1104" s="1">
        <v>45401</v>
      </c>
      <c r="F1104" s="1">
        <v>45489</v>
      </c>
      <c r="G1104" t="s">
        <v>2164</v>
      </c>
      <c r="I1104" t="s">
        <v>2174</v>
      </c>
      <c r="J1104">
        <v>15460</v>
      </c>
      <c r="K1104">
        <v>463</v>
      </c>
      <c r="L1104">
        <v>3.1</v>
      </c>
      <c r="M1104">
        <v>6</v>
      </c>
      <c r="N1104">
        <v>3</v>
      </c>
      <c r="O1104">
        <v>1529</v>
      </c>
      <c r="P1104" t="s">
        <v>2176</v>
      </c>
      <c r="Q1104">
        <v>11</v>
      </c>
      <c r="R1104">
        <v>16</v>
      </c>
      <c r="S1104">
        <v>16</v>
      </c>
      <c r="T1104">
        <v>359</v>
      </c>
      <c r="U1104" t="s">
        <v>2164</v>
      </c>
      <c r="W1104" t="s">
        <v>2208</v>
      </c>
      <c r="X1104" t="s">
        <v>2210</v>
      </c>
      <c r="Y1104" t="s">
        <v>2212</v>
      </c>
      <c r="Z1104" s="1">
        <v>45444</v>
      </c>
      <c r="AA1104" s="1">
        <v>45463</v>
      </c>
      <c r="AB1104" t="s">
        <v>2214</v>
      </c>
      <c r="AC1104" t="s">
        <v>2209</v>
      </c>
      <c r="AD1104" t="s">
        <v>2216</v>
      </c>
      <c r="AE1104" t="s">
        <v>2164</v>
      </c>
      <c r="AG1104" t="s">
        <v>2220</v>
      </c>
      <c r="AH1104">
        <v>43</v>
      </c>
      <c r="AI1104">
        <v>62</v>
      </c>
      <c r="AJ1104">
        <v>19</v>
      </c>
      <c r="AK1104">
        <v>4</v>
      </c>
      <c r="AL1104" t="s">
        <v>2225</v>
      </c>
      <c r="AM1104">
        <v>0</v>
      </c>
      <c r="AN1104" t="s">
        <v>2176</v>
      </c>
      <c r="AO1104" t="s">
        <v>2176</v>
      </c>
      <c r="AP1104" t="s">
        <v>2176</v>
      </c>
      <c r="AQ1104">
        <v>18.600000000000001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4.5</v>
      </c>
      <c r="AY1104">
        <v>4.5</v>
      </c>
      <c r="AZ1104">
        <v>3</v>
      </c>
      <c r="BA1104">
        <v>0</v>
      </c>
      <c r="BB1104">
        <v>30</v>
      </c>
      <c r="BC1104">
        <v>26</v>
      </c>
      <c r="BD1104">
        <v>26.42</v>
      </c>
      <c r="BE1104">
        <v>126</v>
      </c>
      <c r="BF1104">
        <v>88.1</v>
      </c>
      <c r="BG1104">
        <v>30</v>
      </c>
      <c r="BH1104">
        <v>26</v>
      </c>
      <c r="BI1104">
        <v>26.42</v>
      </c>
      <c r="BJ1104">
        <v>126</v>
      </c>
      <c r="BK1104">
        <v>88.1</v>
      </c>
      <c r="BL1104">
        <v>126</v>
      </c>
      <c r="BM1104">
        <v>4.7176999999999998</v>
      </c>
    </row>
    <row r="1105" spans="1:65" x14ac:dyDescent="0.25">
      <c r="A1105" t="s">
        <v>1168</v>
      </c>
      <c r="B1105" t="s">
        <v>2140</v>
      </c>
      <c r="C1105" t="s">
        <v>2158</v>
      </c>
      <c r="D1105" s="1">
        <v>45516</v>
      </c>
      <c r="E1105" s="1">
        <v>45541</v>
      </c>
      <c r="F1105" s="1">
        <v>45595</v>
      </c>
      <c r="G1105" t="s">
        <v>2164</v>
      </c>
      <c r="I1105" t="s">
        <v>2176</v>
      </c>
      <c r="J1105">
        <v>10315</v>
      </c>
      <c r="K1105">
        <v>309</v>
      </c>
      <c r="L1105">
        <v>4.4000000000000004</v>
      </c>
      <c r="M1105">
        <v>5.6</v>
      </c>
      <c r="N1105">
        <v>1</v>
      </c>
      <c r="O1105">
        <v>1607</v>
      </c>
      <c r="P1105" t="s">
        <v>2176</v>
      </c>
      <c r="Q1105">
        <v>7</v>
      </c>
      <c r="R1105">
        <v>8</v>
      </c>
      <c r="S1105">
        <v>12</v>
      </c>
      <c r="T1105">
        <v>382</v>
      </c>
      <c r="U1105" t="s">
        <v>2164</v>
      </c>
      <c r="W1105" t="s">
        <v>2208</v>
      </c>
      <c r="X1105" t="s">
        <v>2210</v>
      </c>
      <c r="Y1105" t="s">
        <v>2212</v>
      </c>
      <c r="Z1105" s="1">
        <v>45568</v>
      </c>
      <c r="AA1105" s="1">
        <v>45582</v>
      </c>
      <c r="AB1105" t="s">
        <v>2214</v>
      </c>
      <c r="AC1105" t="s">
        <v>2209</v>
      </c>
      <c r="AD1105" t="s">
        <v>2216</v>
      </c>
      <c r="AE1105" t="s">
        <v>2164</v>
      </c>
      <c r="AG1105" t="s">
        <v>2220</v>
      </c>
      <c r="AH1105">
        <v>27</v>
      </c>
      <c r="AI1105">
        <v>41</v>
      </c>
      <c r="AJ1105">
        <v>14</v>
      </c>
      <c r="AK1105">
        <v>9</v>
      </c>
      <c r="AL1105" t="s">
        <v>2234</v>
      </c>
      <c r="AM1105">
        <v>0</v>
      </c>
      <c r="AN1105" t="s">
        <v>2176</v>
      </c>
      <c r="AO1105" t="s">
        <v>2176</v>
      </c>
      <c r="AP1105" t="s">
        <v>2176</v>
      </c>
      <c r="AQ1105">
        <v>24.64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4.5</v>
      </c>
      <c r="AY1105">
        <v>4.5</v>
      </c>
      <c r="AZ1105">
        <v>2</v>
      </c>
      <c r="BA1105">
        <v>1</v>
      </c>
      <c r="BB1105">
        <v>34</v>
      </c>
      <c r="BC1105">
        <v>26</v>
      </c>
      <c r="BD1105">
        <v>29.81</v>
      </c>
      <c r="BE1105">
        <v>147</v>
      </c>
      <c r="BF1105">
        <v>87.7</v>
      </c>
      <c r="BG1105">
        <v>34</v>
      </c>
      <c r="BH1105">
        <v>26</v>
      </c>
      <c r="BI1105">
        <v>29.81</v>
      </c>
      <c r="BJ1105">
        <v>147</v>
      </c>
      <c r="BK1105">
        <v>87.7</v>
      </c>
      <c r="BL1105">
        <v>147</v>
      </c>
      <c r="BM1105">
        <v>2.6981000000000002</v>
      </c>
    </row>
    <row r="1106" spans="1:65" x14ac:dyDescent="0.25">
      <c r="A1106" t="s">
        <v>1169</v>
      </c>
      <c r="B1106" t="s">
        <v>2141</v>
      </c>
      <c r="C1106" t="s">
        <v>2158</v>
      </c>
      <c r="D1106" s="1">
        <v>45438</v>
      </c>
      <c r="E1106" s="1">
        <v>45485</v>
      </c>
      <c r="F1106" s="1">
        <v>45590</v>
      </c>
      <c r="G1106" t="s">
        <v>2162</v>
      </c>
      <c r="I1106" t="s">
        <v>2174</v>
      </c>
      <c r="J1106">
        <v>17771</v>
      </c>
      <c r="K1106">
        <v>533</v>
      </c>
      <c r="L1106">
        <v>6.2</v>
      </c>
      <c r="M1106">
        <v>1.2</v>
      </c>
      <c r="N1106">
        <v>3</v>
      </c>
      <c r="O1106">
        <v>6044</v>
      </c>
      <c r="P1106" t="s">
        <v>2176</v>
      </c>
      <c r="Q1106">
        <v>16</v>
      </c>
      <c r="R1106">
        <v>22</v>
      </c>
      <c r="S1106">
        <v>16</v>
      </c>
      <c r="T1106">
        <v>329</v>
      </c>
      <c r="U1106" t="s">
        <v>2162</v>
      </c>
      <c r="W1106" t="s">
        <v>2208</v>
      </c>
      <c r="X1106" t="s">
        <v>2210</v>
      </c>
      <c r="Y1106" t="s">
        <v>2212</v>
      </c>
      <c r="Z1106" s="1">
        <v>45539</v>
      </c>
      <c r="AA1106" s="1">
        <v>45552</v>
      </c>
      <c r="AB1106" t="s">
        <v>2214</v>
      </c>
      <c r="AC1106" t="s">
        <v>2209</v>
      </c>
      <c r="AD1106" t="s">
        <v>2216</v>
      </c>
      <c r="AE1106" t="s">
        <v>2162</v>
      </c>
      <c r="AG1106" t="s">
        <v>2220</v>
      </c>
      <c r="AH1106">
        <v>54</v>
      </c>
      <c r="AI1106">
        <v>67</v>
      </c>
      <c r="AJ1106">
        <v>13</v>
      </c>
      <c r="AK1106">
        <v>7</v>
      </c>
      <c r="AL1106" t="s">
        <v>2226</v>
      </c>
      <c r="AM1106">
        <v>0</v>
      </c>
      <c r="AN1106" t="s">
        <v>2176</v>
      </c>
      <c r="AO1106" t="s">
        <v>2176</v>
      </c>
      <c r="AP1106" t="s">
        <v>2176</v>
      </c>
      <c r="AQ1106">
        <v>7.44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4.2</v>
      </c>
      <c r="AY1106">
        <v>4.2</v>
      </c>
      <c r="AZ1106">
        <v>2</v>
      </c>
      <c r="BA1106">
        <v>0</v>
      </c>
      <c r="BB1106">
        <v>30</v>
      </c>
      <c r="BC1106">
        <v>27</v>
      </c>
      <c r="BD1106">
        <v>26.15</v>
      </c>
      <c r="BE1106">
        <v>133</v>
      </c>
      <c r="BF1106">
        <v>87.2</v>
      </c>
      <c r="BG1106">
        <v>30</v>
      </c>
      <c r="BH1106">
        <v>27</v>
      </c>
      <c r="BI1106">
        <v>26.15</v>
      </c>
      <c r="BJ1106">
        <v>133</v>
      </c>
      <c r="BK1106">
        <v>87.2</v>
      </c>
      <c r="BL1106">
        <v>133</v>
      </c>
      <c r="BM1106">
        <v>4.9474</v>
      </c>
    </row>
    <row r="1107" spans="1:65" x14ac:dyDescent="0.25">
      <c r="A1107" t="s">
        <v>1170</v>
      </c>
      <c r="B1107" t="s">
        <v>2142</v>
      </c>
      <c r="C1107" t="s">
        <v>2160</v>
      </c>
      <c r="D1107" s="1">
        <v>45419</v>
      </c>
      <c r="E1107" s="1">
        <v>45452</v>
      </c>
      <c r="F1107" s="1">
        <v>45546</v>
      </c>
      <c r="G1107" t="s">
        <v>2164</v>
      </c>
      <c r="I1107" t="s">
        <v>2176</v>
      </c>
      <c r="J1107">
        <v>17674</v>
      </c>
      <c r="K1107">
        <v>530</v>
      </c>
      <c r="L1107">
        <v>2.2000000000000002</v>
      </c>
      <c r="M1107">
        <v>4.9000000000000004</v>
      </c>
      <c r="N1107">
        <v>2</v>
      </c>
      <c r="O1107">
        <v>2724</v>
      </c>
      <c r="P1107" t="s">
        <v>2176</v>
      </c>
      <c r="Q1107">
        <v>10</v>
      </c>
      <c r="R1107">
        <v>13</v>
      </c>
      <c r="S1107">
        <v>25</v>
      </c>
      <c r="T1107">
        <v>368</v>
      </c>
      <c r="U1107" t="s">
        <v>2164</v>
      </c>
      <c r="W1107" t="s">
        <v>2208</v>
      </c>
      <c r="X1107" t="s">
        <v>2210</v>
      </c>
      <c r="Y1107" t="s">
        <v>2212</v>
      </c>
      <c r="Z1107" s="1">
        <v>45500</v>
      </c>
      <c r="AA1107" s="1">
        <v>45516</v>
      </c>
      <c r="AB1107" t="s">
        <v>2214</v>
      </c>
      <c r="AC1107" t="s">
        <v>2209</v>
      </c>
      <c r="AD1107" t="s">
        <v>2216</v>
      </c>
      <c r="AE1107" t="s">
        <v>2164</v>
      </c>
      <c r="AG1107" t="s">
        <v>2220</v>
      </c>
      <c r="AH1107">
        <v>48</v>
      </c>
      <c r="AI1107">
        <v>64</v>
      </c>
      <c r="AJ1107">
        <v>16</v>
      </c>
      <c r="AK1107">
        <v>6</v>
      </c>
      <c r="AL1107" t="s">
        <v>2223</v>
      </c>
      <c r="AM1107">
        <v>0</v>
      </c>
      <c r="AN1107" t="s">
        <v>2176</v>
      </c>
      <c r="AO1107" t="s">
        <v>2176</v>
      </c>
      <c r="AP1107" t="s">
        <v>2176</v>
      </c>
      <c r="AQ1107">
        <v>10.78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4.5</v>
      </c>
      <c r="AY1107">
        <v>4.5</v>
      </c>
      <c r="AZ1107">
        <v>1</v>
      </c>
      <c r="BA1107">
        <v>1</v>
      </c>
      <c r="BB1107">
        <v>33</v>
      </c>
      <c r="BC1107">
        <v>25</v>
      </c>
      <c r="BD1107">
        <v>28.64</v>
      </c>
      <c r="BE1107">
        <v>133</v>
      </c>
      <c r="BF1107">
        <v>86.8</v>
      </c>
      <c r="BG1107">
        <v>33</v>
      </c>
      <c r="BH1107">
        <v>25</v>
      </c>
      <c r="BI1107">
        <v>28.64</v>
      </c>
      <c r="BJ1107">
        <v>133</v>
      </c>
      <c r="BK1107">
        <v>86.8</v>
      </c>
      <c r="BL1107">
        <v>133</v>
      </c>
      <c r="BM1107">
        <v>5.3139000000000003</v>
      </c>
    </row>
    <row r="1108" spans="1:65" x14ac:dyDescent="0.25">
      <c r="A1108" t="s">
        <v>1171</v>
      </c>
      <c r="B1108" t="s">
        <v>2143</v>
      </c>
      <c r="C1108" t="s">
        <v>2157</v>
      </c>
      <c r="D1108" s="1">
        <v>45256</v>
      </c>
      <c r="E1108" s="1">
        <v>45298</v>
      </c>
      <c r="F1108" s="1">
        <v>45370</v>
      </c>
      <c r="G1108" t="s">
        <v>2162</v>
      </c>
      <c r="I1108" t="s">
        <v>2176</v>
      </c>
      <c r="J1108">
        <v>14869</v>
      </c>
      <c r="K1108">
        <v>446</v>
      </c>
      <c r="L1108">
        <v>6.7</v>
      </c>
      <c r="M1108">
        <v>1.8</v>
      </c>
      <c r="N1108">
        <v>2</v>
      </c>
      <c r="O1108">
        <v>5514</v>
      </c>
      <c r="P1108" t="s">
        <v>2176</v>
      </c>
      <c r="Q1108">
        <v>9</v>
      </c>
      <c r="R1108">
        <v>10</v>
      </c>
      <c r="S1108">
        <v>21</v>
      </c>
      <c r="T1108">
        <v>371</v>
      </c>
      <c r="U1108" t="s">
        <v>2162</v>
      </c>
      <c r="W1108" t="s">
        <v>2208</v>
      </c>
      <c r="X1108" t="s">
        <v>2210</v>
      </c>
      <c r="Y1108" t="s">
        <v>2212</v>
      </c>
      <c r="Z1108" s="1">
        <v>45338</v>
      </c>
      <c r="AA1108" s="1">
        <v>45351</v>
      </c>
      <c r="AB1108" t="s">
        <v>2214</v>
      </c>
      <c r="AC1108" t="s">
        <v>2209</v>
      </c>
      <c r="AD1108" t="s">
        <v>2216</v>
      </c>
      <c r="AE1108" t="s">
        <v>2162</v>
      </c>
      <c r="AG1108" t="s">
        <v>2220</v>
      </c>
      <c r="AH1108">
        <v>40</v>
      </c>
      <c r="AI1108">
        <v>53</v>
      </c>
      <c r="AJ1108">
        <v>13</v>
      </c>
      <c r="AK1108">
        <v>1</v>
      </c>
      <c r="AL1108" t="s">
        <v>2233</v>
      </c>
      <c r="AM1108">
        <v>0</v>
      </c>
      <c r="AN1108" t="s">
        <v>2176</v>
      </c>
      <c r="AO1108" t="s">
        <v>2176</v>
      </c>
      <c r="AP1108" t="s">
        <v>2176</v>
      </c>
      <c r="AQ1108">
        <v>12.06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4.2</v>
      </c>
      <c r="AY1108">
        <v>4.2</v>
      </c>
      <c r="AZ1108">
        <v>3</v>
      </c>
      <c r="BA1108">
        <v>1</v>
      </c>
      <c r="BB1108">
        <v>26</v>
      </c>
      <c r="BC1108">
        <v>27</v>
      </c>
      <c r="BD1108">
        <v>23.19</v>
      </c>
      <c r="BE1108">
        <v>113</v>
      </c>
      <c r="BF1108">
        <v>89.2</v>
      </c>
      <c r="BG1108">
        <v>26</v>
      </c>
      <c r="BH1108">
        <v>27</v>
      </c>
      <c r="BI1108">
        <v>23.19</v>
      </c>
      <c r="BJ1108">
        <v>113</v>
      </c>
      <c r="BK1108">
        <v>89.2</v>
      </c>
      <c r="BL1108">
        <v>113</v>
      </c>
      <c r="BM1108">
        <v>4.8719000000000001</v>
      </c>
    </row>
    <row r="1109" spans="1:65" x14ac:dyDescent="0.25">
      <c r="A1109" t="s">
        <v>1172</v>
      </c>
      <c r="B1109" t="s">
        <v>2144</v>
      </c>
      <c r="C1109" t="s">
        <v>2159</v>
      </c>
      <c r="D1109" s="1">
        <v>45502</v>
      </c>
      <c r="E1109" s="1">
        <v>45539</v>
      </c>
      <c r="F1109" s="1">
        <v>45607</v>
      </c>
      <c r="G1109" t="s">
        <v>2164</v>
      </c>
      <c r="I1109" t="s">
        <v>2176</v>
      </c>
      <c r="J1109">
        <v>7599</v>
      </c>
      <c r="K1109">
        <v>227</v>
      </c>
      <c r="L1109">
        <v>1.6</v>
      </c>
      <c r="M1109">
        <v>2.9</v>
      </c>
      <c r="N1109">
        <v>3</v>
      </c>
      <c r="O1109">
        <v>2413</v>
      </c>
      <c r="P1109" t="s">
        <v>2176</v>
      </c>
      <c r="Q1109">
        <v>4</v>
      </c>
      <c r="R1109">
        <v>5</v>
      </c>
      <c r="S1109">
        <v>10</v>
      </c>
      <c r="T1109">
        <v>399</v>
      </c>
      <c r="U1109" t="s">
        <v>2164</v>
      </c>
      <c r="W1109" t="s">
        <v>2208</v>
      </c>
      <c r="X1109" t="s">
        <v>2210</v>
      </c>
      <c r="Y1109" t="s">
        <v>2212</v>
      </c>
      <c r="Z1109" s="1">
        <v>45558</v>
      </c>
      <c r="AA1109" s="1">
        <v>45577</v>
      </c>
      <c r="AB1109" t="s">
        <v>2214</v>
      </c>
      <c r="AC1109" t="s">
        <v>2209</v>
      </c>
      <c r="AD1109" t="s">
        <v>2216</v>
      </c>
      <c r="AE1109" t="s">
        <v>2164</v>
      </c>
      <c r="AG1109" t="s">
        <v>2220</v>
      </c>
      <c r="AH1109">
        <v>19</v>
      </c>
      <c r="AI1109">
        <v>38</v>
      </c>
      <c r="AJ1109">
        <v>19</v>
      </c>
      <c r="AK1109">
        <v>9</v>
      </c>
      <c r="AL1109" t="s">
        <v>2234</v>
      </c>
      <c r="AM1109">
        <v>0</v>
      </c>
      <c r="AN1109" t="s">
        <v>2176</v>
      </c>
      <c r="AO1109" t="s">
        <v>2176</v>
      </c>
      <c r="AP1109" t="s">
        <v>2176</v>
      </c>
      <c r="AQ1109">
        <v>4.6399999999999997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4.5</v>
      </c>
      <c r="AY1109">
        <v>4.5</v>
      </c>
      <c r="AZ1109">
        <v>0</v>
      </c>
      <c r="BA1109">
        <v>1</v>
      </c>
      <c r="BB1109">
        <v>34</v>
      </c>
      <c r="BC1109">
        <v>26</v>
      </c>
      <c r="BD1109">
        <v>29.81</v>
      </c>
      <c r="BE1109">
        <v>147</v>
      </c>
      <c r="BF1109">
        <v>87.7</v>
      </c>
      <c r="BG1109">
        <v>34</v>
      </c>
      <c r="BH1109">
        <v>26</v>
      </c>
      <c r="BI1109">
        <v>29.81</v>
      </c>
      <c r="BJ1109">
        <v>147</v>
      </c>
      <c r="BK1109">
        <v>87.7</v>
      </c>
      <c r="BL1109">
        <v>147</v>
      </c>
      <c r="BM1109">
        <v>1.9877</v>
      </c>
    </row>
    <row r="1110" spans="1:65" x14ac:dyDescent="0.25">
      <c r="A1110" t="s">
        <v>1173</v>
      </c>
      <c r="B1110" t="s">
        <v>2145</v>
      </c>
      <c r="C1110" t="s">
        <v>2157</v>
      </c>
      <c r="D1110" s="1">
        <v>45493</v>
      </c>
      <c r="E1110" s="1">
        <v>45521</v>
      </c>
      <c r="F1110" s="1">
        <v>45621</v>
      </c>
      <c r="G1110" t="s">
        <v>2162</v>
      </c>
      <c r="I1110" t="s">
        <v>2176</v>
      </c>
      <c r="J1110">
        <v>18715</v>
      </c>
      <c r="K1110">
        <v>561</v>
      </c>
      <c r="L1110">
        <v>5.7</v>
      </c>
      <c r="M1110">
        <v>1.9</v>
      </c>
      <c r="N1110">
        <v>2</v>
      </c>
      <c r="O1110">
        <v>3860</v>
      </c>
      <c r="P1110" t="s">
        <v>2176</v>
      </c>
      <c r="Q1110">
        <v>10</v>
      </c>
      <c r="R1110">
        <v>14</v>
      </c>
      <c r="S1110">
        <v>24</v>
      </c>
      <c r="T1110">
        <v>389</v>
      </c>
      <c r="U1110" t="s">
        <v>2162</v>
      </c>
      <c r="W1110" t="s">
        <v>2208</v>
      </c>
      <c r="X1110" t="s">
        <v>2210</v>
      </c>
      <c r="Y1110" t="s">
        <v>2212</v>
      </c>
      <c r="Z1110" s="1">
        <v>45569</v>
      </c>
      <c r="AA1110" s="1">
        <v>45586</v>
      </c>
      <c r="AB1110" t="s">
        <v>2214</v>
      </c>
      <c r="AC1110" t="s">
        <v>2209</v>
      </c>
      <c r="AD1110" t="s">
        <v>2216</v>
      </c>
      <c r="AE1110" t="s">
        <v>2162</v>
      </c>
      <c r="AG1110" t="s">
        <v>2220</v>
      </c>
      <c r="AH1110">
        <v>48</v>
      </c>
      <c r="AI1110">
        <v>65</v>
      </c>
      <c r="AJ1110">
        <v>17</v>
      </c>
      <c r="AK1110">
        <v>8</v>
      </c>
      <c r="AL1110" t="s">
        <v>2232</v>
      </c>
      <c r="AM1110">
        <v>0</v>
      </c>
      <c r="AN1110" t="s">
        <v>2176</v>
      </c>
      <c r="AO1110" t="s">
        <v>2176</v>
      </c>
      <c r="AP1110" t="s">
        <v>2176</v>
      </c>
      <c r="AQ1110">
        <v>10.83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4.2</v>
      </c>
      <c r="AY1110">
        <v>4.2</v>
      </c>
      <c r="AZ1110">
        <v>3</v>
      </c>
      <c r="BA1110">
        <v>1</v>
      </c>
      <c r="BB1110">
        <v>29</v>
      </c>
      <c r="BC1110">
        <v>26</v>
      </c>
      <c r="BD1110">
        <v>25.54</v>
      </c>
      <c r="BE1110">
        <v>124</v>
      </c>
      <c r="BF1110">
        <v>88.1</v>
      </c>
      <c r="BG1110">
        <v>29</v>
      </c>
      <c r="BH1110">
        <v>26</v>
      </c>
      <c r="BI1110">
        <v>25.54</v>
      </c>
      <c r="BJ1110">
        <v>124</v>
      </c>
      <c r="BK1110">
        <v>88.1</v>
      </c>
      <c r="BL1110">
        <v>124</v>
      </c>
      <c r="BM1110">
        <v>5.8030999999999997</v>
      </c>
    </row>
    <row r="1111" spans="1:65" x14ac:dyDescent="0.25">
      <c r="A1111" t="s">
        <v>1174</v>
      </c>
      <c r="B1111" t="s">
        <v>2146</v>
      </c>
      <c r="C1111" t="s">
        <v>2157</v>
      </c>
      <c r="D1111" s="1">
        <v>45310</v>
      </c>
      <c r="E1111" s="1">
        <v>45363</v>
      </c>
      <c r="F1111" s="1">
        <v>45405</v>
      </c>
      <c r="G1111" t="s">
        <v>2164</v>
      </c>
      <c r="I1111" t="s">
        <v>2174</v>
      </c>
      <c r="J1111">
        <v>5675</v>
      </c>
      <c r="K1111">
        <v>170</v>
      </c>
      <c r="L1111">
        <v>4.0999999999999996</v>
      </c>
      <c r="M1111">
        <v>2.4</v>
      </c>
      <c r="N1111">
        <v>1</v>
      </c>
      <c r="O1111">
        <v>4495</v>
      </c>
      <c r="P1111" t="s">
        <v>2176</v>
      </c>
      <c r="Q1111">
        <v>4</v>
      </c>
      <c r="R1111">
        <v>5</v>
      </c>
      <c r="S1111">
        <v>6</v>
      </c>
      <c r="T1111">
        <v>378</v>
      </c>
      <c r="U1111" t="s">
        <v>2164</v>
      </c>
      <c r="W1111" t="s">
        <v>2208</v>
      </c>
      <c r="X1111" t="s">
        <v>2210</v>
      </c>
      <c r="Y1111" t="s">
        <v>2212</v>
      </c>
      <c r="Z1111" s="1">
        <v>45378</v>
      </c>
      <c r="AA1111" s="1">
        <v>45395</v>
      </c>
      <c r="AB1111" t="s">
        <v>2214</v>
      </c>
      <c r="AC1111" t="s">
        <v>2209</v>
      </c>
      <c r="AD1111" t="s">
        <v>2216</v>
      </c>
      <c r="AE1111" t="s">
        <v>2164</v>
      </c>
      <c r="AG1111" t="s">
        <v>2220</v>
      </c>
      <c r="AH1111">
        <v>15</v>
      </c>
      <c r="AI1111">
        <v>32</v>
      </c>
      <c r="AJ1111">
        <v>17</v>
      </c>
      <c r="AK1111">
        <v>3</v>
      </c>
      <c r="AL1111" t="s">
        <v>2227</v>
      </c>
      <c r="AM1111">
        <v>0</v>
      </c>
      <c r="AN1111" t="s">
        <v>2176</v>
      </c>
      <c r="AO1111" t="s">
        <v>2176</v>
      </c>
      <c r="AP1111" t="s">
        <v>2176</v>
      </c>
      <c r="AQ1111">
        <v>9.8399999999999981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4.5</v>
      </c>
      <c r="AY1111">
        <v>4.5</v>
      </c>
      <c r="AZ1111">
        <v>3</v>
      </c>
      <c r="BA1111">
        <v>0</v>
      </c>
      <c r="BB1111">
        <v>30</v>
      </c>
      <c r="BC1111">
        <v>26</v>
      </c>
      <c r="BD1111">
        <v>26.31</v>
      </c>
      <c r="BE1111">
        <v>128</v>
      </c>
      <c r="BF1111">
        <v>87.7</v>
      </c>
      <c r="BG1111">
        <v>30</v>
      </c>
      <c r="BH1111">
        <v>26</v>
      </c>
      <c r="BI1111">
        <v>26.31</v>
      </c>
      <c r="BJ1111">
        <v>128</v>
      </c>
      <c r="BK1111">
        <v>87.7</v>
      </c>
      <c r="BL1111">
        <v>128</v>
      </c>
      <c r="BM1111">
        <v>1.7047000000000001</v>
      </c>
    </row>
    <row r="1112" spans="1:65" x14ac:dyDescent="0.25">
      <c r="A1112" t="s">
        <v>1175</v>
      </c>
      <c r="B1112" t="s">
        <v>2147</v>
      </c>
      <c r="C1112" t="s">
        <v>2157</v>
      </c>
      <c r="D1112" s="1">
        <v>45399</v>
      </c>
      <c r="E1112" s="1">
        <v>45447</v>
      </c>
      <c r="F1112" s="1">
        <v>45525</v>
      </c>
      <c r="G1112" t="s">
        <v>2162</v>
      </c>
      <c r="I1112" t="s">
        <v>2174</v>
      </c>
      <c r="J1112">
        <v>16540</v>
      </c>
      <c r="K1112">
        <v>496</v>
      </c>
      <c r="L1112">
        <v>4.7</v>
      </c>
      <c r="M1112">
        <v>6.6</v>
      </c>
      <c r="N1112">
        <v>1</v>
      </c>
      <c r="O1112">
        <v>2658</v>
      </c>
      <c r="P1112" t="s">
        <v>2176</v>
      </c>
      <c r="Q1112">
        <v>11</v>
      </c>
      <c r="R1112">
        <v>12</v>
      </c>
      <c r="S1112">
        <v>21</v>
      </c>
      <c r="T1112">
        <v>375</v>
      </c>
      <c r="U1112" t="s">
        <v>2162</v>
      </c>
      <c r="W1112" t="s">
        <v>2208</v>
      </c>
      <c r="X1112" t="s">
        <v>2210</v>
      </c>
      <c r="Y1112" t="s">
        <v>2212</v>
      </c>
      <c r="Z1112" s="1">
        <v>45491</v>
      </c>
      <c r="AA1112" s="1">
        <v>45506</v>
      </c>
      <c r="AB1112" t="s">
        <v>2214</v>
      </c>
      <c r="AC1112" t="s">
        <v>2209</v>
      </c>
      <c r="AD1112" t="s">
        <v>2216</v>
      </c>
      <c r="AE1112" t="s">
        <v>2162</v>
      </c>
      <c r="AG1112" t="s">
        <v>2220</v>
      </c>
      <c r="AH1112">
        <v>44</v>
      </c>
      <c r="AI1112">
        <v>59</v>
      </c>
      <c r="AJ1112">
        <v>15</v>
      </c>
      <c r="AK1112">
        <v>6</v>
      </c>
      <c r="AL1112" t="s">
        <v>2223</v>
      </c>
      <c r="AM1112">
        <v>0</v>
      </c>
      <c r="AN1112" t="s">
        <v>2176</v>
      </c>
      <c r="AO1112" t="s">
        <v>2176</v>
      </c>
      <c r="AP1112" t="s">
        <v>2176</v>
      </c>
      <c r="AQ1112">
        <v>31.02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4.2</v>
      </c>
      <c r="AY1112">
        <v>4.2</v>
      </c>
      <c r="AZ1112">
        <v>3</v>
      </c>
      <c r="BA1112">
        <v>0</v>
      </c>
      <c r="BB1112">
        <v>29</v>
      </c>
      <c r="BC1112">
        <v>25</v>
      </c>
      <c r="BD1112">
        <v>25.56</v>
      </c>
      <c r="BE1112">
        <v>117</v>
      </c>
      <c r="BF1112">
        <v>88.1</v>
      </c>
      <c r="BG1112">
        <v>29</v>
      </c>
      <c r="BH1112">
        <v>25</v>
      </c>
      <c r="BI1112">
        <v>25.56</v>
      </c>
      <c r="BJ1112">
        <v>117</v>
      </c>
      <c r="BK1112">
        <v>88.1</v>
      </c>
      <c r="BL1112">
        <v>117</v>
      </c>
      <c r="BM1112">
        <v>5.6528</v>
      </c>
    </row>
    <row r="1113" spans="1:65" x14ac:dyDescent="0.25">
      <c r="A1113" t="s">
        <v>1176</v>
      </c>
      <c r="B1113" t="s">
        <v>2148</v>
      </c>
      <c r="C1113" t="s">
        <v>2159</v>
      </c>
      <c r="D1113" s="1">
        <v>45373</v>
      </c>
      <c r="E1113" s="1">
        <v>45397</v>
      </c>
      <c r="F1113" s="1">
        <v>45454</v>
      </c>
      <c r="G1113" t="s">
        <v>2164</v>
      </c>
      <c r="I1113" t="s">
        <v>2176</v>
      </c>
      <c r="J1113">
        <v>10691</v>
      </c>
      <c r="K1113">
        <v>320</v>
      </c>
      <c r="L1113">
        <v>5.3</v>
      </c>
      <c r="M1113">
        <v>5.0999999999999996</v>
      </c>
      <c r="N1113">
        <v>1</v>
      </c>
      <c r="O1113">
        <v>6396</v>
      </c>
      <c r="P1113" t="s">
        <v>2176</v>
      </c>
      <c r="Q1113">
        <v>7</v>
      </c>
      <c r="R1113">
        <v>8</v>
      </c>
      <c r="S1113">
        <v>12</v>
      </c>
      <c r="T1113">
        <v>395</v>
      </c>
      <c r="U1113" t="s">
        <v>2164</v>
      </c>
      <c r="W1113" t="s">
        <v>2208</v>
      </c>
      <c r="X1113" t="s">
        <v>2210</v>
      </c>
      <c r="Y1113" t="s">
        <v>2212</v>
      </c>
      <c r="Z1113" s="1">
        <v>45424</v>
      </c>
      <c r="AA1113" s="1">
        <v>45438</v>
      </c>
      <c r="AB1113" t="s">
        <v>2214</v>
      </c>
      <c r="AC1113" t="s">
        <v>2209</v>
      </c>
      <c r="AD1113" t="s">
        <v>2216</v>
      </c>
      <c r="AE1113" t="s">
        <v>2164</v>
      </c>
      <c r="AG1113" t="s">
        <v>2220</v>
      </c>
      <c r="AH1113">
        <v>27</v>
      </c>
      <c r="AI1113">
        <v>41</v>
      </c>
      <c r="AJ1113">
        <v>14</v>
      </c>
      <c r="AK1113">
        <v>4</v>
      </c>
      <c r="AL1113" t="s">
        <v>2225</v>
      </c>
      <c r="AM1113">
        <v>0</v>
      </c>
      <c r="AN1113" t="s">
        <v>2177</v>
      </c>
      <c r="AO1113" t="s">
        <v>2176</v>
      </c>
      <c r="AP1113" t="s">
        <v>2176</v>
      </c>
      <c r="AQ1113">
        <v>27.03</v>
      </c>
      <c r="AR1113">
        <v>1</v>
      </c>
      <c r="AS1113">
        <v>2</v>
      </c>
      <c r="AT1113">
        <v>1</v>
      </c>
      <c r="AU1113">
        <v>1</v>
      </c>
      <c r="AV1113">
        <v>1.333333333333333</v>
      </c>
      <c r="AW1113">
        <v>4.5</v>
      </c>
      <c r="AY1113">
        <v>4.5</v>
      </c>
      <c r="AZ1113">
        <v>0</v>
      </c>
      <c r="BA1113">
        <v>1</v>
      </c>
      <c r="BB1113">
        <v>30</v>
      </c>
      <c r="BC1113">
        <v>26</v>
      </c>
      <c r="BD1113">
        <v>26.42</v>
      </c>
      <c r="BE1113">
        <v>126</v>
      </c>
      <c r="BF1113">
        <v>88.1</v>
      </c>
      <c r="BG1113">
        <v>30</v>
      </c>
      <c r="BH1113">
        <v>26</v>
      </c>
      <c r="BI1113">
        <v>26.42</v>
      </c>
      <c r="BJ1113">
        <v>126</v>
      </c>
      <c r="BK1113">
        <v>88.1</v>
      </c>
      <c r="BL1113">
        <v>126</v>
      </c>
      <c r="BM1113">
        <v>3.2624</v>
      </c>
    </row>
    <row r="1114" spans="1:65" x14ac:dyDescent="0.25">
      <c r="A1114" t="s">
        <v>1177</v>
      </c>
      <c r="B1114" t="s">
        <v>2149</v>
      </c>
      <c r="C1114" t="s">
        <v>2159</v>
      </c>
      <c r="D1114" s="1">
        <v>45543</v>
      </c>
      <c r="E1114" s="1">
        <v>45577</v>
      </c>
      <c r="F1114" s="1">
        <v>45657</v>
      </c>
      <c r="G1114" t="s">
        <v>2164</v>
      </c>
      <c r="I1114" t="s">
        <v>2176</v>
      </c>
      <c r="J1114">
        <v>14035</v>
      </c>
      <c r="K1114">
        <v>421</v>
      </c>
      <c r="L1114">
        <v>3.9</v>
      </c>
      <c r="M1114">
        <v>5.2</v>
      </c>
      <c r="N1114">
        <v>1</v>
      </c>
      <c r="O1114">
        <v>3196</v>
      </c>
      <c r="P1114" t="s">
        <v>2176</v>
      </c>
      <c r="Q1114">
        <v>9</v>
      </c>
      <c r="R1114">
        <v>12</v>
      </c>
      <c r="S1114">
        <v>14</v>
      </c>
      <c r="T1114">
        <v>401</v>
      </c>
      <c r="U1114" t="s">
        <v>2164</v>
      </c>
      <c r="W1114" t="s">
        <v>2208</v>
      </c>
      <c r="X1114" t="s">
        <v>2210</v>
      </c>
      <c r="Y1114" t="s">
        <v>2212</v>
      </c>
      <c r="Z1114" s="1">
        <v>45612</v>
      </c>
      <c r="AA1114" s="1">
        <v>45625</v>
      </c>
      <c r="AB1114" t="s">
        <v>2214</v>
      </c>
      <c r="AC1114" t="s">
        <v>2209</v>
      </c>
      <c r="AD1114" t="s">
        <v>2216</v>
      </c>
      <c r="AE1114" t="s">
        <v>2164</v>
      </c>
      <c r="AG1114" t="s">
        <v>2220</v>
      </c>
      <c r="AH1114">
        <v>35</v>
      </c>
      <c r="AI1114">
        <v>48</v>
      </c>
      <c r="AJ1114">
        <v>13</v>
      </c>
      <c r="AK1114">
        <v>10</v>
      </c>
      <c r="AL1114" t="s">
        <v>2230</v>
      </c>
      <c r="AM1114">
        <v>1</v>
      </c>
      <c r="AN1114" t="s">
        <v>2176</v>
      </c>
      <c r="AO1114" t="s">
        <v>2176</v>
      </c>
      <c r="AP1114" t="s">
        <v>2176</v>
      </c>
      <c r="AQ1114">
        <v>20.28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4.5</v>
      </c>
      <c r="AY1114">
        <v>4.5</v>
      </c>
      <c r="AZ1114">
        <v>0</v>
      </c>
      <c r="BA1114">
        <v>1</v>
      </c>
      <c r="BB1114">
        <v>27</v>
      </c>
      <c r="BC1114">
        <v>27</v>
      </c>
      <c r="BD1114">
        <v>23.56</v>
      </c>
      <c r="BE1114">
        <v>116</v>
      </c>
      <c r="BF1114">
        <v>87.3</v>
      </c>
      <c r="BG1114">
        <v>27</v>
      </c>
      <c r="BH1114">
        <v>27</v>
      </c>
      <c r="BI1114">
        <v>23.56</v>
      </c>
      <c r="BJ1114">
        <v>116</v>
      </c>
      <c r="BK1114">
        <v>87.3</v>
      </c>
      <c r="BL1114">
        <v>116</v>
      </c>
      <c r="BM1114">
        <v>4.4797000000000002</v>
      </c>
    </row>
    <row r="1115" spans="1:65" x14ac:dyDescent="0.25">
      <c r="A1115" t="s">
        <v>1178</v>
      </c>
      <c r="B1115" t="s">
        <v>2150</v>
      </c>
      <c r="C1115" t="s">
        <v>2159</v>
      </c>
      <c r="D1115" s="1">
        <v>45450</v>
      </c>
      <c r="E1115" s="1">
        <v>45507</v>
      </c>
      <c r="F1115" s="1">
        <v>45594</v>
      </c>
      <c r="G1115" t="s">
        <v>2164</v>
      </c>
      <c r="I1115" t="s">
        <v>2174</v>
      </c>
      <c r="J1115">
        <v>16184</v>
      </c>
      <c r="K1115">
        <v>485</v>
      </c>
      <c r="L1115">
        <v>1.8</v>
      </c>
      <c r="M1115">
        <v>6.3</v>
      </c>
      <c r="N1115">
        <v>2</v>
      </c>
      <c r="O1115">
        <v>3123</v>
      </c>
      <c r="P1115" t="s">
        <v>2176</v>
      </c>
      <c r="Q1115">
        <v>11</v>
      </c>
      <c r="R1115">
        <v>14</v>
      </c>
      <c r="S1115">
        <v>15</v>
      </c>
      <c r="T1115">
        <v>404</v>
      </c>
      <c r="U1115" t="s">
        <v>2164</v>
      </c>
      <c r="W1115" t="s">
        <v>2208</v>
      </c>
      <c r="X1115" t="s">
        <v>2210</v>
      </c>
      <c r="Y1115" t="s">
        <v>2212</v>
      </c>
      <c r="Z1115" s="1">
        <v>45547</v>
      </c>
      <c r="AA1115" s="1">
        <v>45560</v>
      </c>
      <c r="AB1115" t="s">
        <v>2214</v>
      </c>
      <c r="AC1115" t="s">
        <v>2209</v>
      </c>
      <c r="AD1115" t="s">
        <v>2216</v>
      </c>
      <c r="AE1115" t="s">
        <v>2164</v>
      </c>
      <c r="AG1115" t="s">
        <v>2220</v>
      </c>
      <c r="AH1115">
        <v>40</v>
      </c>
      <c r="AI1115">
        <v>53</v>
      </c>
      <c r="AJ1115">
        <v>13</v>
      </c>
      <c r="AK1115">
        <v>8</v>
      </c>
      <c r="AL1115" t="s">
        <v>2232</v>
      </c>
      <c r="AM1115">
        <v>0</v>
      </c>
      <c r="AN1115" t="s">
        <v>2176</v>
      </c>
      <c r="AO1115" t="s">
        <v>2176</v>
      </c>
      <c r="AP1115" t="s">
        <v>2176</v>
      </c>
      <c r="AQ1115">
        <v>11.34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4.5</v>
      </c>
      <c r="AY1115">
        <v>4.5</v>
      </c>
      <c r="AZ1115">
        <v>0</v>
      </c>
      <c r="BA1115">
        <v>0</v>
      </c>
      <c r="BB1115">
        <v>27</v>
      </c>
      <c r="BC1115">
        <v>26</v>
      </c>
      <c r="BD1115">
        <v>23.77</v>
      </c>
      <c r="BE1115">
        <v>112</v>
      </c>
      <c r="BF1115">
        <v>88</v>
      </c>
      <c r="BG1115">
        <v>27</v>
      </c>
      <c r="BH1115">
        <v>26</v>
      </c>
      <c r="BI1115">
        <v>23.77</v>
      </c>
      <c r="BJ1115">
        <v>112</v>
      </c>
      <c r="BK1115">
        <v>88</v>
      </c>
      <c r="BL1115">
        <v>112</v>
      </c>
      <c r="BM1115">
        <v>5.5557999999999996</v>
      </c>
    </row>
    <row r="1116" spans="1:65" x14ac:dyDescent="0.25">
      <c r="A1116" t="s">
        <v>1179</v>
      </c>
      <c r="B1116" t="s">
        <v>2151</v>
      </c>
      <c r="C1116" t="s">
        <v>2160</v>
      </c>
      <c r="D1116" s="1">
        <v>45445</v>
      </c>
      <c r="E1116" s="1">
        <v>45485</v>
      </c>
      <c r="F1116" s="1">
        <v>45581</v>
      </c>
      <c r="G1116" t="s">
        <v>2162</v>
      </c>
      <c r="I1116" t="s">
        <v>2174</v>
      </c>
      <c r="J1116">
        <v>15986</v>
      </c>
      <c r="K1116">
        <v>479</v>
      </c>
      <c r="L1116">
        <v>3.2</v>
      </c>
      <c r="M1116">
        <v>3.3</v>
      </c>
      <c r="N1116">
        <v>3</v>
      </c>
      <c r="O1116">
        <v>4932</v>
      </c>
      <c r="P1116" t="s">
        <v>2176</v>
      </c>
      <c r="Q1116">
        <v>15</v>
      </c>
      <c r="R1116">
        <v>18</v>
      </c>
      <c r="S1116">
        <v>29</v>
      </c>
      <c r="T1116">
        <v>257</v>
      </c>
      <c r="U1116" t="s">
        <v>2162</v>
      </c>
      <c r="W1116" t="s">
        <v>2208</v>
      </c>
      <c r="X1116" t="s">
        <v>2210</v>
      </c>
      <c r="Y1116" t="s">
        <v>2212</v>
      </c>
      <c r="Z1116" s="1">
        <v>45547</v>
      </c>
      <c r="AA1116" s="1">
        <v>45564</v>
      </c>
      <c r="AB1116" t="s">
        <v>2214</v>
      </c>
      <c r="AC1116" t="s">
        <v>2209</v>
      </c>
      <c r="AD1116" t="s">
        <v>2216</v>
      </c>
      <c r="AE1116" t="s">
        <v>2162</v>
      </c>
      <c r="AG1116" t="s">
        <v>2220</v>
      </c>
      <c r="AH1116">
        <v>62</v>
      </c>
      <c r="AI1116">
        <v>79</v>
      </c>
      <c r="AJ1116">
        <v>17</v>
      </c>
      <c r="AK1116">
        <v>7</v>
      </c>
      <c r="AL1116" t="s">
        <v>2226</v>
      </c>
      <c r="AM1116">
        <v>0</v>
      </c>
      <c r="AN1116" t="s">
        <v>2176</v>
      </c>
      <c r="AO1116" t="s">
        <v>2176</v>
      </c>
      <c r="AP1116" t="s">
        <v>2176</v>
      </c>
      <c r="AQ1116">
        <v>10.56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4.2</v>
      </c>
      <c r="AY1116">
        <v>4.2</v>
      </c>
      <c r="AZ1116">
        <v>1</v>
      </c>
      <c r="BA1116">
        <v>0</v>
      </c>
      <c r="BB1116">
        <v>30</v>
      </c>
      <c r="BC1116">
        <v>27</v>
      </c>
      <c r="BD1116">
        <v>26.15</v>
      </c>
      <c r="BE1116">
        <v>133</v>
      </c>
      <c r="BF1116">
        <v>87.2</v>
      </c>
      <c r="BG1116">
        <v>30</v>
      </c>
      <c r="BH1116">
        <v>27</v>
      </c>
      <c r="BI1116">
        <v>26.15</v>
      </c>
      <c r="BJ1116">
        <v>133</v>
      </c>
      <c r="BK1116">
        <v>87.2</v>
      </c>
      <c r="BL1116">
        <v>133</v>
      </c>
      <c r="BM1116">
        <v>4.4504000000000001</v>
      </c>
    </row>
    <row r="1117" spans="1:65" x14ac:dyDescent="0.25">
      <c r="A1117" t="s">
        <v>1180</v>
      </c>
      <c r="B1117" t="s">
        <v>2152</v>
      </c>
      <c r="C1117" t="s">
        <v>2158</v>
      </c>
      <c r="D1117" s="1">
        <v>45492</v>
      </c>
      <c r="E1117" s="1">
        <v>45518</v>
      </c>
      <c r="F1117" s="1">
        <v>45576</v>
      </c>
      <c r="G1117" t="s">
        <v>2162</v>
      </c>
      <c r="I1117" t="s">
        <v>2176</v>
      </c>
      <c r="J1117">
        <v>15537</v>
      </c>
      <c r="K1117">
        <v>466</v>
      </c>
      <c r="L1117">
        <v>5.6</v>
      </c>
      <c r="M1117">
        <v>6</v>
      </c>
      <c r="N1117">
        <v>3</v>
      </c>
      <c r="O1117">
        <v>2992</v>
      </c>
      <c r="P1117" t="s">
        <v>2176</v>
      </c>
      <c r="Q1117">
        <v>10</v>
      </c>
      <c r="R1117">
        <v>11</v>
      </c>
      <c r="S1117">
        <v>14</v>
      </c>
      <c r="T1117">
        <v>443</v>
      </c>
      <c r="U1117" t="s">
        <v>2162</v>
      </c>
      <c r="W1117" t="s">
        <v>2208</v>
      </c>
      <c r="X1117" t="s">
        <v>2210</v>
      </c>
      <c r="Y1117" t="s">
        <v>2212</v>
      </c>
      <c r="Z1117" s="1">
        <v>45553</v>
      </c>
      <c r="AA1117" s="1">
        <v>45570</v>
      </c>
      <c r="AB1117" t="s">
        <v>2214</v>
      </c>
      <c r="AC1117" t="s">
        <v>2209</v>
      </c>
      <c r="AD1117" t="s">
        <v>2216</v>
      </c>
      <c r="AE1117" t="s">
        <v>2162</v>
      </c>
      <c r="AG1117" t="s">
        <v>2220</v>
      </c>
      <c r="AH1117">
        <v>35</v>
      </c>
      <c r="AI1117">
        <v>52</v>
      </c>
      <c r="AJ1117">
        <v>17</v>
      </c>
      <c r="AK1117">
        <v>8</v>
      </c>
      <c r="AL1117" t="s">
        <v>2232</v>
      </c>
      <c r="AM1117">
        <v>0</v>
      </c>
      <c r="AN1117" t="s">
        <v>2177</v>
      </c>
      <c r="AO1117" t="s">
        <v>2176</v>
      </c>
      <c r="AP1117" t="s">
        <v>2176</v>
      </c>
      <c r="AQ1117">
        <v>33.599999999999987</v>
      </c>
      <c r="AR1117">
        <v>1</v>
      </c>
      <c r="AS1117">
        <v>2</v>
      </c>
      <c r="AT1117">
        <v>1</v>
      </c>
      <c r="AU1117">
        <v>1</v>
      </c>
      <c r="AV1117">
        <v>1.333333333333333</v>
      </c>
      <c r="AW1117">
        <v>4.2</v>
      </c>
      <c r="AY1117">
        <v>4.2</v>
      </c>
      <c r="AZ1117">
        <v>2</v>
      </c>
      <c r="BA1117">
        <v>1</v>
      </c>
      <c r="BB1117">
        <v>29</v>
      </c>
      <c r="BC1117">
        <v>26</v>
      </c>
      <c r="BD1117">
        <v>25.54</v>
      </c>
      <c r="BE1117">
        <v>124</v>
      </c>
      <c r="BF1117">
        <v>88.1</v>
      </c>
      <c r="BG1117">
        <v>29</v>
      </c>
      <c r="BH1117">
        <v>26</v>
      </c>
      <c r="BI1117">
        <v>25.54</v>
      </c>
      <c r="BJ1117">
        <v>124</v>
      </c>
      <c r="BK1117">
        <v>88.1</v>
      </c>
      <c r="BL1117">
        <v>124</v>
      </c>
      <c r="BM1117">
        <v>4.8177000000000003</v>
      </c>
    </row>
    <row r="1118" spans="1:65" x14ac:dyDescent="0.25">
      <c r="A1118" t="s">
        <v>1181</v>
      </c>
      <c r="B1118" t="s">
        <v>2153</v>
      </c>
      <c r="C1118" t="s">
        <v>2159</v>
      </c>
      <c r="D1118" s="1">
        <v>45261</v>
      </c>
      <c r="E1118" s="1">
        <v>45298</v>
      </c>
      <c r="F1118" s="1">
        <v>45394</v>
      </c>
      <c r="G1118" t="s">
        <v>2162</v>
      </c>
      <c r="I1118" t="s">
        <v>2176</v>
      </c>
      <c r="J1118">
        <v>18571</v>
      </c>
      <c r="K1118">
        <v>557</v>
      </c>
      <c r="L1118">
        <v>2.7</v>
      </c>
      <c r="M1118">
        <v>2.6</v>
      </c>
      <c r="N1118">
        <v>2</v>
      </c>
      <c r="O1118">
        <v>2733</v>
      </c>
      <c r="P1118" t="s">
        <v>2176</v>
      </c>
      <c r="Q1118">
        <v>11</v>
      </c>
      <c r="R1118">
        <v>14</v>
      </c>
      <c r="S1118">
        <v>22</v>
      </c>
      <c r="T1118">
        <v>395</v>
      </c>
      <c r="U1118" t="s">
        <v>2162</v>
      </c>
      <c r="W1118" t="s">
        <v>2208</v>
      </c>
      <c r="X1118" t="s">
        <v>2210</v>
      </c>
      <c r="Y1118" t="s">
        <v>2212</v>
      </c>
      <c r="Z1118" s="1">
        <v>45345</v>
      </c>
      <c r="AA1118" s="1">
        <v>45360</v>
      </c>
      <c r="AB1118" t="s">
        <v>2214</v>
      </c>
      <c r="AC1118" t="s">
        <v>2209</v>
      </c>
      <c r="AD1118" t="s">
        <v>2216</v>
      </c>
      <c r="AE1118" t="s">
        <v>2162</v>
      </c>
      <c r="AG1118" t="s">
        <v>2220</v>
      </c>
      <c r="AH1118">
        <v>47</v>
      </c>
      <c r="AI1118">
        <v>62</v>
      </c>
      <c r="AJ1118">
        <v>15</v>
      </c>
      <c r="AK1118">
        <v>1</v>
      </c>
      <c r="AL1118" t="s">
        <v>2233</v>
      </c>
      <c r="AM1118">
        <v>0</v>
      </c>
      <c r="AN1118" t="s">
        <v>2176</v>
      </c>
      <c r="AO1118" t="s">
        <v>2176</v>
      </c>
      <c r="AP1118" t="s">
        <v>2176</v>
      </c>
      <c r="AQ1118">
        <v>7.02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4.2</v>
      </c>
      <c r="AY1118">
        <v>4.2</v>
      </c>
      <c r="AZ1118">
        <v>0</v>
      </c>
      <c r="BA1118">
        <v>1</v>
      </c>
      <c r="BB1118">
        <v>26</v>
      </c>
      <c r="BC1118">
        <v>27</v>
      </c>
      <c r="BD1118">
        <v>23.19</v>
      </c>
      <c r="BE1118">
        <v>113</v>
      </c>
      <c r="BF1118">
        <v>89.2</v>
      </c>
      <c r="BG1118">
        <v>26</v>
      </c>
      <c r="BH1118">
        <v>27</v>
      </c>
      <c r="BI1118">
        <v>23.19</v>
      </c>
      <c r="BJ1118">
        <v>113</v>
      </c>
      <c r="BK1118">
        <v>89.2</v>
      </c>
      <c r="BL1118">
        <v>113</v>
      </c>
      <c r="BM1118">
        <v>6.0849000000000002</v>
      </c>
    </row>
    <row r="1119" spans="1:65" x14ac:dyDescent="0.25">
      <c r="A1119" t="s">
        <v>1182</v>
      </c>
      <c r="B1119" t="s">
        <v>2154</v>
      </c>
      <c r="C1119" t="s">
        <v>2157</v>
      </c>
      <c r="D1119" s="1">
        <v>45339</v>
      </c>
      <c r="E1119" s="1">
        <v>45392</v>
      </c>
      <c r="F1119" s="1">
        <v>45432</v>
      </c>
      <c r="G1119" t="s">
        <v>2164</v>
      </c>
      <c r="I1119" t="s">
        <v>2176</v>
      </c>
      <c r="J1119">
        <v>8464</v>
      </c>
      <c r="K1119">
        <v>253</v>
      </c>
      <c r="L1119">
        <v>6.3</v>
      </c>
      <c r="M1119">
        <v>2.2999999999999998</v>
      </c>
      <c r="N1119">
        <v>1</v>
      </c>
      <c r="O1119">
        <v>3110</v>
      </c>
      <c r="P1119" t="s">
        <v>2176</v>
      </c>
      <c r="Q1119">
        <v>5</v>
      </c>
      <c r="R1119">
        <v>6</v>
      </c>
      <c r="S1119">
        <v>7</v>
      </c>
      <c r="T1119">
        <v>470</v>
      </c>
      <c r="U1119" t="s">
        <v>2164</v>
      </c>
      <c r="W1119" t="s">
        <v>2208</v>
      </c>
      <c r="X1119" t="s">
        <v>2210</v>
      </c>
      <c r="Y1119" t="s">
        <v>2212</v>
      </c>
      <c r="Z1119" s="1">
        <v>45410</v>
      </c>
      <c r="AA1119" s="1">
        <v>45429</v>
      </c>
      <c r="AB1119" t="s">
        <v>2214</v>
      </c>
      <c r="AC1119" t="s">
        <v>2209</v>
      </c>
      <c r="AD1119" t="s">
        <v>2216</v>
      </c>
      <c r="AE1119" t="s">
        <v>2164</v>
      </c>
      <c r="AG1119" t="s">
        <v>2220</v>
      </c>
      <c r="AH1119">
        <v>18</v>
      </c>
      <c r="AI1119">
        <v>37</v>
      </c>
      <c r="AJ1119">
        <v>19</v>
      </c>
      <c r="AK1119">
        <v>4</v>
      </c>
      <c r="AL1119" t="s">
        <v>2225</v>
      </c>
      <c r="AM1119">
        <v>0</v>
      </c>
      <c r="AN1119" t="s">
        <v>2176</v>
      </c>
      <c r="AO1119" t="s">
        <v>2176</v>
      </c>
      <c r="AP1119" t="s">
        <v>2176</v>
      </c>
      <c r="AQ1119">
        <v>14.49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4.5</v>
      </c>
      <c r="AY1119">
        <v>4.5</v>
      </c>
      <c r="AZ1119">
        <v>3</v>
      </c>
      <c r="BA1119">
        <v>1</v>
      </c>
      <c r="BB1119">
        <v>30</v>
      </c>
      <c r="BC1119">
        <v>26</v>
      </c>
      <c r="BD1119">
        <v>26.42</v>
      </c>
      <c r="BE1119">
        <v>126</v>
      </c>
      <c r="BF1119">
        <v>88.1</v>
      </c>
      <c r="BG1119">
        <v>30</v>
      </c>
      <c r="BH1119">
        <v>26</v>
      </c>
      <c r="BI1119">
        <v>26.42</v>
      </c>
      <c r="BJ1119">
        <v>126</v>
      </c>
      <c r="BK1119">
        <v>88.1</v>
      </c>
      <c r="BL1119">
        <v>126</v>
      </c>
      <c r="BM1119">
        <v>2.5829</v>
      </c>
    </row>
    <row r="1120" spans="1:65" x14ac:dyDescent="0.25">
      <c r="A1120" t="s">
        <v>1183</v>
      </c>
      <c r="B1120" t="s">
        <v>2155</v>
      </c>
      <c r="C1120" t="s">
        <v>2159</v>
      </c>
      <c r="D1120" s="1">
        <v>45297</v>
      </c>
      <c r="E1120" s="1">
        <v>45353</v>
      </c>
      <c r="F1120" s="1">
        <v>45390</v>
      </c>
      <c r="G1120" t="s">
        <v>2164</v>
      </c>
      <c r="I1120" t="s">
        <v>2176</v>
      </c>
      <c r="J1120">
        <v>6860</v>
      </c>
      <c r="K1120">
        <v>205</v>
      </c>
      <c r="L1120">
        <v>5.4</v>
      </c>
      <c r="M1120">
        <v>4.5999999999999996</v>
      </c>
      <c r="N1120">
        <v>3</v>
      </c>
      <c r="O1120">
        <v>1812</v>
      </c>
      <c r="P1120" t="s">
        <v>2176</v>
      </c>
      <c r="Q1120">
        <v>4</v>
      </c>
      <c r="R1120">
        <v>4</v>
      </c>
      <c r="S1120">
        <v>7</v>
      </c>
      <c r="T1120">
        <v>457</v>
      </c>
      <c r="U1120" t="s">
        <v>2164</v>
      </c>
      <c r="W1120" t="s">
        <v>2208</v>
      </c>
      <c r="X1120" t="s">
        <v>2210</v>
      </c>
      <c r="Y1120" t="s">
        <v>2212</v>
      </c>
      <c r="Z1120" s="1">
        <v>45368</v>
      </c>
      <c r="AA1120" s="1">
        <v>45383</v>
      </c>
      <c r="AB1120" t="s">
        <v>2214</v>
      </c>
      <c r="AC1120" t="s">
        <v>2209</v>
      </c>
      <c r="AD1120" t="s">
        <v>2216</v>
      </c>
      <c r="AE1120" t="s">
        <v>2164</v>
      </c>
      <c r="AG1120" t="s">
        <v>2220</v>
      </c>
      <c r="AH1120">
        <v>15</v>
      </c>
      <c r="AI1120">
        <v>30</v>
      </c>
      <c r="AJ1120">
        <v>15</v>
      </c>
      <c r="AK1120">
        <v>3</v>
      </c>
      <c r="AL1120" t="s">
        <v>2227</v>
      </c>
      <c r="AM1120">
        <v>0</v>
      </c>
      <c r="AN1120" t="s">
        <v>2176</v>
      </c>
      <c r="AO1120" t="s">
        <v>2176</v>
      </c>
      <c r="AP1120" t="s">
        <v>2176</v>
      </c>
      <c r="AQ1120">
        <v>24.84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4.5</v>
      </c>
      <c r="AY1120">
        <v>4.5</v>
      </c>
      <c r="AZ1120">
        <v>0</v>
      </c>
      <c r="BA1120">
        <v>1</v>
      </c>
      <c r="BB1120">
        <v>30</v>
      </c>
      <c r="BC1120">
        <v>26</v>
      </c>
      <c r="BD1120">
        <v>26.31</v>
      </c>
      <c r="BE1120">
        <v>128</v>
      </c>
      <c r="BF1120">
        <v>87.7</v>
      </c>
      <c r="BG1120">
        <v>30</v>
      </c>
      <c r="BH1120">
        <v>26</v>
      </c>
      <c r="BI1120">
        <v>26.31</v>
      </c>
      <c r="BJ1120">
        <v>128</v>
      </c>
      <c r="BK1120">
        <v>87.7</v>
      </c>
      <c r="BL1120">
        <v>128</v>
      </c>
      <c r="BM1120">
        <v>2.0607000000000002</v>
      </c>
    </row>
    <row r="1121" spans="1:65" x14ac:dyDescent="0.25">
      <c r="A1121" t="s">
        <v>1184</v>
      </c>
      <c r="B1121" t="s">
        <v>2156</v>
      </c>
      <c r="C1121" t="s">
        <v>2159</v>
      </c>
      <c r="D1121" s="1">
        <v>45269</v>
      </c>
      <c r="E1121" s="1">
        <v>45298</v>
      </c>
      <c r="F1121" s="1">
        <v>45368</v>
      </c>
      <c r="G1121" t="s">
        <v>2164</v>
      </c>
      <c r="I1121" t="s">
        <v>2174</v>
      </c>
      <c r="J1121">
        <v>10493</v>
      </c>
      <c r="K1121">
        <v>314</v>
      </c>
      <c r="L1121">
        <v>6.2</v>
      </c>
      <c r="M1121">
        <v>1.9</v>
      </c>
      <c r="N1121">
        <v>1</v>
      </c>
      <c r="O1121">
        <v>1319</v>
      </c>
      <c r="P1121" t="s">
        <v>2176</v>
      </c>
      <c r="Q1121">
        <v>7</v>
      </c>
      <c r="R1121">
        <v>7</v>
      </c>
      <c r="S1121">
        <v>11</v>
      </c>
      <c r="T1121">
        <v>419</v>
      </c>
      <c r="U1121" t="s">
        <v>2164</v>
      </c>
      <c r="W1121" t="s">
        <v>2208</v>
      </c>
      <c r="X1121" t="s">
        <v>2210</v>
      </c>
      <c r="Y1121" t="s">
        <v>2212</v>
      </c>
      <c r="Z1121" s="1">
        <v>45323</v>
      </c>
      <c r="AA1121" s="1">
        <v>45341</v>
      </c>
      <c r="AB1121" t="s">
        <v>2214</v>
      </c>
      <c r="AC1121" t="s">
        <v>2209</v>
      </c>
      <c r="AD1121" t="s">
        <v>2216</v>
      </c>
      <c r="AE1121" t="s">
        <v>2164</v>
      </c>
      <c r="AG1121" t="s">
        <v>2220</v>
      </c>
      <c r="AH1121">
        <v>25</v>
      </c>
      <c r="AI1121">
        <v>43</v>
      </c>
      <c r="AJ1121">
        <v>18</v>
      </c>
      <c r="AK1121">
        <v>1</v>
      </c>
      <c r="AL1121" t="s">
        <v>2233</v>
      </c>
      <c r="AM1121">
        <v>0</v>
      </c>
      <c r="AN1121" t="s">
        <v>2176</v>
      </c>
      <c r="AO1121" t="s">
        <v>2176</v>
      </c>
      <c r="AP1121" t="s">
        <v>2176</v>
      </c>
      <c r="AQ1121">
        <v>11.78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4.5</v>
      </c>
      <c r="AY1121">
        <v>4.5</v>
      </c>
      <c r="AZ1121">
        <v>0</v>
      </c>
      <c r="BA1121">
        <v>0</v>
      </c>
      <c r="BB1121">
        <v>30</v>
      </c>
      <c r="BC1121">
        <v>27</v>
      </c>
      <c r="BD1121">
        <v>25.85</v>
      </c>
      <c r="BE1121">
        <v>132</v>
      </c>
      <c r="BF1121">
        <v>86.2</v>
      </c>
      <c r="BG1121">
        <v>30</v>
      </c>
      <c r="BH1121">
        <v>27</v>
      </c>
      <c r="BI1121">
        <v>25.85</v>
      </c>
      <c r="BJ1121">
        <v>132</v>
      </c>
      <c r="BK1121">
        <v>86.2</v>
      </c>
      <c r="BL1121">
        <v>132</v>
      </c>
      <c r="BM1121">
        <v>2.9432999999999998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55D4-9AA2-4C9C-A768-577C77B59B9C}">
  <dimension ref="A1:AF16"/>
  <sheetViews>
    <sheetView workbookViewId="0">
      <selection activeCell="E3" sqref="E3"/>
    </sheetView>
  </sheetViews>
  <sheetFormatPr defaultRowHeight="15" x14ac:dyDescent="0.25"/>
  <cols>
    <col min="2" max="2" width="11.5703125" customWidth="1"/>
    <col min="3" max="3" width="14.28515625" customWidth="1"/>
    <col min="4" max="4" width="10.42578125" customWidth="1"/>
    <col min="5" max="5" width="14.85546875" customWidth="1"/>
    <col min="6" max="6" width="12.7109375" customWidth="1"/>
    <col min="7" max="7" width="11.85546875" customWidth="1"/>
    <col min="8" max="8" width="15.42578125" customWidth="1"/>
    <col min="9" max="9" width="11.85546875" customWidth="1"/>
    <col min="10" max="10" width="13.85546875" customWidth="1"/>
    <col min="11" max="11" width="19.7109375" customWidth="1"/>
    <col min="12" max="12" width="26.85546875" customWidth="1"/>
    <col min="13" max="15" width="23.28515625" customWidth="1"/>
    <col min="16" max="16" width="11.7109375" customWidth="1"/>
    <col min="17" max="17" width="12.42578125" customWidth="1"/>
    <col min="18" max="23" width="26.7109375" customWidth="1"/>
    <col min="24" max="24" width="23.28515625" customWidth="1"/>
    <col min="25" max="25" width="17.7109375" customWidth="1"/>
    <col min="26" max="26" width="24.85546875" customWidth="1"/>
    <col min="27" max="27" width="17.85546875" customWidth="1"/>
    <col min="28" max="28" width="18.42578125" customWidth="1"/>
    <col min="30" max="30" width="17.85546875" customWidth="1"/>
  </cols>
  <sheetData>
    <row r="1" spans="1:32" ht="15.75" x14ac:dyDescent="0.25">
      <c r="A1" s="2" t="s">
        <v>2235</v>
      </c>
      <c r="B1" s="2" t="s">
        <v>2236</v>
      </c>
      <c r="C1" s="2" t="s">
        <v>2</v>
      </c>
      <c r="D1" s="2" t="s">
        <v>1</v>
      </c>
      <c r="E1" s="2"/>
      <c r="F1" s="3" t="s">
        <v>2237</v>
      </c>
      <c r="G1" s="2" t="s">
        <v>2238</v>
      </c>
      <c r="H1" s="2" t="s">
        <v>2239</v>
      </c>
      <c r="I1" s="2" t="s">
        <v>2240</v>
      </c>
      <c r="J1" s="2" t="s">
        <v>2241</v>
      </c>
      <c r="K1" s="2" t="s">
        <v>2242</v>
      </c>
      <c r="L1" s="2" t="s">
        <v>2243</v>
      </c>
      <c r="M1" s="2" t="s">
        <v>2244</v>
      </c>
      <c r="N1" s="2" t="s">
        <v>2245</v>
      </c>
      <c r="O1" s="2" t="s">
        <v>2246</v>
      </c>
      <c r="P1" s="2" t="s">
        <v>2247</v>
      </c>
      <c r="Q1" s="2" t="s">
        <v>2248</v>
      </c>
      <c r="R1" s="2" t="s">
        <v>2249</v>
      </c>
      <c r="S1" s="2" t="s">
        <v>2250</v>
      </c>
      <c r="T1" s="2" t="s">
        <v>2244</v>
      </c>
      <c r="U1" s="2" t="s">
        <v>2245</v>
      </c>
      <c r="V1" s="2" t="s">
        <v>2246</v>
      </c>
      <c r="W1" s="2" t="s">
        <v>2247</v>
      </c>
      <c r="X1" s="2" t="s">
        <v>2248</v>
      </c>
      <c r="Y1" s="2" t="s">
        <v>2251</v>
      </c>
      <c r="Z1" s="2" t="s">
        <v>2252</v>
      </c>
      <c r="AA1" s="2"/>
      <c r="AB1" s="2"/>
      <c r="AC1" s="2"/>
      <c r="AD1" s="2"/>
      <c r="AE1" s="2"/>
      <c r="AF1" s="2"/>
    </row>
    <row r="2" spans="1:32" ht="15.75" x14ac:dyDescent="0.25">
      <c r="A2" s="4" t="s">
        <v>2253</v>
      </c>
      <c r="B2" s="4" t="s">
        <v>2254</v>
      </c>
      <c r="C2" s="4" t="s">
        <v>2255</v>
      </c>
      <c r="D2" s="4" t="s">
        <v>2256</v>
      </c>
      <c r="E2" s="4"/>
      <c r="F2" s="4">
        <v>5000</v>
      </c>
      <c r="G2" s="4" t="s">
        <v>2257</v>
      </c>
      <c r="H2" s="4"/>
      <c r="I2" s="4"/>
      <c r="J2" s="4"/>
      <c r="K2" s="4">
        <v>5000</v>
      </c>
      <c r="L2" s="4" t="s">
        <v>2258</v>
      </c>
      <c r="M2" s="4"/>
      <c r="N2" s="4">
        <v>20</v>
      </c>
      <c r="O2" s="4">
        <v>2000</v>
      </c>
      <c r="P2" s="4"/>
      <c r="Q2" s="4"/>
      <c r="R2" s="4" t="s">
        <v>2259</v>
      </c>
      <c r="S2" s="4"/>
      <c r="T2" s="4"/>
      <c r="U2" s="4">
        <v>20</v>
      </c>
      <c r="V2" s="4">
        <v>2000</v>
      </c>
      <c r="W2" s="4"/>
      <c r="X2" s="4"/>
      <c r="Y2" s="4" t="s">
        <v>2258</v>
      </c>
      <c r="Z2" s="4">
        <v>2000</v>
      </c>
      <c r="AA2" s="4"/>
      <c r="AB2" s="4"/>
      <c r="AC2" s="4"/>
      <c r="AD2" s="4"/>
      <c r="AE2" s="4"/>
      <c r="AF2" s="4"/>
    </row>
    <row r="3" spans="1:32" ht="15.75" x14ac:dyDescent="0.25">
      <c r="A3" s="4" t="s">
        <v>2260</v>
      </c>
      <c r="B3" s="4" t="s">
        <v>2261</v>
      </c>
      <c r="C3" s="4" t="s">
        <v>2262</v>
      </c>
      <c r="D3" s="4" t="s">
        <v>2263</v>
      </c>
      <c r="E3" s="4"/>
      <c r="F3" s="4">
        <v>8000</v>
      </c>
      <c r="G3" s="4" t="s">
        <v>2264</v>
      </c>
      <c r="H3" s="4"/>
      <c r="I3" s="4"/>
      <c r="J3" s="4"/>
      <c r="K3" s="4">
        <v>8000</v>
      </c>
      <c r="L3" s="4" t="s">
        <v>2265</v>
      </c>
      <c r="M3" s="4"/>
      <c r="N3" s="4">
        <v>30</v>
      </c>
      <c r="O3" s="4">
        <v>2500</v>
      </c>
      <c r="P3" s="4"/>
      <c r="Q3" s="4"/>
      <c r="R3" s="4" t="s">
        <v>2266</v>
      </c>
      <c r="S3" s="4"/>
      <c r="T3" s="4"/>
      <c r="U3" s="4">
        <v>30</v>
      </c>
      <c r="V3" s="4">
        <v>2500</v>
      </c>
      <c r="W3" s="4"/>
      <c r="X3" s="4"/>
      <c r="Y3" s="4" t="s">
        <v>2265</v>
      </c>
      <c r="Z3" s="4">
        <v>2500</v>
      </c>
      <c r="AA3" s="4"/>
      <c r="AB3" s="4"/>
      <c r="AC3" s="4"/>
      <c r="AD3" s="4"/>
      <c r="AE3" s="4"/>
      <c r="AF3" s="4"/>
    </row>
    <row r="4" spans="1:32" ht="15.75" x14ac:dyDescent="0.25">
      <c r="A4" s="4" t="s">
        <v>2267</v>
      </c>
      <c r="B4" s="4" t="s">
        <v>2268</v>
      </c>
      <c r="C4" s="4" t="s">
        <v>2269</v>
      </c>
      <c r="D4" s="4" t="s">
        <v>2270</v>
      </c>
      <c r="E4" s="4"/>
      <c r="F4" s="4">
        <v>3000</v>
      </c>
      <c r="G4" s="4" t="s">
        <v>2271</v>
      </c>
      <c r="H4" s="4"/>
      <c r="I4" s="4"/>
      <c r="J4" s="4"/>
      <c r="K4" s="4">
        <v>3000</v>
      </c>
      <c r="L4" s="4" t="s">
        <v>2272</v>
      </c>
      <c r="M4" s="4"/>
      <c r="N4" s="4">
        <v>10</v>
      </c>
      <c r="O4" s="4">
        <v>1800</v>
      </c>
      <c r="P4" s="4"/>
      <c r="Q4" s="4"/>
      <c r="R4" s="4" t="s">
        <v>2273</v>
      </c>
      <c r="S4" s="4"/>
      <c r="T4" s="4"/>
      <c r="U4" s="4">
        <v>10</v>
      </c>
      <c r="V4" s="4">
        <v>1800</v>
      </c>
      <c r="W4" s="4"/>
      <c r="X4" s="4"/>
      <c r="Y4" s="4" t="s">
        <v>2272</v>
      </c>
      <c r="Z4" s="4">
        <v>1800</v>
      </c>
      <c r="AA4" s="4"/>
      <c r="AB4" s="4"/>
      <c r="AC4" s="4"/>
      <c r="AD4" s="4"/>
      <c r="AE4" s="4"/>
      <c r="AF4" s="4"/>
    </row>
    <row r="5" spans="1:32" ht="15.75" x14ac:dyDescent="0.25">
      <c r="A5" s="4" t="s">
        <v>2274</v>
      </c>
      <c r="B5" s="4" t="s">
        <v>2275</v>
      </c>
      <c r="C5" s="4" t="s">
        <v>2276</v>
      </c>
      <c r="D5" s="4" t="s">
        <v>2277</v>
      </c>
      <c r="E5" s="4"/>
      <c r="F5" s="4">
        <v>6000</v>
      </c>
      <c r="G5" s="4" t="s">
        <v>2278</v>
      </c>
      <c r="H5" s="4"/>
      <c r="I5" s="4"/>
      <c r="J5" s="4"/>
      <c r="K5" s="4">
        <v>6000</v>
      </c>
      <c r="L5" s="4" t="s">
        <v>2279</v>
      </c>
      <c r="M5" s="4"/>
      <c r="N5" s="4">
        <v>5</v>
      </c>
      <c r="O5" s="4">
        <v>2200</v>
      </c>
      <c r="P5" s="4"/>
      <c r="Q5" s="4"/>
      <c r="R5" s="4" t="s">
        <v>2280</v>
      </c>
      <c r="S5" s="4"/>
      <c r="T5" s="4"/>
      <c r="U5" s="4">
        <v>5</v>
      </c>
      <c r="V5" s="4">
        <v>2200</v>
      </c>
      <c r="W5" s="4"/>
      <c r="X5" s="4"/>
      <c r="Y5" s="4" t="s">
        <v>2279</v>
      </c>
      <c r="Z5" s="4">
        <v>2200</v>
      </c>
      <c r="AA5" s="4"/>
      <c r="AB5" s="4"/>
      <c r="AC5" s="4"/>
      <c r="AD5" s="4"/>
      <c r="AE5" s="4"/>
      <c r="AF5" s="4"/>
    </row>
    <row r="6" spans="1:32" ht="15.75" x14ac:dyDescent="0.25">
      <c r="A6" s="4" t="s">
        <v>2281</v>
      </c>
      <c r="B6" s="4" t="s">
        <v>2282</v>
      </c>
      <c r="C6" s="4" t="s">
        <v>2283</v>
      </c>
      <c r="D6" s="4" t="s">
        <v>2284</v>
      </c>
      <c r="E6" s="4"/>
      <c r="F6" s="4">
        <v>4000</v>
      </c>
      <c r="G6" s="4" t="s">
        <v>2282</v>
      </c>
      <c r="H6" s="4"/>
      <c r="I6" s="4"/>
      <c r="J6" s="4"/>
      <c r="K6" s="4">
        <v>4000</v>
      </c>
      <c r="L6" s="4" t="s">
        <v>2285</v>
      </c>
      <c r="M6" s="4"/>
      <c r="N6" s="4">
        <v>8</v>
      </c>
      <c r="O6" s="4">
        <v>2000</v>
      </c>
      <c r="P6" s="4"/>
      <c r="Q6" s="4"/>
      <c r="R6" s="4" t="s">
        <v>2286</v>
      </c>
      <c r="S6" s="4"/>
      <c r="T6" s="4"/>
      <c r="U6" s="4">
        <v>8</v>
      </c>
      <c r="V6" s="4">
        <v>2000</v>
      </c>
      <c r="W6" s="4"/>
      <c r="X6" s="4"/>
      <c r="Y6" s="4" t="s">
        <v>2285</v>
      </c>
      <c r="Z6" s="4">
        <v>2000</v>
      </c>
      <c r="AA6" s="4"/>
      <c r="AB6" s="4"/>
      <c r="AC6" s="4"/>
      <c r="AD6" s="4"/>
      <c r="AE6" s="4"/>
      <c r="AF6" s="4"/>
    </row>
    <row r="7" spans="1:32" ht="15.7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11" spans="1:32" x14ac:dyDescent="0.25">
      <c r="L11" s="6"/>
    </row>
    <row r="16" spans="1:32" ht="15.75" x14ac:dyDescent="0.25">
      <c r="E1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4BA9-2EFE-4BFF-9888-D211188E9FA6}">
  <dimension ref="A1:K7"/>
  <sheetViews>
    <sheetView workbookViewId="0">
      <selection sqref="A1:XFD1048576"/>
    </sheetView>
  </sheetViews>
  <sheetFormatPr defaultRowHeight="15" x14ac:dyDescent="0.25"/>
  <cols>
    <col min="2" max="2" width="11.42578125" customWidth="1"/>
    <col min="3" max="3" width="17.5703125" customWidth="1"/>
    <col min="4" max="4" width="20.42578125" customWidth="1"/>
    <col min="5" max="5" width="28.5703125" customWidth="1"/>
    <col min="6" max="6" width="13.5703125" customWidth="1"/>
    <col min="7" max="7" width="25" customWidth="1"/>
    <col min="8" max="8" width="25.7109375" customWidth="1"/>
    <col min="9" max="9" width="23.7109375" customWidth="1"/>
    <col min="10" max="10" width="18.42578125" customWidth="1"/>
  </cols>
  <sheetData>
    <row r="1" spans="1:11" ht="15.75" x14ac:dyDescent="0.25">
      <c r="A1" t="s">
        <v>2287</v>
      </c>
      <c r="B1" t="s">
        <v>2288</v>
      </c>
      <c r="C1" t="s">
        <v>2289</v>
      </c>
      <c r="D1" t="s">
        <v>2290</v>
      </c>
      <c r="E1" t="s">
        <v>2291</v>
      </c>
      <c r="F1" t="s">
        <v>2292</v>
      </c>
      <c r="G1" t="s">
        <v>2293</v>
      </c>
      <c r="H1" t="s">
        <v>2294</v>
      </c>
      <c r="I1" t="s">
        <v>2295</v>
      </c>
      <c r="J1" s="2" t="s">
        <v>2296</v>
      </c>
      <c r="K1" s="2" t="s">
        <v>2297</v>
      </c>
    </row>
    <row r="2" spans="1:11" ht="15.75" x14ac:dyDescent="0.25">
      <c r="J2" s="4">
        <v>1500</v>
      </c>
      <c r="K2" s="4" t="s">
        <v>2298</v>
      </c>
    </row>
    <row r="3" spans="1:11" ht="15.75" x14ac:dyDescent="0.25">
      <c r="J3" s="4">
        <v>2400</v>
      </c>
      <c r="K3" s="4" t="s">
        <v>2299</v>
      </c>
    </row>
    <row r="4" spans="1:11" ht="15.75" x14ac:dyDescent="0.25">
      <c r="J4" s="4">
        <v>1000</v>
      </c>
      <c r="K4" s="4" t="s">
        <v>2298</v>
      </c>
    </row>
    <row r="5" spans="1:11" ht="15.75" x14ac:dyDescent="0.25">
      <c r="J5" s="4">
        <v>2100</v>
      </c>
      <c r="K5" s="4" t="s">
        <v>2299</v>
      </c>
    </row>
    <row r="6" spans="1:11" ht="15.75" x14ac:dyDescent="0.25">
      <c r="J6" s="4">
        <v>1200</v>
      </c>
      <c r="K6" s="4" t="s">
        <v>2298</v>
      </c>
    </row>
    <row r="7" spans="1:11" ht="15.75" x14ac:dyDescent="0.25">
      <c r="J7" s="5"/>
      <c r="K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3C8B-AAA5-4331-BEA3-F51A0B5F5F39}">
  <dimension ref="A1:H7"/>
  <sheetViews>
    <sheetView workbookViewId="0">
      <selection sqref="A1:XFD1048576"/>
    </sheetView>
  </sheetViews>
  <sheetFormatPr defaultRowHeight="15" x14ac:dyDescent="0.25"/>
  <cols>
    <col min="2" max="2" width="11.42578125" customWidth="1"/>
    <col min="3" max="3" width="18.7109375" customWidth="1"/>
    <col min="4" max="4" width="20.42578125" customWidth="1"/>
    <col min="5" max="5" width="14.42578125" customWidth="1"/>
    <col min="6" max="6" width="23.7109375" customWidth="1"/>
    <col min="7" max="7" width="18.42578125" customWidth="1"/>
    <col min="8" max="8" width="25.5703125" customWidth="1"/>
    <col min="9" max="9" width="23.7109375" customWidth="1"/>
  </cols>
  <sheetData>
    <row r="1" spans="1:8" ht="15.75" x14ac:dyDescent="0.25">
      <c r="A1" t="s">
        <v>2287</v>
      </c>
      <c r="B1" t="s">
        <v>2288</v>
      </c>
      <c r="C1" t="s">
        <v>2300</v>
      </c>
      <c r="D1" t="s">
        <v>2290</v>
      </c>
      <c r="E1" t="s">
        <v>2301</v>
      </c>
      <c r="F1" t="s">
        <v>2295</v>
      </c>
      <c r="G1" s="2" t="s">
        <v>2296</v>
      </c>
      <c r="H1" s="2" t="s">
        <v>2302</v>
      </c>
    </row>
    <row r="2" spans="1:8" ht="15.75" x14ac:dyDescent="0.25">
      <c r="G2" s="4">
        <v>1500</v>
      </c>
      <c r="H2" s="4" t="s">
        <v>2298</v>
      </c>
    </row>
    <row r="3" spans="1:8" ht="15.75" x14ac:dyDescent="0.25">
      <c r="G3" s="4">
        <v>2400</v>
      </c>
      <c r="H3" s="4" t="s">
        <v>2299</v>
      </c>
    </row>
    <row r="4" spans="1:8" ht="15.75" x14ac:dyDescent="0.25">
      <c r="G4" s="4">
        <v>1000</v>
      </c>
      <c r="H4" s="4" t="s">
        <v>2298</v>
      </c>
    </row>
    <row r="5" spans="1:8" ht="15.75" x14ac:dyDescent="0.25">
      <c r="G5" s="4">
        <v>2100</v>
      </c>
      <c r="H5" s="4" t="s">
        <v>2299</v>
      </c>
    </row>
    <row r="6" spans="1:8" ht="15.75" x14ac:dyDescent="0.25">
      <c r="G6" s="4">
        <v>1200</v>
      </c>
      <c r="H6" s="4" t="s">
        <v>2298</v>
      </c>
    </row>
    <row r="7" spans="1:8" ht="15.75" x14ac:dyDescent="0.25">
      <c r="G7" s="5"/>
      <c r="H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B726-49D9-49B8-B7B6-82EA96B3EECF}">
  <dimension ref="A1:M7"/>
  <sheetViews>
    <sheetView workbookViewId="0">
      <selection sqref="A1:XFD1048576"/>
    </sheetView>
  </sheetViews>
  <sheetFormatPr defaultRowHeight="15" x14ac:dyDescent="0.25"/>
  <cols>
    <col min="2" max="2" width="14.5703125" customWidth="1"/>
    <col min="3" max="3" width="19.140625" customWidth="1"/>
    <col min="4" max="4" width="19.5703125" customWidth="1"/>
    <col min="5" max="5" width="20.42578125" customWidth="1"/>
    <col min="6" max="6" width="28.5703125" customWidth="1"/>
    <col min="7" max="7" width="13.5703125" customWidth="1"/>
    <col min="8" max="8" width="25" customWidth="1"/>
    <col min="9" max="9" width="25.7109375" customWidth="1"/>
    <col min="10" max="10" width="23.7109375" customWidth="1"/>
    <col min="11" max="11" width="17.85546875" customWidth="1"/>
    <col min="12" max="12" width="18.42578125" customWidth="1"/>
  </cols>
  <sheetData>
    <row r="1" spans="1:13" ht="15.75" x14ac:dyDescent="0.25">
      <c r="A1" t="s">
        <v>2287</v>
      </c>
      <c r="B1" t="s">
        <v>2303</v>
      </c>
      <c r="C1" t="s">
        <v>2304</v>
      </c>
      <c r="D1" t="s">
        <v>2305</v>
      </c>
      <c r="E1" t="s">
        <v>2290</v>
      </c>
      <c r="F1" t="s">
        <v>2291</v>
      </c>
      <c r="G1" t="s">
        <v>2292</v>
      </c>
      <c r="H1" t="s">
        <v>2293</v>
      </c>
      <c r="I1" t="s">
        <v>2294</v>
      </c>
      <c r="J1" t="s">
        <v>2295</v>
      </c>
      <c r="K1" t="s">
        <v>2306</v>
      </c>
      <c r="L1" s="2" t="s">
        <v>2296</v>
      </c>
      <c r="M1" s="2" t="s">
        <v>2297</v>
      </c>
    </row>
    <row r="2" spans="1:13" ht="15.75" x14ac:dyDescent="0.25">
      <c r="L2" s="4">
        <v>1500</v>
      </c>
      <c r="M2" s="4" t="s">
        <v>2298</v>
      </c>
    </row>
    <row r="3" spans="1:13" ht="15.75" x14ac:dyDescent="0.25">
      <c r="L3" s="4">
        <v>2400</v>
      </c>
      <c r="M3" s="4" t="s">
        <v>2299</v>
      </c>
    </row>
    <row r="4" spans="1:13" ht="15.75" x14ac:dyDescent="0.25">
      <c r="L4" s="4">
        <v>1000</v>
      </c>
      <c r="M4" s="4" t="s">
        <v>2298</v>
      </c>
    </row>
    <row r="5" spans="1:13" ht="15.75" x14ac:dyDescent="0.25">
      <c r="L5" s="4">
        <v>2100</v>
      </c>
      <c r="M5" s="4" t="s">
        <v>2299</v>
      </c>
    </row>
    <row r="6" spans="1:13" ht="15.75" x14ac:dyDescent="0.25">
      <c r="L6" s="4">
        <v>1200</v>
      </c>
      <c r="M6" s="4" t="s">
        <v>2298</v>
      </c>
    </row>
    <row r="7" spans="1:13" ht="15.75" x14ac:dyDescent="0.25">
      <c r="L7" s="5"/>
      <c r="M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1CFD-9224-45AC-91F1-9F1D85B5FE77}">
  <dimension ref="A1:X12"/>
  <sheetViews>
    <sheetView workbookViewId="0">
      <selection activeCell="I15" sqref="I15"/>
    </sheetView>
  </sheetViews>
  <sheetFormatPr defaultRowHeight="15" x14ac:dyDescent="0.25"/>
  <cols>
    <col min="2" max="2" width="16.5703125" customWidth="1"/>
    <col min="3" max="3" width="10.5703125" customWidth="1"/>
    <col min="4" max="4" width="20.140625" customWidth="1"/>
    <col min="5" max="5" width="13.7109375" customWidth="1"/>
    <col min="6" max="9" width="16.85546875" customWidth="1"/>
    <col min="10" max="10" width="14.85546875" customWidth="1"/>
    <col min="11" max="11" width="18.7109375" customWidth="1"/>
    <col min="12" max="12" width="16.5703125" customWidth="1"/>
    <col min="13" max="13" width="17" customWidth="1"/>
    <col min="14" max="14" width="16.85546875" customWidth="1"/>
    <col min="15" max="15" width="20.140625" customWidth="1"/>
    <col min="16" max="17" width="10.28515625" customWidth="1"/>
    <col min="18" max="18" width="9.5703125" customWidth="1"/>
    <col min="19" max="19" width="12.42578125" customWidth="1"/>
    <col min="20" max="20" width="11.28515625" customWidth="1"/>
    <col min="21" max="21" width="12.42578125" customWidth="1"/>
    <col min="22" max="22" width="14.7109375" customWidth="1"/>
    <col min="23" max="23" width="12.42578125" customWidth="1"/>
  </cols>
  <sheetData>
    <row r="1" spans="1:24" ht="15.75" x14ac:dyDescent="0.25">
      <c r="A1" t="s">
        <v>2307</v>
      </c>
      <c r="B1" s="2" t="s">
        <v>2</v>
      </c>
      <c r="C1" t="s">
        <v>2308</v>
      </c>
      <c r="D1" s="2" t="s">
        <v>2309</v>
      </c>
      <c r="E1" t="s">
        <v>2310</v>
      </c>
      <c r="F1" t="s">
        <v>2311</v>
      </c>
      <c r="G1" t="s">
        <v>2312</v>
      </c>
      <c r="H1" t="s">
        <v>2313</v>
      </c>
      <c r="I1" t="s">
        <v>2290</v>
      </c>
      <c r="J1" t="s">
        <v>2314</v>
      </c>
      <c r="K1" t="s">
        <v>2315</v>
      </c>
      <c r="L1" t="s">
        <v>2316</v>
      </c>
      <c r="Q1" t="s">
        <v>2317</v>
      </c>
      <c r="R1" t="s">
        <v>2318</v>
      </c>
      <c r="S1" t="s">
        <v>2319</v>
      </c>
      <c r="T1" t="s">
        <v>2320</v>
      </c>
      <c r="U1" t="s">
        <v>2321</v>
      </c>
      <c r="V1" t="s">
        <v>2322</v>
      </c>
      <c r="W1" t="s">
        <v>2323</v>
      </c>
      <c r="X1" t="s">
        <v>2324</v>
      </c>
    </row>
    <row r="2" spans="1:24" ht="15.75" x14ac:dyDescent="0.25">
      <c r="A2" s="7">
        <v>46201</v>
      </c>
      <c r="B2" s="4" t="s">
        <v>2255</v>
      </c>
      <c r="C2">
        <v>35203</v>
      </c>
      <c r="D2" s="4" t="s">
        <v>2257</v>
      </c>
      <c r="F2">
        <v>1000</v>
      </c>
      <c r="J2">
        <f>17+60+210+210+139+116+169+190</f>
        <v>1111</v>
      </c>
      <c r="K2">
        <f>3+6</f>
        <v>9</v>
      </c>
    </row>
    <row r="3" spans="1:24" ht="15.75" x14ac:dyDescent="0.25">
      <c r="A3" s="7">
        <v>46202</v>
      </c>
      <c r="B3" s="4" t="s">
        <v>2262</v>
      </c>
      <c r="D3" s="4" t="s">
        <v>2264</v>
      </c>
      <c r="F3">
        <v>1500</v>
      </c>
      <c r="J3">
        <f>376+288+358+283</f>
        <v>1305</v>
      </c>
      <c r="K3">
        <v>1</v>
      </c>
      <c r="L3" t="s">
        <v>2325</v>
      </c>
    </row>
    <row r="4" spans="1:24" ht="15.75" x14ac:dyDescent="0.25">
      <c r="A4" s="7">
        <v>46203</v>
      </c>
      <c r="B4" s="4" t="s">
        <v>2269</v>
      </c>
      <c r="D4" s="4" t="s">
        <v>2271</v>
      </c>
      <c r="F4">
        <v>1600</v>
      </c>
      <c r="J4">
        <f>2687-1291</f>
        <v>1396</v>
      </c>
      <c r="K4">
        <v>0</v>
      </c>
      <c r="L4" t="s">
        <v>2326</v>
      </c>
    </row>
    <row r="5" spans="1:24" ht="15.75" x14ac:dyDescent="0.25">
      <c r="A5" s="7">
        <v>46204</v>
      </c>
      <c r="B5" s="4" t="s">
        <v>2276</v>
      </c>
      <c r="D5" s="4" t="s">
        <v>2278</v>
      </c>
      <c r="F5">
        <v>1300</v>
      </c>
      <c r="J5">
        <v>1291</v>
      </c>
      <c r="K5">
        <v>5</v>
      </c>
      <c r="L5" t="s">
        <v>2327</v>
      </c>
    </row>
    <row r="6" spans="1:24" ht="15.75" x14ac:dyDescent="0.25">
      <c r="A6" s="7">
        <v>46207</v>
      </c>
      <c r="B6" s="4" t="s">
        <v>2283</v>
      </c>
      <c r="D6" s="4" t="s">
        <v>2282</v>
      </c>
      <c r="F6">
        <f>334+333+130+315+335+165</f>
        <v>1612</v>
      </c>
      <c r="J6" t="s">
        <v>2328</v>
      </c>
      <c r="K6" t="s">
        <v>2328</v>
      </c>
    </row>
    <row r="7" spans="1:24" x14ac:dyDescent="0.25">
      <c r="A7" s="7">
        <v>46208</v>
      </c>
      <c r="B7" s="7"/>
      <c r="F7">
        <f>326+352+330+331+212+136</f>
        <v>1687</v>
      </c>
      <c r="J7" t="s">
        <v>2328</v>
      </c>
      <c r="K7" t="s">
        <v>2328</v>
      </c>
    </row>
    <row r="8" spans="1:24" x14ac:dyDescent="0.25">
      <c r="J8" t="s">
        <v>2328</v>
      </c>
      <c r="K8" t="s">
        <v>2328</v>
      </c>
    </row>
    <row r="9" spans="1:24" x14ac:dyDescent="0.25">
      <c r="J9" t="s">
        <v>2328</v>
      </c>
      <c r="K9" t="s">
        <v>2328</v>
      </c>
    </row>
    <row r="10" spans="1:24" x14ac:dyDescent="0.25">
      <c r="J10" t="s">
        <v>2328</v>
      </c>
      <c r="K10" t="s">
        <v>2328</v>
      </c>
    </row>
    <row r="11" spans="1:24" x14ac:dyDescent="0.25">
      <c r="J11" t="s">
        <v>2328</v>
      </c>
      <c r="K11" t="s">
        <v>2328</v>
      </c>
    </row>
    <row r="12" spans="1:24" x14ac:dyDescent="0.25">
      <c r="F12">
        <v>4</v>
      </c>
      <c r="J12" t="s">
        <v>2328</v>
      </c>
      <c r="K12" t="s">
        <v>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Deta set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SAYURANGA D.I. it22889638</cp:lastModifiedBy>
  <dcterms:created xsi:type="dcterms:W3CDTF">2026-04-24T17:19:31Z</dcterms:created>
  <dcterms:modified xsi:type="dcterms:W3CDTF">2026-05-12T09:19:20Z</dcterms:modified>
</cp:coreProperties>
</file>