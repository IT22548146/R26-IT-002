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raniduravinjith/Downloads/"/>
    </mc:Choice>
  </mc:AlternateContent>
  <xr:revisionPtr revIDLastSave="0" documentId="8_{7C07FCED-44F9-E54C-867D-0E54BA0DAA0E}" xr6:coauthVersionLast="47" xr6:coauthVersionMax="47" xr10:uidLastSave="{00000000-0000-0000-0000-000000000000}"/>
  <bookViews>
    <workbookView xWindow="0" yWindow="600" windowWidth="33600" windowHeight="19460" xr2:uid="{00000000-000D-0000-FFFF-FFFF00000000}"/>
  </bookViews>
  <sheets>
    <sheet name="Component4_Dataset" sheetId="1" r:id="rId1"/>
    <sheet name="Plant_Ratings" sheetId="2" r:id="rId2"/>
    <sheet name="Dashboard" sheetId="3" r:id="rId3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3" l="1"/>
  <c r="E9" i="3"/>
  <c r="I8" i="3"/>
  <c r="E8" i="3"/>
  <c r="B8" i="3"/>
  <c r="I7" i="3"/>
  <c r="E7" i="3"/>
  <c r="I6" i="3"/>
  <c r="E6" i="3"/>
  <c r="I5" i="3"/>
  <c r="E5" i="3"/>
  <c r="I4" i="3"/>
  <c r="E4" i="3"/>
  <c r="B3" i="3"/>
  <c r="I7" i="2"/>
  <c r="I6" i="2"/>
  <c r="I5" i="2"/>
  <c r="I4" i="2"/>
  <c r="I3" i="2"/>
  <c r="I2" i="2"/>
  <c r="AE501" i="1"/>
  <c r="AB501" i="1"/>
  <c r="AC501" i="1" s="1"/>
  <c r="AD501" i="1" s="1"/>
  <c r="P501" i="1"/>
  <c r="M501" i="1"/>
  <c r="L501" i="1"/>
  <c r="AB500" i="1"/>
  <c r="P500" i="1"/>
  <c r="M500" i="1"/>
  <c r="AE500" i="1" s="1"/>
  <c r="L500" i="1"/>
  <c r="AE499" i="1"/>
  <c r="AB499" i="1"/>
  <c r="AC499" i="1" s="1"/>
  <c r="P499" i="1"/>
  <c r="M499" i="1"/>
  <c r="L499" i="1"/>
  <c r="AB498" i="1"/>
  <c r="P498" i="1"/>
  <c r="M498" i="1"/>
  <c r="AE498" i="1" s="1"/>
  <c r="L498" i="1"/>
  <c r="AB497" i="1"/>
  <c r="AC497" i="1" s="1"/>
  <c r="P497" i="1"/>
  <c r="M497" i="1"/>
  <c r="AE497" i="1" s="1"/>
  <c r="L497" i="1"/>
  <c r="AE496" i="1"/>
  <c r="AB496" i="1"/>
  <c r="P496" i="1"/>
  <c r="M496" i="1"/>
  <c r="L496" i="1"/>
  <c r="AE495" i="1"/>
  <c r="AB495" i="1"/>
  <c r="AC495" i="1" s="1"/>
  <c r="P495" i="1"/>
  <c r="M495" i="1"/>
  <c r="L495" i="1"/>
  <c r="AB494" i="1"/>
  <c r="P494" i="1"/>
  <c r="M494" i="1"/>
  <c r="AE494" i="1" s="1"/>
  <c r="L494" i="1"/>
  <c r="AB493" i="1"/>
  <c r="AC493" i="1" s="1"/>
  <c r="P493" i="1"/>
  <c r="M493" i="1"/>
  <c r="AE493" i="1" s="1"/>
  <c r="L493" i="1"/>
  <c r="AB492" i="1"/>
  <c r="P492" i="1"/>
  <c r="M492" i="1"/>
  <c r="AE492" i="1" s="1"/>
  <c r="L492" i="1"/>
  <c r="AE491" i="1"/>
  <c r="AB491" i="1"/>
  <c r="AC491" i="1" s="1"/>
  <c r="P491" i="1"/>
  <c r="M491" i="1"/>
  <c r="L491" i="1"/>
  <c r="AB490" i="1"/>
  <c r="P490" i="1"/>
  <c r="M490" i="1"/>
  <c r="AE490" i="1" s="1"/>
  <c r="L490" i="1"/>
  <c r="AB489" i="1"/>
  <c r="AC489" i="1" s="1"/>
  <c r="P489" i="1"/>
  <c r="M489" i="1"/>
  <c r="AE489" i="1" s="1"/>
  <c r="L489" i="1"/>
  <c r="AE488" i="1"/>
  <c r="AB488" i="1"/>
  <c r="P488" i="1"/>
  <c r="M488" i="1"/>
  <c r="L488" i="1"/>
  <c r="AE487" i="1"/>
  <c r="AB487" i="1"/>
  <c r="AC487" i="1" s="1"/>
  <c r="P487" i="1"/>
  <c r="M487" i="1"/>
  <c r="L487" i="1"/>
  <c r="AB486" i="1"/>
  <c r="P486" i="1"/>
  <c r="M486" i="1"/>
  <c r="AE486" i="1" s="1"/>
  <c r="L486" i="1"/>
  <c r="AB485" i="1"/>
  <c r="AC485" i="1" s="1"/>
  <c r="P485" i="1"/>
  <c r="M485" i="1"/>
  <c r="AE485" i="1" s="1"/>
  <c r="L485" i="1"/>
  <c r="AB484" i="1"/>
  <c r="P484" i="1"/>
  <c r="M484" i="1"/>
  <c r="AE484" i="1" s="1"/>
  <c r="L484" i="1"/>
  <c r="AE483" i="1"/>
  <c r="AB483" i="1"/>
  <c r="AC483" i="1" s="1"/>
  <c r="P483" i="1"/>
  <c r="M483" i="1"/>
  <c r="L483" i="1"/>
  <c r="AB482" i="1"/>
  <c r="P482" i="1"/>
  <c r="M482" i="1"/>
  <c r="AE482" i="1" s="1"/>
  <c r="L482" i="1"/>
  <c r="AB481" i="1"/>
  <c r="AC481" i="1" s="1"/>
  <c r="P481" i="1"/>
  <c r="M481" i="1"/>
  <c r="AE481" i="1" s="1"/>
  <c r="L481" i="1"/>
  <c r="AE480" i="1"/>
  <c r="AB480" i="1"/>
  <c r="P480" i="1"/>
  <c r="M480" i="1"/>
  <c r="L480" i="1"/>
  <c r="AE479" i="1"/>
  <c r="AB479" i="1"/>
  <c r="AC479" i="1" s="1"/>
  <c r="P479" i="1"/>
  <c r="M479" i="1"/>
  <c r="L479" i="1"/>
  <c r="AB478" i="1"/>
  <c r="P478" i="1"/>
  <c r="M478" i="1"/>
  <c r="AE478" i="1" s="1"/>
  <c r="L478" i="1"/>
  <c r="AB477" i="1"/>
  <c r="P477" i="1"/>
  <c r="M477" i="1"/>
  <c r="AE477" i="1" s="1"/>
  <c r="L477" i="1"/>
  <c r="AB476" i="1"/>
  <c r="P476" i="1"/>
  <c r="M476" i="1"/>
  <c r="AE476" i="1" s="1"/>
  <c r="L476" i="1"/>
  <c r="AF475" i="1"/>
  <c r="AE475" i="1"/>
  <c r="AB475" i="1"/>
  <c r="AC475" i="1" s="1"/>
  <c r="AD475" i="1" s="1"/>
  <c r="P475" i="1"/>
  <c r="M475" i="1"/>
  <c r="L475" i="1"/>
  <c r="AF474" i="1"/>
  <c r="AB474" i="1"/>
  <c r="AC474" i="1" s="1"/>
  <c r="AD474" i="1" s="1"/>
  <c r="P474" i="1"/>
  <c r="M474" i="1"/>
  <c r="AE474" i="1" s="1"/>
  <c r="L474" i="1"/>
  <c r="AB473" i="1"/>
  <c r="P473" i="1"/>
  <c r="M473" i="1"/>
  <c r="AE473" i="1" s="1"/>
  <c r="L473" i="1"/>
  <c r="AE472" i="1"/>
  <c r="AB472" i="1"/>
  <c r="P472" i="1"/>
  <c r="M472" i="1"/>
  <c r="L472" i="1"/>
  <c r="AE471" i="1"/>
  <c r="AB471" i="1"/>
  <c r="AC471" i="1" s="1"/>
  <c r="AD471" i="1" s="1"/>
  <c r="P471" i="1"/>
  <c r="M471" i="1"/>
  <c r="L471" i="1"/>
  <c r="AB470" i="1"/>
  <c r="P470" i="1"/>
  <c r="M470" i="1"/>
  <c r="AE470" i="1" s="1"/>
  <c r="L470" i="1"/>
  <c r="AB469" i="1"/>
  <c r="AC469" i="1" s="1"/>
  <c r="P469" i="1"/>
  <c r="M469" i="1"/>
  <c r="AE469" i="1" s="1"/>
  <c r="L469" i="1"/>
  <c r="AE468" i="1"/>
  <c r="AB468" i="1"/>
  <c r="P468" i="1"/>
  <c r="M468" i="1"/>
  <c r="L468" i="1"/>
  <c r="AE467" i="1"/>
  <c r="AB467" i="1"/>
  <c r="AC467" i="1" s="1"/>
  <c r="AD467" i="1" s="1"/>
  <c r="P467" i="1"/>
  <c r="M467" i="1"/>
  <c r="L467" i="1"/>
  <c r="AF466" i="1"/>
  <c r="AB466" i="1"/>
  <c r="AC466" i="1" s="1"/>
  <c r="AD466" i="1" s="1"/>
  <c r="P466" i="1"/>
  <c r="M466" i="1"/>
  <c r="AE466" i="1" s="1"/>
  <c r="L466" i="1"/>
  <c r="AB465" i="1"/>
  <c r="AC465" i="1" s="1"/>
  <c r="P465" i="1"/>
  <c r="M465" i="1"/>
  <c r="AE465" i="1" s="1"/>
  <c r="L465" i="1"/>
  <c r="AB464" i="1"/>
  <c r="P464" i="1"/>
  <c r="M464" i="1"/>
  <c r="AE464" i="1" s="1"/>
  <c r="L464" i="1"/>
  <c r="AF463" i="1"/>
  <c r="AE463" i="1"/>
  <c r="AB463" i="1"/>
  <c r="AC463" i="1" s="1"/>
  <c r="AD463" i="1" s="1"/>
  <c r="P463" i="1"/>
  <c r="M463" i="1"/>
  <c r="L463" i="1"/>
  <c r="AB462" i="1"/>
  <c r="P462" i="1"/>
  <c r="M462" i="1"/>
  <c r="AE462" i="1" s="1"/>
  <c r="L462" i="1"/>
  <c r="AB461" i="1"/>
  <c r="P461" i="1"/>
  <c r="M461" i="1"/>
  <c r="AE461" i="1" s="1"/>
  <c r="L461" i="1"/>
  <c r="AF460" i="1"/>
  <c r="AE460" i="1"/>
  <c r="AB460" i="1"/>
  <c r="AC460" i="1" s="1"/>
  <c r="AD460" i="1" s="1"/>
  <c r="P460" i="1"/>
  <c r="M460" i="1"/>
  <c r="L460" i="1"/>
  <c r="AE459" i="1"/>
  <c r="AB459" i="1"/>
  <c r="AC459" i="1" s="1"/>
  <c r="P459" i="1"/>
  <c r="M459" i="1"/>
  <c r="L459" i="1"/>
  <c r="AB458" i="1"/>
  <c r="P458" i="1"/>
  <c r="M458" i="1"/>
  <c r="AE458" i="1" s="1"/>
  <c r="L458" i="1"/>
  <c r="AF457" i="1"/>
  <c r="AB457" i="1"/>
  <c r="AC457" i="1" s="1"/>
  <c r="AD457" i="1" s="1"/>
  <c r="P457" i="1"/>
  <c r="M457" i="1"/>
  <c r="AE457" i="1" s="1"/>
  <c r="L457" i="1"/>
  <c r="AE456" i="1"/>
  <c r="AB456" i="1"/>
  <c r="AC456" i="1" s="1"/>
  <c r="P456" i="1"/>
  <c r="M456" i="1"/>
  <c r="L456" i="1"/>
  <c r="AB455" i="1"/>
  <c r="AC455" i="1" s="1"/>
  <c r="P455" i="1"/>
  <c r="M455" i="1"/>
  <c r="AE455" i="1" s="1"/>
  <c r="L455" i="1"/>
  <c r="AB454" i="1"/>
  <c r="P454" i="1"/>
  <c r="M454" i="1"/>
  <c r="AE454" i="1" s="1"/>
  <c r="L454" i="1"/>
  <c r="AF453" i="1"/>
  <c r="AB453" i="1"/>
  <c r="AC453" i="1" s="1"/>
  <c r="AD453" i="1" s="1"/>
  <c r="P453" i="1"/>
  <c r="M453" i="1"/>
  <c r="AE453" i="1" s="1"/>
  <c r="L453" i="1"/>
  <c r="AB452" i="1"/>
  <c r="AC452" i="1" s="1"/>
  <c r="P452" i="1"/>
  <c r="M452" i="1"/>
  <c r="AE452" i="1" s="1"/>
  <c r="L452" i="1"/>
  <c r="AB451" i="1"/>
  <c r="P451" i="1"/>
  <c r="M451" i="1"/>
  <c r="AE451" i="1" s="1"/>
  <c r="L451" i="1"/>
  <c r="AB450" i="1"/>
  <c r="AC450" i="1" s="1"/>
  <c r="AD450" i="1" s="1"/>
  <c r="P450" i="1"/>
  <c r="M450" i="1"/>
  <c r="AE450" i="1" s="1"/>
  <c r="L450" i="1"/>
  <c r="AB449" i="1"/>
  <c r="P449" i="1"/>
  <c r="M449" i="1"/>
  <c r="L449" i="1"/>
  <c r="AB448" i="1"/>
  <c r="P448" i="1"/>
  <c r="M448" i="1"/>
  <c r="AE448" i="1" s="1"/>
  <c r="L448" i="1"/>
  <c r="AF447" i="1"/>
  <c r="AE447" i="1"/>
  <c r="AC447" i="1"/>
  <c r="AD447" i="1" s="1"/>
  <c r="AB447" i="1"/>
  <c r="P447" i="1"/>
  <c r="M447" i="1"/>
  <c r="L447" i="1"/>
  <c r="AE446" i="1"/>
  <c r="AB446" i="1"/>
  <c r="P446" i="1"/>
  <c r="M446" i="1"/>
  <c r="AC446" i="1" s="1"/>
  <c r="L446" i="1"/>
  <c r="AF445" i="1"/>
  <c r="AE445" i="1"/>
  <c r="AC445" i="1"/>
  <c r="AD445" i="1" s="1"/>
  <c r="AB445" i="1"/>
  <c r="P445" i="1"/>
  <c r="M445" i="1"/>
  <c r="L445" i="1"/>
  <c r="AE444" i="1"/>
  <c r="AC444" i="1"/>
  <c r="AB444" i="1"/>
  <c r="P444" i="1"/>
  <c r="M444" i="1"/>
  <c r="L444" i="1"/>
  <c r="AB443" i="1"/>
  <c r="P443" i="1"/>
  <c r="M443" i="1"/>
  <c r="AE443" i="1" s="1"/>
  <c r="L443" i="1"/>
  <c r="AB442" i="1"/>
  <c r="P442" i="1"/>
  <c r="M442" i="1"/>
  <c r="AE442" i="1" s="1"/>
  <c r="L442" i="1"/>
  <c r="AC441" i="1"/>
  <c r="AD441" i="1" s="1"/>
  <c r="AB441" i="1"/>
  <c r="P441" i="1"/>
  <c r="M441" i="1"/>
  <c r="AE441" i="1" s="1"/>
  <c r="L441" i="1"/>
  <c r="AB440" i="1"/>
  <c r="P440" i="1"/>
  <c r="M440" i="1"/>
  <c r="AE440" i="1" s="1"/>
  <c r="L440" i="1"/>
  <c r="AE439" i="1"/>
  <c r="AC439" i="1"/>
  <c r="AD439" i="1" s="1"/>
  <c r="AB439" i="1"/>
  <c r="P439" i="1"/>
  <c r="M439" i="1"/>
  <c r="L439" i="1"/>
  <c r="AB438" i="1"/>
  <c r="AC438" i="1" s="1"/>
  <c r="P438" i="1"/>
  <c r="M438" i="1"/>
  <c r="AE438" i="1" s="1"/>
  <c r="L438" i="1"/>
  <c r="AF437" i="1"/>
  <c r="AE437" i="1"/>
  <c r="AC437" i="1"/>
  <c r="AD437" i="1" s="1"/>
  <c r="AB437" i="1"/>
  <c r="P437" i="1"/>
  <c r="M437" i="1"/>
  <c r="L437" i="1"/>
  <c r="AE436" i="1"/>
  <c r="AC436" i="1"/>
  <c r="AB436" i="1"/>
  <c r="P436" i="1"/>
  <c r="M436" i="1"/>
  <c r="L436" i="1"/>
  <c r="AF435" i="1"/>
  <c r="AC435" i="1"/>
  <c r="AD435" i="1" s="1"/>
  <c r="AB435" i="1"/>
  <c r="P435" i="1"/>
  <c r="M435" i="1"/>
  <c r="AE435" i="1" s="1"/>
  <c r="L435" i="1"/>
  <c r="AB434" i="1"/>
  <c r="P434" i="1"/>
  <c r="M434" i="1"/>
  <c r="AE434" i="1" s="1"/>
  <c r="L434" i="1"/>
  <c r="AB433" i="1"/>
  <c r="P433" i="1"/>
  <c r="M433" i="1"/>
  <c r="AE433" i="1" s="1"/>
  <c r="L433" i="1"/>
  <c r="AF432" i="1"/>
  <c r="AE432" i="1"/>
  <c r="AB432" i="1"/>
  <c r="AC432" i="1" s="1"/>
  <c r="AD432" i="1" s="1"/>
  <c r="P432" i="1"/>
  <c r="M432" i="1"/>
  <c r="L432" i="1"/>
  <c r="AE431" i="1"/>
  <c r="AC431" i="1"/>
  <c r="AB431" i="1"/>
  <c r="P431" i="1"/>
  <c r="M431" i="1"/>
  <c r="L431" i="1"/>
  <c r="AB430" i="1"/>
  <c r="AC430" i="1" s="1"/>
  <c r="P430" i="1"/>
  <c r="M430" i="1"/>
  <c r="AE430" i="1" s="1"/>
  <c r="L430" i="1"/>
  <c r="AE429" i="1"/>
  <c r="AB429" i="1"/>
  <c r="AC429" i="1" s="1"/>
  <c r="P429" i="1"/>
  <c r="M429" i="1"/>
  <c r="L429" i="1"/>
  <c r="AB428" i="1"/>
  <c r="P428" i="1"/>
  <c r="M428" i="1"/>
  <c r="L428" i="1"/>
  <c r="AF427" i="1"/>
  <c r="AC427" i="1"/>
  <c r="AD427" i="1" s="1"/>
  <c r="AB427" i="1"/>
  <c r="P427" i="1"/>
  <c r="M427" i="1"/>
  <c r="AE427" i="1" s="1"/>
  <c r="L427" i="1"/>
  <c r="AF426" i="1"/>
  <c r="AE426" i="1"/>
  <c r="AB426" i="1"/>
  <c r="AC426" i="1" s="1"/>
  <c r="AD426" i="1" s="1"/>
  <c r="P426" i="1"/>
  <c r="M426" i="1"/>
  <c r="L426" i="1"/>
  <c r="AB425" i="1"/>
  <c r="P425" i="1"/>
  <c r="M425" i="1"/>
  <c r="AE425" i="1" s="1"/>
  <c r="L425" i="1"/>
  <c r="AB424" i="1"/>
  <c r="P424" i="1"/>
  <c r="M424" i="1"/>
  <c r="AE424" i="1" s="1"/>
  <c r="L424" i="1"/>
  <c r="AE423" i="1"/>
  <c r="AB423" i="1"/>
  <c r="AC423" i="1" s="1"/>
  <c r="P423" i="1"/>
  <c r="M423" i="1"/>
  <c r="L423" i="1"/>
  <c r="AB422" i="1"/>
  <c r="P422" i="1"/>
  <c r="M422" i="1"/>
  <c r="L422" i="1"/>
  <c r="AF421" i="1"/>
  <c r="AE421" i="1"/>
  <c r="AB421" i="1"/>
  <c r="P421" i="1"/>
  <c r="M421" i="1"/>
  <c r="AC421" i="1" s="1"/>
  <c r="AD421" i="1" s="1"/>
  <c r="L421" i="1"/>
  <c r="AE420" i="1"/>
  <c r="AB420" i="1"/>
  <c r="AC420" i="1" s="1"/>
  <c r="P420" i="1"/>
  <c r="M420" i="1"/>
  <c r="L420" i="1"/>
  <c r="AB419" i="1"/>
  <c r="AC419" i="1" s="1"/>
  <c r="P419" i="1"/>
  <c r="M419" i="1"/>
  <c r="AE419" i="1" s="1"/>
  <c r="L419" i="1"/>
  <c r="AB418" i="1"/>
  <c r="P418" i="1"/>
  <c r="M418" i="1"/>
  <c r="AE418" i="1" s="1"/>
  <c r="L418" i="1"/>
  <c r="AB417" i="1"/>
  <c r="AC417" i="1" s="1"/>
  <c r="P417" i="1"/>
  <c r="M417" i="1"/>
  <c r="AE417" i="1" s="1"/>
  <c r="L417" i="1"/>
  <c r="AB416" i="1"/>
  <c r="P416" i="1"/>
  <c r="M416" i="1"/>
  <c r="AE416" i="1" s="1"/>
  <c r="L416" i="1"/>
  <c r="AB415" i="1"/>
  <c r="P415" i="1"/>
  <c r="M415" i="1"/>
  <c r="L415" i="1"/>
  <c r="AB414" i="1"/>
  <c r="P414" i="1"/>
  <c r="M414" i="1"/>
  <c r="AE414" i="1" s="1"/>
  <c r="L414" i="1"/>
  <c r="AC413" i="1"/>
  <c r="AF413" i="1" s="1"/>
  <c r="AB413" i="1"/>
  <c r="P413" i="1"/>
  <c r="M413" i="1"/>
  <c r="AE413" i="1" s="1"/>
  <c r="L413" i="1"/>
  <c r="AB412" i="1"/>
  <c r="AC412" i="1" s="1"/>
  <c r="P412" i="1"/>
  <c r="M412" i="1"/>
  <c r="AE412" i="1" s="1"/>
  <c r="L412" i="1"/>
  <c r="AD411" i="1"/>
  <c r="AC411" i="1"/>
  <c r="AF411" i="1" s="1"/>
  <c r="AB411" i="1"/>
  <c r="P411" i="1"/>
  <c r="M411" i="1"/>
  <c r="AE411" i="1" s="1"/>
  <c r="L411" i="1"/>
  <c r="AB410" i="1"/>
  <c r="AC410" i="1" s="1"/>
  <c r="P410" i="1"/>
  <c r="M410" i="1"/>
  <c r="AE410" i="1" s="1"/>
  <c r="L410" i="1"/>
  <c r="AB409" i="1"/>
  <c r="P409" i="1"/>
  <c r="M409" i="1"/>
  <c r="AE409" i="1" s="1"/>
  <c r="L409" i="1"/>
  <c r="AB408" i="1"/>
  <c r="AC408" i="1" s="1"/>
  <c r="P408" i="1"/>
  <c r="M408" i="1"/>
  <c r="AE408" i="1" s="1"/>
  <c r="L408" i="1"/>
  <c r="AB407" i="1"/>
  <c r="P407" i="1"/>
  <c r="M407" i="1"/>
  <c r="L407" i="1"/>
  <c r="AB406" i="1"/>
  <c r="P406" i="1"/>
  <c r="M406" i="1"/>
  <c r="AE406" i="1" s="1"/>
  <c r="L406" i="1"/>
  <c r="AF405" i="1"/>
  <c r="AD405" i="1"/>
  <c r="AC405" i="1"/>
  <c r="AB405" i="1"/>
  <c r="P405" i="1"/>
  <c r="M405" i="1"/>
  <c r="AE405" i="1" s="1"/>
  <c r="L405" i="1"/>
  <c r="AF404" i="1"/>
  <c r="AC404" i="1"/>
  <c r="AD404" i="1" s="1"/>
  <c r="AB404" i="1"/>
  <c r="P404" i="1"/>
  <c r="M404" i="1"/>
  <c r="AE404" i="1" s="1"/>
  <c r="L404" i="1"/>
  <c r="AC403" i="1"/>
  <c r="AB403" i="1"/>
  <c r="P403" i="1"/>
  <c r="M403" i="1"/>
  <c r="AE403" i="1" s="1"/>
  <c r="L403" i="1"/>
  <c r="AB402" i="1"/>
  <c r="P402" i="1"/>
  <c r="M402" i="1"/>
  <c r="AE402" i="1" s="1"/>
  <c r="L402" i="1"/>
  <c r="AB401" i="1"/>
  <c r="AC401" i="1" s="1"/>
  <c r="P401" i="1"/>
  <c r="M401" i="1"/>
  <c r="AE401" i="1" s="1"/>
  <c r="L401" i="1"/>
  <c r="AB400" i="1"/>
  <c r="P400" i="1"/>
  <c r="M400" i="1"/>
  <c r="AE400" i="1" s="1"/>
  <c r="L400" i="1"/>
  <c r="AB399" i="1"/>
  <c r="P399" i="1"/>
  <c r="M399" i="1"/>
  <c r="L399" i="1"/>
  <c r="AB398" i="1"/>
  <c r="P398" i="1"/>
  <c r="M398" i="1"/>
  <c r="AE398" i="1" s="1"/>
  <c r="L398" i="1"/>
  <c r="AC397" i="1"/>
  <c r="AF397" i="1" s="1"/>
  <c r="AB397" i="1"/>
  <c r="P397" i="1"/>
  <c r="M397" i="1"/>
  <c r="AE397" i="1" s="1"/>
  <c r="L397" i="1"/>
  <c r="AB396" i="1"/>
  <c r="AC396" i="1" s="1"/>
  <c r="P396" i="1"/>
  <c r="M396" i="1"/>
  <c r="AE396" i="1" s="1"/>
  <c r="L396" i="1"/>
  <c r="AD395" i="1"/>
  <c r="AC395" i="1"/>
  <c r="AF395" i="1" s="1"/>
  <c r="AB395" i="1"/>
  <c r="P395" i="1"/>
  <c r="M395" i="1"/>
  <c r="AE395" i="1" s="1"/>
  <c r="L395" i="1"/>
  <c r="AC394" i="1"/>
  <c r="AB394" i="1"/>
  <c r="P394" i="1"/>
  <c r="M394" i="1"/>
  <c r="AE394" i="1" s="1"/>
  <c r="L394" i="1"/>
  <c r="AB393" i="1"/>
  <c r="P393" i="1"/>
  <c r="M393" i="1"/>
  <c r="AE393" i="1" s="1"/>
  <c r="L393" i="1"/>
  <c r="AB392" i="1"/>
  <c r="AC392" i="1" s="1"/>
  <c r="P392" i="1"/>
  <c r="M392" i="1"/>
  <c r="AE392" i="1" s="1"/>
  <c r="L392" i="1"/>
  <c r="AB391" i="1"/>
  <c r="P391" i="1"/>
  <c r="M391" i="1"/>
  <c r="L391" i="1"/>
  <c r="AB390" i="1"/>
  <c r="P390" i="1"/>
  <c r="M390" i="1"/>
  <c r="AE390" i="1" s="1"/>
  <c r="L390" i="1"/>
  <c r="AF389" i="1"/>
  <c r="AD389" i="1"/>
  <c r="AC389" i="1"/>
  <c r="AB389" i="1"/>
  <c r="P389" i="1"/>
  <c r="M389" i="1"/>
  <c r="AE389" i="1" s="1"/>
  <c r="L389" i="1"/>
  <c r="AC388" i="1"/>
  <c r="AB388" i="1"/>
  <c r="P388" i="1"/>
  <c r="M388" i="1"/>
  <c r="AE388" i="1" s="1"/>
  <c r="L388" i="1"/>
  <c r="AB387" i="1"/>
  <c r="AC387" i="1" s="1"/>
  <c r="P387" i="1"/>
  <c r="M387" i="1"/>
  <c r="AE387" i="1" s="1"/>
  <c r="L387" i="1"/>
  <c r="AB386" i="1"/>
  <c r="P386" i="1"/>
  <c r="M386" i="1"/>
  <c r="AE386" i="1" s="1"/>
  <c r="L386" i="1"/>
  <c r="AB385" i="1"/>
  <c r="P385" i="1"/>
  <c r="M385" i="1"/>
  <c r="AE385" i="1" s="1"/>
  <c r="L385" i="1"/>
  <c r="AB384" i="1"/>
  <c r="P384" i="1"/>
  <c r="M384" i="1"/>
  <c r="AE384" i="1" s="1"/>
  <c r="L384" i="1"/>
  <c r="AB383" i="1"/>
  <c r="P383" i="1"/>
  <c r="M383" i="1"/>
  <c r="L383" i="1"/>
  <c r="AB382" i="1"/>
  <c r="P382" i="1"/>
  <c r="M382" i="1"/>
  <c r="AE382" i="1" s="1"/>
  <c r="L382" i="1"/>
  <c r="AC381" i="1"/>
  <c r="AF381" i="1" s="1"/>
  <c r="AB381" i="1"/>
  <c r="P381" i="1"/>
  <c r="M381" i="1"/>
  <c r="AE381" i="1" s="1"/>
  <c r="L381" i="1"/>
  <c r="AB380" i="1"/>
  <c r="AC380" i="1" s="1"/>
  <c r="P380" i="1"/>
  <c r="M380" i="1"/>
  <c r="AE380" i="1" s="1"/>
  <c r="L380" i="1"/>
  <c r="AC379" i="1"/>
  <c r="AF379" i="1" s="1"/>
  <c r="AB379" i="1"/>
  <c r="P379" i="1"/>
  <c r="M379" i="1"/>
  <c r="AE379" i="1" s="1"/>
  <c r="L379" i="1"/>
  <c r="AB378" i="1"/>
  <c r="AC378" i="1" s="1"/>
  <c r="P378" i="1"/>
  <c r="M378" i="1"/>
  <c r="AE378" i="1" s="1"/>
  <c r="L378" i="1"/>
  <c r="AB377" i="1"/>
  <c r="P377" i="1"/>
  <c r="L377" i="1"/>
  <c r="M377" i="1" s="1"/>
  <c r="AE377" i="1" s="1"/>
  <c r="AB376" i="1"/>
  <c r="AC376" i="1" s="1"/>
  <c r="P376" i="1"/>
  <c r="M376" i="1"/>
  <c r="AE376" i="1" s="1"/>
  <c r="L376" i="1"/>
  <c r="AB375" i="1"/>
  <c r="P375" i="1"/>
  <c r="L375" i="1"/>
  <c r="M375" i="1" s="1"/>
  <c r="AB374" i="1"/>
  <c r="P374" i="1"/>
  <c r="L374" i="1"/>
  <c r="M374" i="1" s="1"/>
  <c r="AF373" i="1"/>
  <c r="AC373" i="1"/>
  <c r="AD373" i="1" s="1"/>
  <c r="AB373" i="1"/>
  <c r="P373" i="1"/>
  <c r="L373" i="1"/>
  <c r="M373" i="1" s="1"/>
  <c r="AE373" i="1" s="1"/>
  <c r="AB372" i="1"/>
  <c r="AC372" i="1" s="1"/>
  <c r="P372" i="1"/>
  <c r="M372" i="1"/>
  <c r="AE372" i="1" s="1"/>
  <c r="L372" i="1"/>
  <c r="AB371" i="1"/>
  <c r="AC371" i="1" s="1"/>
  <c r="P371" i="1"/>
  <c r="M371" i="1"/>
  <c r="AE371" i="1" s="1"/>
  <c r="L371" i="1"/>
  <c r="AB370" i="1"/>
  <c r="AC370" i="1" s="1"/>
  <c r="P370" i="1"/>
  <c r="M370" i="1"/>
  <c r="AE370" i="1" s="1"/>
  <c r="L370" i="1"/>
  <c r="AB369" i="1"/>
  <c r="P369" i="1"/>
  <c r="L369" i="1"/>
  <c r="M369" i="1" s="1"/>
  <c r="AE369" i="1" s="1"/>
  <c r="AB368" i="1"/>
  <c r="P368" i="1"/>
  <c r="L368" i="1"/>
  <c r="M368" i="1" s="1"/>
  <c r="AE368" i="1" s="1"/>
  <c r="AB367" i="1"/>
  <c r="P367" i="1"/>
  <c r="L367" i="1"/>
  <c r="M367" i="1" s="1"/>
  <c r="AB366" i="1"/>
  <c r="P366" i="1"/>
  <c r="L366" i="1"/>
  <c r="M366" i="1" s="1"/>
  <c r="AF365" i="1"/>
  <c r="AC365" i="1"/>
  <c r="AD365" i="1" s="1"/>
  <c r="AB365" i="1"/>
  <c r="P365" i="1"/>
  <c r="L365" i="1"/>
  <c r="M365" i="1" s="1"/>
  <c r="AE365" i="1" s="1"/>
  <c r="AC364" i="1"/>
  <c r="AF364" i="1" s="1"/>
  <c r="AB364" i="1"/>
  <c r="P364" i="1"/>
  <c r="M364" i="1"/>
  <c r="AE364" i="1" s="1"/>
  <c r="L364" i="1"/>
  <c r="AB363" i="1"/>
  <c r="AC363" i="1" s="1"/>
  <c r="P363" i="1"/>
  <c r="M363" i="1"/>
  <c r="AE363" i="1" s="1"/>
  <c r="L363" i="1"/>
  <c r="AB362" i="1"/>
  <c r="P362" i="1"/>
  <c r="M362" i="1"/>
  <c r="AE362" i="1" s="1"/>
  <c r="L362" i="1"/>
  <c r="AB361" i="1"/>
  <c r="P361" i="1"/>
  <c r="M361" i="1"/>
  <c r="AE361" i="1" s="1"/>
  <c r="L361" i="1"/>
  <c r="AB360" i="1"/>
  <c r="P360" i="1"/>
  <c r="L360" i="1"/>
  <c r="M360" i="1" s="1"/>
  <c r="AE360" i="1" s="1"/>
  <c r="AB359" i="1"/>
  <c r="P359" i="1"/>
  <c r="L359" i="1"/>
  <c r="M359" i="1" s="1"/>
  <c r="AB358" i="1"/>
  <c r="P358" i="1"/>
  <c r="L358" i="1"/>
  <c r="M358" i="1" s="1"/>
  <c r="AB357" i="1"/>
  <c r="P357" i="1"/>
  <c r="L357" i="1"/>
  <c r="M357" i="1" s="1"/>
  <c r="AE356" i="1"/>
  <c r="AB356" i="1"/>
  <c r="P356" i="1"/>
  <c r="L356" i="1"/>
  <c r="M356" i="1" s="1"/>
  <c r="AF355" i="1"/>
  <c r="AE355" i="1"/>
  <c r="AD355" i="1"/>
  <c r="AB355" i="1"/>
  <c r="AC355" i="1" s="1"/>
  <c r="P355" i="1"/>
  <c r="L355" i="1"/>
  <c r="M355" i="1" s="1"/>
  <c r="AD354" i="1"/>
  <c r="AB354" i="1"/>
  <c r="AC354" i="1" s="1"/>
  <c r="AF354" i="1" s="1"/>
  <c r="P354" i="1"/>
  <c r="L354" i="1"/>
  <c r="M354" i="1" s="1"/>
  <c r="AE354" i="1" s="1"/>
  <c r="AB353" i="1"/>
  <c r="P353" i="1"/>
  <c r="L353" i="1"/>
  <c r="M353" i="1" s="1"/>
  <c r="AE353" i="1" s="1"/>
  <c r="AE352" i="1"/>
  <c r="AB352" i="1"/>
  <c r="P352" i="1"/>
  <c r="L352" i="1"/>
  <c r="M352" i="1" s="1"/>
  <c r="AE351" i="1"/>
  <c r="AB351" i="1"/>
  <c r="AC351" i="1" s="1"/>
  <c r="AF351" i="1" s="1"/>
  <c r="P351" i="1"/>
  <c r="L351" i="1"/>
  <c r="M351" i="1" s="1"/>
  <c r="AB350" i="1"/>
  <c r="P350" i="1"/>
  <c r="L350" i="1"/>
  <c r="M350" i="1" s="1"/>
  <c r="AE350" i="1" s="1"/>
  <c r="AB349" i="1"/>
  <c r="P349" i="1"/>
  <c r="L349" i="1"/>
  <c r="M349" i="1" s="1"/>
  <c r="AE349" i="1" s="1"/>
  <c r="AB348" i="1"/>
  <c r="P348" i="1"/>
  <c r="L348" i="1"/>
  <c r="M348" i="1" s="1"/>
  <c r="AE348" i="1" s="1"/>
  <c r="AB347" i="1"/>
  <c r="P347" i="1"/>
  <c r="L347" i="1"/>
  <c r="M347" i="1" s="1"/>
  <c r="AE347" i="1" s="1"/>
  <c r="AE346" i="1"/>
  <c r="AB346" i="1"/>
  <c r="P346" i="1"/>
  <c r="L346" i="1"/>
  <c r="M346" i="1" s="1"/>
  <c r="AB345" i="1"/>
  <c r="AC345" i="1" s="1"/>
  <c r="AF345" i="1" s="1"/>
  <c r="P345" i="1"/>
  <c r="M345" i="1"/>
  <c r="AE345" i="1" s="1"/>
  <c r="L345" i="1"/>
  <c r="AB344" i="1"/>
  <c r="P344" i="1"/>
  <c r="L344" i="1"/>
  <c r="M344" i="1" s="1"/>
  <c r="AE344" i="1" s="1"/>
  <c r="AB343" i="1"/>
  <c r="AC343" i="1" s="1"/>
  <c r="P343" i="1"/>
  <c r="L343" i="1"/>
  <c r="M343" i="1" s="1"/>
  <c r="AE343" i="1" s="1"/>
  <c r="AB342" i="1"/>
  <c r="P342" i="1"/>
  <c r="L342" i="1"/>
  <c r="M342" i="1" s="1"/>
  <c r="AE342" i="1" s="1"/>
  <c r="AB341" i="1"/>
  <c r="P341" i="1"/>
  <c r="L341" i="1"/>
  <c r="M341" i="1" s="1"/>
  <c r="AE341" i="1" s="1"/>
  <c r="AE340" i="1"/>
  <c r="AB340" i="1"/>
  <c r="P340" i="1"/>
  <c r="L340" i="1"/>
  <c r="M340" i="1" s="1"/>
  <c r="AE339" i="1"/>
  <c r="AB339" i="1"/>
  <c r="AC339" i="1" s="1"/>
  <c r="AF339" i="1" s="1"/>
  <c r="P339" i="1"/>
  <c r="L339" i="1"/>
  <c r="M339" i="1" s="1"/>
  <c r="AB338" i="1"/>
  <c r="P338" i="1"/>
  <c r="L338" i="1"/>
  <c r="M338" i="1" s="1"/>
  <c r="AE338" i="1" s="1"/>
  <c r="AE337" i="1"/>
  <c r="AB337" i="1"/>
  <c r="P337" i="1"/>
  <c r="M337" i="1"/>
  <c r="L337" i="1"/>
  <c r="AB336" i="1"/>
  <c r="AC336" i="1" s="1"/>
  <c r="P336" i="1"/>
  <c r="L336" i="1"/>
  <c r="M336" i="1" s="1"/>
  <c r="AE336" i="1" s="1"/>
  <c r="AB335" i="1"/>
  <c r="P335" i="1"/>
  <c r="L335" i="1"/>
  <c r="M335" i="1" s="1"/>
  <c r="AE335" i="1" s="1"/>
  <c r="AB334" i="1"/>
  <c r="P334" i="1"/>
  <c r="M334" i="1"/>
  <c r="AE334" i="1" s="1"/>
  <c r="L334" i="1"/>
  <c r="AB333" i="1"/>
  <c r="P333" i="1"/>
  <c r="M333" i="1"/>
  <c r="AE333" i="1" s="1"/>
  <c r="L333" i="1"/>
  <c r="AB332" i="1"/>
  <c r="P332" i="1"/>
  <c r="L332" i="1"/>
  <c r="M332" i="1" s="1"/>
  <c r="AE332" i="1" s="1"/>
  <c r="AB331" i="1"/>
  <c r="P331" i="1"/>
  <c r="L331" i="1"/>
  <c r="M331" i="1" s="1"/>
  <c r="AE331" i="1" s="1"/>
  <c r="AE330" i="1"/>
  <c r="AB330" i="1"/>
  <c r="P330" i="1"/>
  <c r="L330" i="1"/>
  <c r="M330" i="1" s="1"/>
  <c r="AB329" i="1"/>
  <c r="P329" i="1"/>
  <c r="M329" i="1"/>
  <c r="AE329" i="1" s="1"/>
  <c r="L329" i="1"/>
  <c r="AB328" i="1"/>
  <c r="P328" i="1"/>
  <c r="L328" i="1"/>
  <c r="M328" i="1" s="1"/>
  <c r="AE328" i="1" s="1"/>
  <c r="AB327" i="1"/>
  <c r="P327" i="1"/>
  <c r="L327" i="1"/>
  <c r="M327" i="1" s="1"/>
  <c r="AE327" i="1" s="1"/>
  <c r="AB326" i="1"/>
  <c r="P326" i="1"/>
  <c r="M326" i="1"/>
  <c r="AE326" i="1" s="1"/>
  <c r="L326" i="1"/>
  <c r="AB325" i="1"/>
  <c r="P325" i="1"/>
  <c r="L325" i="1"/>
  <c r="M325" i="1" s="1"/>
  <c r="AE325" i="1" s="1"/>
  <c r="AE324" i="1"/>
  <c r="AB324" i="1"/>
  <c r="P324" i="1"/>
  <c r="L324" i="1"/>
  <c r="M324" i="1" s="1"/>
  <c r="AE323" i="1"/>
  <c r="AD323" i="1"/>
  <c r="AB323" i="1"/>
  <c r="AC323" i="1" s="1"/>
  <c r="AF323" i="1" s="1"/>
  <c r="P323" i="1"/>
  <c r="L323" i="1"/>
  <c r="M323" i="1" s="1"/>
  <c r="AB322" i="1"/>
  <c r="P322" i="1"/>
  <c r="L322" i="1"/>
  <c r="M322" i="1" s="1"/>
  <c r="AE322" i="1" s="1"/>
  <c r="AE321" i="1"/>
  <c r="AB321" i="1"/>
  <c r="AC321" i="1" s="1"/>
  <c r="AF321" i="1" s="1"/>
  <c r="P321" i="1"/>
  <c r="M321" i="1"/>
  <c r="L321" i="1"/>
  <c r="AE320" i="1"/>
  <c r="AB320" i="1"/>
  <c r="AC320" i="1" s="1"/>
  <c r="P320" i="1"/>
  <c r="M320" i="1"/>
  <c r="L320" i="1"/>
  <c r="AB319" i="1"/>
  <c r="P319" i="1"/>
  <c r="L319" i="1"/>
  <c r="M319" i="1" s="1"/>
  <c r="AE319" i="1" s="1"/>
  <c r="AB318" i="1"/>
  <c r="P318" i="1"/>
  <c r="L318" i="1"/>
  <c r="M318" i="1" s="1"/>
  <c r="AE318" i="1" s="1"/>
  <c r="AE317" i="1"/>
  <c r="AB317" i="1"/>
  <c r="P317" i="1"/>
  <c r="M317" i="1"/>
  <c r="L317" i="1"/>
  <c r="AE316" i="1"/>
  <c r="AB316" i="1"/>
  <c r="P316" i="1"/>
  <c r="L316" i="1"/>
  <c r="M316" i="1" s="1"/>
  <c r="AB315" i="1"/>
  <c r="P315" i="1"/>
  <c r="L315" i="1"/>
  <c r="M315" i="1" s="1"/>
  <c r="AE315" i="1" s="1"/>
  <c r="AB314" i="1"/>
  <c r="P314" i="1"/>
  <c r="L314" i="1"/>
  <c r="M314" i="1" s="1"/>
  <c r="AE314" i="1" s="1"/>
  <c r="AF313" i="1"/>
  <c r="AE313" i="1"/>
  <c r="AB313" i="1"/>
  <c r="AC313" i="1" s="1"/>
  <c r="AD313" i="1" s="1"/>
  <c r="P313" i="1"/>
  <c r="M313" i="1"/>
  <c r="L313" i="1"/>
  <c r="AE312" i="1"/>
  <c r="AB312" i="1"/>
  <c r="AC312" i="1" s="1"/>
  <c r="AF312" i="1" s="1"/>
  <c r="P312" i="1"/>
  <c r="M312" i="1"/>
  <c r="L312" i="1"/>
  <c r="AB311" i="1"/>
  <c r="AC311" i="1" s="1"/>
  <c r="P311" i="1"/>
  <c r="M311" i="1"/>
  <c r="AE311" i="1" s="1"/>
  <c r="L311" i="1"/>
  <c r="AB310" i="1"/>
  <c r="P310" i="1"/>
  <c r="L310" i="1"/>
  <c r="M310" i="1" s="1"/>
  <c r="AE310" i="1" s="1"/>
  <c r="AD309" i="1"/>
  <c r="AB309" i="1"/>
  <c r="AC309" i="1" s="1"/>
  <c r="AF309" i="1" s="1"/>
  <c r="P309" i="1"/>
  <c r="L309" i="1"/>
  <c r="M309" i="1" s="1"/>
  <c r="AE309" i="1" s="1"/>
  <c r="AB308" i="1"/>
  <c r="AC308" i="1" s="1"/>
  <c r="P308" i="1"/>
  <c r="M308" i="1"/>
  <c r="AE308" i="1" s="1"/>
  <c r="L308" i="1"/>
  <c r="AB307" i="1"/>
  <c r="AC307" i="1" s="1"/>
  <c r="P307" i="1"/>
  <c r="M307" i="1"/>
  <c r="AE307" i="1" s="1"/>
  <c r="L307" i="1"/>
  <c r="AB306" i="1"/>
  <c r="AC306" i="1" s="1"/>
  <c r="P306" i="1"/>
  <c r="M306" i="1"/>
  <c r="AE306" i="1" s="1"/>
  <c r="L306" i="1"/>
  <c r="AB305" i="1"/>
  <c r="P305" i="1"/>
  <c r="L305" i="1"/>
  <c r="M305" i="1" s="1"/>
  <c r="AE305" i="1" s="1"/>
  <c r="AD304" i="1"/>
  <c r="AC304" i="1"/>
  <c r="AF304" i="1" s="1"/>
  <c r="AB304" i="1"/>
  <c r="P304" i="1"/>
  <c r="M304" i="1"/>
  <c r="AE304" i="1" s="1"/>
  <c r="L304" i="1"/>
  <c r="AB303" i="1"/>
  <c r="AC303" i="1" s="1"/>
  <c r="P303" i="1"/>
  <c r="M303" i="1"/>
  <c r="AE303" i="1" s="1"/>
  <c r="L303" i="1"/>
  <c r="AB302" i="1"/>
  <c r="P302" i="1"/>
  <c r="L302" i="1"/>
  <c r="M302" i="1" s="1"/>
  <c r="AE302" i="1" s="1"/>
  <c r="AB301" i="1"/>
  <c r="AC301" i="1" s="1"/>
  <c r="AF301" i="1" s="1"/>
  <c r="P301" i="1"/>
  <c r="L301" i="1"/>
  <c r="M301" i="1" s="1"/>
  <c r="AE301" i="1" s="1"/>
  <c r="AB300" i="1"/>
  <c r="AC300" i="1" s="1"/>
  <c r="P300" i="1"/>
  <c r="M300" i="1"/>
  <c r="AE300" i="1" s="1"/>
  <c r="L300" i="1"/>
  <c r="AC299" i="1"/>
  <c r="AB299" i="1"/>
  <c r="P299" i="1"/>
  <c r="M299" i="1"/>
  <c r="AE299" i="1" s="1"/>
  <c r="L299" i="1"/>
  <c r="AB298" i="1"/>
  <c r="AC298" i="1" s="1"/>
  <c r="AF298" i="1" s="1"/>
  <c r="P298" i="1"/>
  <c r="M298" i="1"/>
  <c r="AE298" i="1" s="1"/>
  <c r="L298" i="1"/>
  <c r="AB297" i="1"/>
  <c r="P297" i="1"/>
  <c r="L297" i="1"/>
  <c r="M297" i="1" s="1"/>
  <c r="AE297" i="1" s="1"/>
  <c r="AC296" i="1"/>
  <c r="AF296" i="1" s="1"/>
  <c r="AB296" i="1"/>
  <c r="P296" i="1"/>
  <c r="M296" i="1"/>
  <c r="AE296" i="1" s="1"/>
  <c r="L296" i="1"/>
  <c r="AB295" i="1"/>
  <c r="AC295" i="1" s="1"/>
  <c r="P295" i="1"/>
  <c r="M295" i="1"/>
  <c r="AE295" i="1" s="1"/>
  <c r="L295" i="1"/>
  <c r="AB294" i="1"/>
  <c r="P294" i="1"/>
  <c r="L294" i="1"/>
  <c r="M294" i="1" s="1"/>
  <c r="AE294" i="1" s="1"/>
  <c r="AD293" i="1"/>
  <c r="AB293" i="1"/>
  <c r="AC293" i="1" s="1"/>
  <c r="AF293" i="1" s="1"/>
  <c r="P293" i="1"/>
  <c r="L293" i="1"/>
  <c r="M293" i="1" s="1"/>
  <c r="AE293" i="1" s="1"/>
  <c r="AB292" i="1"/>
  <c r="P292" i="1"/>
  <c r="M292" i="1"/>
  <c r="AE292" i="1" s="1"/>
  <c r="L292" i="1"/>
  <c r="AC291" i="1"/>
  <c r="AB291" i="1"/>
  <c r="P291" i="1"/>
  <c r="M291" i="1"/>
  <c r="AE291" i="1" s="1"/>
  <c r="L291" i="1"/>
  <c r="AB290" i="1"/>
  <c r="AC290" i="1" s="1"/>
  <c r="AF290" i="1" s="1"/>
  <c r="P290" i="1"/>
  <c r="M290" i="1"/>
  <c r="AE290" i="1" s="1"/>
  <c r="L290" i="1"/>
  <c r="AB289" i="1"/>
  <c r="P289" i="1"/>
  <c r="L289" i="1"/>
  <c r="M289" i="1" s="1"/>
  <c r="AE289" i="1" s="1"/>
  <c r="AC288" i="1"/>
  <c r="AF288" i="1" s="1"/>
  <c r="AB288" i="1"/>
  <c r="P288" i="1"/>
  <c r="M288" i="1"/>
  <c r="AE288" i="1" s="1"/>
  <c r="L288" i="1"/>
  <c r="AB287" i="1"/>
  <c r="P287" i="1"/>
  <c r="M287" i="1"/>
  <c r="AE287" i="1" s="1"/>
  <c r="L287" i="1"/>
  <c r="AB286" i="1"/>
  <c r="P286" i="1"/>
  <c r="L286" i="1"/>
  <c r="M286" i="1" s="1"/>
  <c r="AE286" i="1" s="1"/>
  <c r="AD285" i="1"/>
  <c r="AB285" i="1"/>
  <c r="AC285" i="1" s="1"/>
  <c r="AF285" i="1" s="1"/>
  <c r="P285" i="1"/>
  <c r="L285" i="1"/>
  <c r="M285" i="1" s="1"/>
  <c r="AE285" i="1" s="1"/>
  <c r="AB284" i="1"/>
  <c r="P284" i="1"/>
  <c r="M284" i="1"/>
  <c r="AE284" i="1" s="1"/>
  <c r="L284" i="1"/>
  <c r="AC283" i="1"/>
  <c r="AB283" i="1"/>
  <c r="P283" i="1"/>
  <c r="M283" i="1"/>
  <c r="AE283" i="1" s="1"/>
  <c r="L283" i="1"/>
  <c r="AB282" i="1"/>
  <c r="AC282" i="1" s="1"/>
  <c r="AF282" i="1" s="1"/>
  <c r="P282" i="1"/>
  <c r="M282" i="1"/>
  <c r="AE282" i="1" s="1"/>
  <c r="L282" i="1"/>
  <c r="AB281" i="1"/>
  <c r="P281" i="1"/>
  <c r="L281" i="1"/>
  <c r="M281" i="1" s="1"/>
  <c r="AE281" i="1" s="1"/>
  <c r="AC280" i="1"/>
  <c r="AF280" i="1" s="1"/>
  <c r="AB280" i="1"/>
  <c r="P280" i="1"/>
  <c r="M280" i="1"/>
  <c r="AE280" i="1" s="1"/>
  <c r="L280" i="1"/>
  <c r="AB279" i="1"/>
  <c r="AC279" i="1" s="1"/>
  <c r="P279" i="1"/>
  <c r="L279" i="1"/>
  <c r="M279" i="1" s="1"/>
  <c r="AE279" i="1" s="1"/>
  <c r="AB278" i="1"/>
  <c r="AC278" i="1" s="1"/>
  <c r="P278" i="1"/>
  <c r="M278" i="1"/>
  <c r="AE278" i="1" s="1"/>
  <c r="L278" i="1"/>
  <c r="AB277" i="1"/>
  <c r="P277" i="1"/>
  <c r="L277" i="1"/>
  <c r="M277" i="1" s="1"/>
  <c r="AE277" i="1" s="1"/>
  <c r="AB276" i="1"/>
  <c r="P276" i="1"/>
  <c r="L276" i="1"/>
  <c r="M276" i="1" s="1"/>
  <c r="AE276" i="1" s="1"/>
  <c r="AB275" i="1"/>
  <c r="P275" i="1"/>
  <c r="L275" i="1"/>
  <c r="M275" i="1" s="1"/>
  <c r="AE274" i="1"/>
  <c r="AD274" i="1"/>
  <c r="AB274" i="1"/>
  <c r="AC274" i="1" s="1"/>
  <c r="AF274" i="1" s="1"/>
  <c r="P274" i="1"/>
  <c r="M274" i="1"/>
  <c r="L274" i="1"/>
  <c r="AE273" i="1"/>
  <c r="AC273" i="1"/>
  <c r="AF273" i="1" s="1"/>
  <c r="AB273" i="1"/>
  <c r="P273" i="1"/>
  <c r="L273" i="1"/>
  <c r="M273" i="1" s="1"/>
  <c r="AB272" i="1"/>
  <c r="P272" i="1"/>
  <c r="M272" i="1"/>
  <c r="AE272" i="1" s="1"/>
  <c r="L272" i="1"/>
  <c r="AB271" i="1"/>
  <c r="AC271" i="1" s="1"/>
  <c r="P271" i="1"/>
  <c r="L271" i="1"/>
  <c r="M271" i="1" s="1"/>
  <c r="AE271" i="1" s="1"/>
  <c r="AD270" i="1"/>
  <c r="AC270" i="1"/>
  <c r="AF270" i="1" s="1"/>
  <c r="AB270" i="1"/>
  <c r="P270" i="1"/>
  <c r="M270" i="1"/>
  <c r="AE270" i="1" s="1"/>
  <c r="L270" i="1"/>
  <c r="AB269" i="1"/>
  <c r="P269" i="1"/>
  <c r="L269" i="1"/>
  <c r="M269" i="1" s="1"/>
  <c r="AC269" i="1" s="1"/>
  <c r="AB268" i="1"/>
  <c r="P268" i="1"/>
  <c r="M268" i="1"/>
  <c r="AE268" i="1" s="1"/>
  <c r="L268" i="1"/>
  <c r="AB267" i="1"/>
  <c r="P267" i="1"/>
  <c r="L267" i="1"/>
  <c r="M267" i="1" s="1"/>
  <c r="AE266" i="1"/>
  <c r="AD266" i="1"/>
  <c r="AB266" i="1"/>
  <c r="AC266" i="1" s="1"/>
  <c r="AF266" i="1" s="1"/>
  <c r="P266" i="1"/>
  <c r="M266" i="1"/>
  <c r="L266" i="1"/>
  <c r="AE265" i="1"/>
  <c r="AC265" i="1"/>
  <c r="AF265" i="1" s="1"/>
  <c r="AB265" i="1"/>
  <c r="P265" i="1"/>
  <c r="L265" i="1"/>
  <c r="M265" i="1" s="1"/>
  <c r="AB264" i="1"/>
  <c r="AC264" i="1" s="1"/>
  <c r="P264" i="1"/>
  <c r="M264" i="1"/>
  <c r="AE264" i="1" s="1"/>
  <c r="L264" i="1"/>
  <c r="AB263" i="1"/>
  <c r="P263" i="1"/>
  <c r="L263" i="1"/>
  <c r="M263" i="1" s="1"/>
  <c r="AE263" i="1" s="1"/>
  <c r="AD262" i="1"/>
  <c r="AC262" i="1"/>
  <c r="AF262" i="1" s="1"/>
  <c r="AB262" i="1"/>
  <c r="P262" i="1"/>
  <c r="M262" i="1"/>
  <c r="AE262" i="1" s="1"/>
  <c r="L262" i="1"/>
  <c r="AE261" i="1"/>
  <c r="AB261" i="1"/>
  <c r="AC261" i="1" s="1"/>
  <c r="P261" i="1"/>
  <c r="M261" i="1"/>
  <c r="L261" i="1"/>
  <c r="AB260" i="1"/>
  <c r="P260" i="1"/>
  <c r="M260" i="1"/>
  <c r="AE260" i="1" s="1"/>
  <c r="L260" i="1"/>
  <c r="AB259" i="1"/>
  <c r="P259" i="1"/>
  <c r="L259" i="1"/>
  <c r="M259" i="1" s="1"/>
  <c r="AE258" i="1"/>
  <c r="AD258" i="1"/>
  <c r="AB258" i="1"/>
  <c r="AC258" i="1" s="1"/>
  <c r="AF258" i="1" s="1"/>
  <c r="P258" i="1"/>
  <c r="M258" i="1"/>
  <c r="L258" i="1"/>
  <c r="AE257" i="1"/>
  <c r="AC257" i="1"/>
  <c r="AF257" i="1" s="1"/>
  <c r="AB257" i="1"/>
  <c r="P257" i="1"/>
  <c r="L257" i="1"/>
  <c r="M257" i="1" s="1"/>
  <c r="AB256" i="1"/>
  <c r="AC256" i="1" s="1"/>
  <c r="P256" i="1"/>
  <c r="M256" i="1"/>
  <c r="AE256" i="1" s="1"/>
  <c r="L256" i="1"/>
  <c r="AB255" i="1"/>
  <c r="P255" i="1"/>
  <c r="L255" i="1"/>
  <c r="M255" i="1" s="1"/>
  <c r="AE255" i="1" s="1"/>
  <c r="AD254" i="1"/>
  <c r="AC254" i="1"/>
  <c r="AF254" i="1" s="1"/>
  <c r="AB254" i="1"/>
  <c r="P254" i="1"/>
  <c r="M254" i="1"/>
  <c r="AE254" i="1" s="1"/>
  <c r="L254" i="1"/>
  <c r="AE253" i="1"/>
  <c r="AB253" i="1"/>
  <c r="AC253" i="1" s="1"/>
  <c r="P253" i="1"/>
  <c r="M253" i="1"/>
  <c r="L253" i="1"/>
  <c r="AB252" i="1"/>
  <c r="P252" i="1"/>
  <c r="L252" i="1"/>
  <c r="M252" i="1" s="1"/>
  <c r="AE252" i="1" s="1"/>
  <c r="AB251" i="1"/>
  <c r="P251" i="1"/>
  <c r="L251" i="1"/>
  <c r="M251" i="1" s="1"/>
  <c r="AB250" i="1"/>
  <c r="P250" i="1"/>
  <c r="L250" i="1"/>
  <c r="M250" i="1" s="1"/>
  <c r="AC250" i="1" s="1"/>
  <c r="AD250" i="1" s="1"/>
  <c r="AE249" i="1"/>
  <c r="AC249" i="1"/>
  <c r="AD249" i="1" s="1"/>
  <c r="AB249" i="1"/>
  <c r="P249" i="1"/>
  <c r="M249" i="1"/>
  <c r="L249" i="1"/>
  <c r="AE248" i="1"/>
  <c r="AC248" i="1"/>
  <c r="AB248" i="1"/>
  <c r="P248" i="1"/>
  <c r="M248" i="1"/>
  <c r="L248" i="1"/>
  <c r="AE247" i="1"/>
  <c r="AB247" i="1"/>
  <c r="AC247" i="1" s="1"/>
  <c r="P247" i="1"/>
  <c r="M247" i="1"/>
  <c r="L247" i="1"/>
  <c r="AB246" i="1"/>
  <c r="AC246" i="1" s="1"/>
  <c r="P246" i="1"/>
  <c r="M246" i="1"/>
  <c r="AE246" i="1" s="1"/>
  <c r="L246" i="1"/>
  <c r="AB245" i="1"/>
  <c r="P245" i="1"/>
  <c r="L245" i="1"/>
  <c r="M245" i="1" s="1"/>
  <c r="AE245" i="1" s="1"/>
  <c r="AB244" i="1"/>
  <c r="P244" i="1"/>
  <c r="M244" i="1"/>
  <c r="L244" i="1"/>
  <c r="AB243" i="1"/>
  <c r="P243" i="1"/>
  <c r="L243" i="1"/>
  <c r="M243" i="1" s="1"/>
  <c r="AB242" i="1"/>
  <c r="P242" i="1"/>
  <c r="L242" i="1"/>
  <c r="M242" i="1" s="1"/>
  <c r="AC242" i="1" s="1"/>
  <c r="AD242" i="1" s="1"/>
  <c r="AE241" i="1"/>
  <c r="AC241" i="1"/>
  <c r="AD241" i="1" s="1"/>
  <c r="AB241" i="1"/>
  <c r="P241" i="1"/>
  <c r="M241" i="1"/>
  <c r="L241" i="1"/>
  <c r="AE240" i="1"/>
  <c r="AC240" i="1"/>
  <c r="AB240" i="1"/>
  <c r="P240" i="1"/>
  <c r="M240" i="1"/>
  <c r="L240" i="1"/>
  <c r="AE239" i="1"/>
  <c r="AB239" i="1"/>
  <c r="AC239" i="1" s="1"/>
  <c r="P239" i="1"/>
  <c r="M239" i="1"/>
  <c r="L239" i="1"/>
  <c r="AB238" i="1"/>
  <c r="AC238" i="1" s="1"/>
  <c r="P238" i="1"/>
  <c r="M238" i="1"/>
  <c r="AE238" i="1" s="1"/>
  <c r="L238" i="1"/>
  <c r="AB237" i="1"/>
  <c r="P237" i="1"/>
  <c r="L237" i="1"/>
  <c r="M237" i="1" s="1"/>
  <c r="AE237" i="1" s="1"/>
  <c r="AB236" i="1"/>
  <c r="P236" i="1"/>
  <c r="M236" i="1"/>
  <c r="L236" i="1"/>
  <c r="AB235" i="1"/>
  <c r="P235" i="1"/>
  <c r="L235" i="1"/>
  <c r="M235" i="1" s="1"/>
  <c r="AB234" i="1"/>
  <c r="P234" i="1"/>
  <c r="L234" i="1"/>
  <c r="M234" i="1" s="1"/>
  <c r="AC234" i="1" s="1"/>
  <c r="AD234" i="1" s="1"/>
  <c r="AE233" i="1"/>
  <c r="AC233" i="1"/>
  <c r="AD233" i="1" s="1"/>
  <c r="AB233" i="1"/>
  <c r="P233" i="1"/>
  <c r="M233" i="1"/>
  <c r="L233" i="1"/>
  <c r="AE232" i="1"/>
  <c r="AC232" i="1"/>
  <c r="AB232" i="1"/>
  <c r="P232" i="1"/>
  <c r="M232" i="1"/>
  <c r="L232" i="1"/>
  <c r="AE231" i="1"/>
  <c r="AB231" i="1"/>
  <c r="AC231" i="1" s="1"/>
  <c r="P231" i="1"/>
  <c r="M231" i="1"/>
  <c r="L231" i="1"/>
  <c r="AB230" i="1"/>
  <c r="AC230" i="1" s="1"/>
  <c r="P230" i="1"/>
  <c r="M230" i="1"/>
  <c r="AE230" i="1" s="1"/>
  <c r="L230" i="1"/>
  <c r="AB229" i="1"/>
  <c r="P229" i="1"/>
  <c r="L229" i="1"/>
  <c r="M229" i="1" s="1"/>
  <c r="AE229" i="1" s="1"/>
  <c r="AB228" i="1"/>
  <c r="P228" i="1"/>
  <c r="M228" i="1"/>
  <c r="L228" i="1"/>
  <c r="AB227" i="1"/>
  <c r="P227" i="1"/>
  <c r="L227" i="1"/>
  <c r="M227" i="1" s="1"/>
  <c r="AB226" i="1"/>
  <c r="P226" i="1"/>
  <c r="L226" i="1"/>
  <c r="M226" i="1" s="1"/>
  <c r="AC226" i="1" s="1"/>
  <c r="AD226" i="1" s="1"/>
  <c r="AE225" i="1"/>
  <c r="AC225" i="1"/>
  <c r="AD225" i="1" s="1"/>
  <c r="AB225" i="1"/>
  <c r="P225" i="1"/>
  <c r="M225" i="1"/>
  <c r="L225" i="1"/>
  <c r="AE224" i="1"/>
  <c r="AB224" i="1"/>
  <c r="AC224" i="1" s="1"/>
  <c r="P224" i="1"/>
  <c r="M224" i="1"/>
  <c r="L224" i="1"/>
  <c r="AE223" i="1"/>
  <c r="AB223" i="1"/>
  <c r="AC223" i="1" s="1"/>
  <c r="P223" i="1"/>
  <c r="M223" i="1"/>
  <c r="L223" i="1"/>
  <c r="AB222" i="1"/>
  <c r="AC222" i="1" s="1"/>
  <c r="P222" i="1"/>
  <c r="M222" i="1"/>
  <c r="AE222" i="1" s="1"/>
  <c r="L222" i="1"/>
  <c r="AB221" i="1"/>
  <c r="P221" i="1"/>
  <c r="L221" i="1"/>
  <c r="M221" i="1" s="1"/>
  <c r="AE221" i="1" s="1"/>
  <c r="AB220" i="1"/>
  <c r="P220" i="1"/>
  <c r="M220" i="1"/>
  <c r="L220" i="1"/>
  <c r="AB219" i="1"/>
  <c r="P219" i="1"/>
  <c r="L219" i="1"/>
  <c r="M219" i="1" s="1"/>
  <c r="AB218" i="1"/>
  <c r="P218" i="1"/>
  <c r="L218" i="1"/>
  <c r="M218" i="1" s="1"/>
  <c r="AC218" i="1" s="1"/>
  <c r="AD218" i="1" s="1"/>
  <c r="AE217" i="1"/>
  <c r="AC217" i="1"/>
  <c r="AD217" i="1" s="1"/>
  <c r="AB217" i="1"/>
  <c r="P217" i="1"/>
  <c r="M217" i="1"/>
  <c r="L217" i="1"/>
  <c r="AE216" i="1"/>
  <c r="AB216" i="1"/>
  <c r="AC216" i="1" s="1"/>
  <c r="P216" i="1"/>
  <c r="M216" i="1"/>
  <c r="L216" i="1"/>
  <c r="AE215" i="1"/>
  <c r="AB215" i="1"/>
  <c r="AC215" i="1" s="1"/>
  <c r="P215" i="1"/>
  <c r="M215" i="1"/>
  <c r="L215" i="1"/>
  <c r="AB214" i="1"/>
  <c r="AC214" i="1" s="1"/>
  <c r="P214" i="1"/>
  <c r="M214" i="1"/>
  <c r="AE214" i="1" s="1"/>
  <c r="L214" i="1"/>
  <c r="AB213" i="1"/>
  <c r="P213" i="1"/>
  <c r="L213" i="1"/>
  <c r="M213" i="1" s="1"/>
  <c r="AE213" i="1" s="1"/>
  <c r="AB212" i="1"/>
  <c r="P212" i="1"/>
  <c r="M212" i="1"/>
  <c r="AE212" i="1" s="1"/>
  <c r="L212" i="1"/>
  <c r="AB211" i="1"/>
  <c r="P211" i="1"/>
  <c r="L211" i="1"/>
  <c r="M211" i="1" s="1"/>
  <c r="AB210" i="1"/>
  <c r="P210" i="1"/>
  <c r="L210" i="1"/>
  <c r="M210" i="1" s="1"/>
  <c r="AC210" i="1" s="1"/>
  <c r="AD210" i="1" s="1"/>
  <c r="AE209" i="1"/>
  <c r="AC209" i="1"/>
  <c r="AD209" i="1" s="1"/>
  <c r="AB209" i="1"/>
  <c r="P209" i="1"/>
  <c r="M209" i="1"/>
  <c r="L209" i="1"/>
  <c r="AE208" i="1"/>
  <c r="AB208" i="1"/>
  <c r="AC208" i="1" s="1"/>
  <c r="P208" i="1"/>
  <c r="M208" i="1"/>
  <c r="L208" i="1"/>
  <c r="AE207" i="1"/>
  <c r="AB207" i="1"/>
  <c r="AC207" i="1" s="1"/>
  <c r="P207" i="1"/>
  <c r="M207" i="1"/>
  <c r="L207" i="1"/>
  <c r="AB206" i="1"/>
  <c r="AC206" i="1" s="1"/>
  <c r="P206" i="1"/>
  <c r="M206" i="1"/>
  <c r="AE206" i="1" s="1"/>
  <c r="L206" i="1"/>
  <c r="AB205" i="1"/>
  <c r="P205" i="1"/>
  <c r="L205" i="1"/>
  <c r="M205" i="1" s="1"/>
  <c r="AE205" i="1" s="1"/>
  <c r="AB204" i="1"/>
  <c r="P204" i="1"/>
  <c r="M204" i="1"/>
  <c r="AE204" i="1" s="1"/>
  <c r="L204" i="1"/>
  <c r="AB203" i="1"/>
  <c r="P203" i="1"/>
  <c r="L203" i="1"/>
  <c r="M203" i="1" s="1"/>
  <c r="AE203" i="1" s="1"/>
  <c r="AB202" i="1"/>
  <c r="P202" i="1"/>
  <c r="L202" i="1"/>
  <c r="M202" i="1" s="1"/>
  <c r="AC202" i="1" s="1"/>
  <c r="AD202" i="1" s="1"/>
  <c r="AE201" i="1"/>
  <c r="AC201" i="1"/>
  <c r="AD201" i="1" s="1"/>
  <c r="AB201" i="1"/>
  <c r="P201" i="1"/>
  <c r="M201" i="1"/>
  <c r="L201" i="1"/>
  <c r="AE200" i="1"/>
  <c r="AB200" i="1"/>
  <c r="AC200" i="1" s="1"/>
  <c r="P200" i="1"/>
  <c r="L200" i="1"/>
  <c r="M200" i="1" s="1"/>
  <c r="AE199" i="1"/>
  <c r="AB199" i="1"/>
  <c r="P199" i="1"/>
  <c r="AC199" i="1" s="1"/>
  <c r="M199" i="1"/>
  <c r="L199" i="1"/>
  <c r="AB198" i="1"/>
  <c r="AC198" i="1" s="1"/>
  <c r="P198" i="1"/>
  <c r="M198" i="1"/>
  <c r="AE198" i="1" s="1"/>
  <c r="L198" i="1"/>
  <c r="AB197" i="1"/>
  <c r="P197" i="1"/>
  <c r="L197" i="1"/>
  <c r="M197" i="1" s="1"/>
  <c r="AE197" i="1" s="1"/>
  <c r="AB196" i="1"/>
  <c r="P196" i="1"/>
  <c r="L196" i="1"/>
  <c r="M196" i="1" s="1"/>
  <c r="AE196" i="1" s="1"/>
  <c r="AB195" i="1"/>
  <c r="P195" i="1"/>
  <c r="L195" i="1"/>
  <c r="M195" i="1" s="1"/>
  <c r="AE195" i="1" s="1"/>
  <c r="AF194" i="1"/>
  <c r="AE194" i="1"/>
  <c r="AB194" i="1"/>
  <c r="P194" i="1"/>
  <c r="L194" i="1"/>
  <c r="M194" i="1" s="1"/>
  <c r="AC194" i="1" s="1"/>
  <c r="AD194" i="1" s="1"/>
  <c r="AE193" i="1"/>
  <c r="AC193" i="1"/>
  <c r="AD193" i="1" s="1"/>
  <c r="AB193" i="1"/>
  <c r="P193" i="1"/>
  <c r="M193" i="1"/>
  <c r="L193" i="1"/>
  <c r="AB192" i="1"/>
  <c r="AC192" i="1" s="1"/>
  <c r="P192" i="1"/>
  <c r="L192" i="1"/>
  <c r="M192" i="1" s="1"/>
  <c r="AE192" i="1" s="1"/>
  <c r="AE191" i="1"/>
  <c r="AB191" i="1"/>
  <c r="AC191" i="1" s="1"/>
  <c r="P191" i="1"/>
  <c r="M191" i="1"/>
  <c r="L191" i="1"/>
  <c r="AB190" i="1"/>
  <c r="P190" i="1"/>
  <c r="M190" i="1"/>
  <c r="AE190" i="1" s="1"/>
  <c r="L190" i="1"/>
  <c r="AB189" i="1"/>
  <c r="P189" i="1"/>
  <c r="L189" i="1"/>
  <c r="M189" i="1" s="1"/>
  <c r="AE189" i="1" s="1"/>
  <c r="AB188" i="1"/>
  <c r="P188" i="1"/>
  <c r="AC188" i="1" s="1"/>
  <c r="M188" i="1"/>
  <c r="AE188" i="1" s="1"/>
  <c r="L188" i="1"/>
  <c r="AB187" i="1"/>
  <c r="P187" i="1"/>
  <c r="L187" i="1"/>
  <c r="M187" i="1" s="1"/>
  <c r="AE187" i="1" s="1"/>
  <c r="AF186" i="1"/>
  <c r="AE186" i="1"/>
  <c r="AB186" i="1"/>
  <c r="P186" i="1"/>
  <c r="L186" i="1"/>
  <c r="M186" i="1" s="1"/>
  <c r="AC186" i="1" s="1"/>
  <c r="AD186" i="1" s="1"/>
  <c r="AE185" i="1"/>
  <c r="AC185" i="1"/>
  <c r="AD185" i="1" s="1"/>
  <c r="AB185" i="1"/>
  <c r="P185" i="1"/>
  <c r="M185" i="1"/>
  <c r="L185" i="1"/>
  <c r="AB184" i="1"/>
  <c r="AC184" i="1" s="1"/>
  <c r="P184" i="1"/>
  <c r="L184" i="1"/>
  <c r="M184" i="1" s="1"/>
  <c r="AE184" i="1" s="1"/>
  <c r="AE183" i="1"/>
  <c r="AC183" i="1"/>
  <c r="AB183" i="1"/>
  <c r="P183" i="1"/>
  <c r="M183" i="1"/>
  <c r="L183" i="1"/>
  <c r="AB182" i="1"/>
  <c r="P182" i="1"/>
  <c r="M182" i="1"/>
  <c r="AE182" i="1" s="1"/>
  <c r="L182" i="1"/>
  <c r="AB181" i="1"/>
  <c r="P181" i="1"/>
  <c r="L181" i="1"/>
  <c r="M181" i="1" s="1"/>
  <c r="AE181" i="1" s="1"/>
  <c r="AB180" i="1"/>
  <c r="P180" i="1"/>
  <c r="M180" i="1"/>
  <c r="AE180" i="1" s="1"/>
  <c r="L180" i="1"/>
  <c r="AB179" i="1"/>
  <c r="P179" i="1"/>
  <c r="L179" i="1"/>
  <c r="M179" i="1" s="1"/>
  <c r="AE179" i="1" s="1"/>
  <c r="AF178" i="1"/>
  <c r="AE178" i="1"/>
  <c r="AB178" i="1"/>
  <c r="P178" i="1"/>
  <c r="L178" i="1"/>
  <c r="M178" i="1" s="1"/>
  <c r="AC178" i="1" s="1"/>
  <c r="AD178" i="1" s="1"/>
  <c r="AE177" i="1"/>
  <c r="AC177" i="1"/>
  <c r="AD177" i="1" s="1"/>
  <c r="AB177" i="1"/>
  <c r="P177" i="1"/>
  <c r="M177" i="1"/>
  <c r="L177" i="1"/>
  <c r="AB176" i="1"/>
  <c r="P176" i="1"/>
  <c r="L176" i="1"/>
  <c r="M176" i="1" s="1"/>
  <c r="AE176" i="1" s="1"/>
  <c r="AE175" i="1"/>
  <c r="AC175" i="1"/>
  <c r="AB175" i="1"/>
  <c r="P175" i="1"/>
  <c r="M175" i="1"/>
  <c r="L175" i="1"/>
  <c r="AB174" i="1"/>
  <c r="P174" i="1"/>
  <c r="M174" i="1"/>
  <c r="AE174" i="1" s="1"/>
  <c r="L174" i="1"/>
  <c r="AB173" i="1"/>
  <c r="AC173" i="1" s="1"/>
  <c r="P173" i="1"/>
  <c r="M173" i="1"/>
  <c r="AE173" i="1" s="1"/>
  <c r="L173" i="1"/>
  <c r="AB172" i="1"/>
  <c r="P172" i="1"/>
  <c r="L172" i="1"/>
  <c r="M172" i="1" s="1"/>
  <c r="AE172" i="1" s="1"/>
  <c r="AB171" i="1"/>
  <c r="P171" i="1"/>
  <c r="L171" i="1"/>
  <c r="M171" i="1" s="1"/>
  <c r="AE171" i="1" s="1"/>
  <c r="AF170" i="1"/>
  <c r="AE170" i="1"/>
  <c r="AB170" i="1"/>
  <c r="P170" i="1"/>
  <c r="L170" i="1"/>
  <c r="M170" i="1" s="1"/>
  <c r="AC170" i="1" s="1"/>
  <c r="AD170" i="1" s="1"/>
  <c r="AE169" i="1"/>
  <c r="AC169" i="1"/>
  <c r="AD169" i="1" s="1"/>
  <c r="AB169" i="1"/>
  <c r="P169" i="1"/>
  <c r="M169" i="1"/>
  <c r="L169" i="1"/>
  <c r="AB168" i="1"/>
  <c r="AC168" i="1" s="1"/>
  <c r="P168" i="1"/>
  <c r="L168" i="1"/>
  <c r="M168" i="1" s="1"/>
  <c r="AE168" i="1" s="1"/>
  <c r="AE167" i="1"/>
  <c r="AB167" i="1"/>
  <c r="AC167" i="1" s="1"/>
  <c r="P167" i="1"/>
  <c r="M167" i="1"/>
  <c r="L167" i="1"/>
  <c r="AB166" i="1"/>
  <c r="P166" i="1"/>
  <c r="M166" i="1"/>
  <c r="AE166" i="1" s="1"/>
  <c r="L166" i="1"/>
  <c r="AB165" i="1"/>
  <c r="P165" i="1"/>
  <c r="L165" i="1"/>
  <c r="M165" i="1" s="1"/>
  <c r="AE165" i="1" s="1"/>
  <c r="AB164" i="1"/>
  <c r="P164" i="1"/>
  <c r="L164" i="1"/>
  <c r="M164" i="1" s="1"/>
  <c r="AE164" i="1" s="1"/>
  <c r="AF163" i="1"/>
  <c r="AB163" i="1"/>
  <c r="AC163" i="1" s="1"/>
  <c r="AD163" i="1" s="1"/>
  <c r="P163" i="1"/>
  <c r="L163" i="1"/>
  <c r="M163" i="1" s="1"/>
  <c r="AE163" i="1" s="1"/>
  <c r="AB162" i="1"/>
  <c r="P162" i="1"/>
  <c r="L162" i="1"/>
  <c r="M162" i="1" s="1"/>
  <c r="AC162" i="1" s="1"/>
  <c r="AD162" i="1" s="1"/>
  <c r="AF161" i="1"/>
  <c r="AE161" i="1"/>
  <c r="AC161" i="1"/>
  <c r="AD161" i="1" s="1"/>
  <c r="AB161" i="1"/>
  <c r="P161" i="1"/>
  <c r="M161" i="1"/>
  <c r="L161" i="1"/>
  <c r="AE160" i="1"/>
  <c r="AC160" i="1"/>
  <c r="AB160" i="1"/>
  <c r="P160" i="1"/>
  <c r="L160" i="1"/>
  <c r="M160" i="1" s="1"/>
  <c r="AE159" i="1"/>
  <c r="AB159" i="1"/>
  <c r="AC159" i="1" s="1"/>
  <c r="P159" i="1"/>
  <c r="M159" i="1"/>
  <c r="L159" i="1"/>
  <c r="AB158" i="1"/>
  <c r="P158" i="1"/>
  <c r="M158" i="1"/>
  <c r="AE158" i="1" s="1"/>
  <c r="L158" i="1"/>
  <c r="AB157" i="1"/>
  <c r="P157" i="1"/>
  <c r="M157" i="1"/>
  <c r="AE157" i="1" s="1"/>
  <c r="L157" i="1"/>
  <c r="AB156" i="1"/>
  <c r="P156" i="1"/>
  <c r="L156" i="1"/>
  <c r="M156" i="1" s="1"/>
  <c r="AE156" i="1" s="1"/>
  <c r="AB155" i="1"/>
  <c r="AC155" i="1" s="1"/>
  <c r="AD155" i="1" s="1"/>
  <c r="P155" i="1"/>
  <c r="L155" i="1"/>
  <c r="M155" i="1" s="1"/>
  <c r="AE155" i="1" s="1"/>
  <c r="AB154" i="1"/>
  <c r="P154" i="1"/>
  <c r="L154" i="1"/>
  <c r="M154" i="1" s="1"/>
  <c r="AC154" i="1" s="1"/>
  <c r="AD154" i="1" s="1"/>
  <c r="AF153" i="1"/>
  <c r="AE153" i="1"/>
  <c r="AC153" i="1"/>
  <c r="AD153" i="1" s="1"/>
  <c r="AB153" i="1"/>
  <c r="P153" i="1"/>
  <c r="M153" i="1"/>
  <c r="L153" i="1"/>
  <c r="AE152" i="1"/>
  <c r="AC152" i="1"/>
  <c r="AB152" i="1"/>
  <c r="P152" i="1"/>
  <c r="L152" i="1"/>
  <c r="M152" i="1" s="1"/>
  <c r="AE151" i="1"/>
  <c r="AB151" i="1"/>
  <c r="AC151" i="1" s="1"/>
  <c r="P151" i="1"/>
  <c r="M151" i="1"/>
  <c r="L151" i="1"/>
  <c r="AB150" i="1"/>
  <c r="P150" i="1"/>
  <c r="M150" i="1"/>
  <c r="AE150" i="1" s="1"/>
  <c r="L150" i="1"/>
  <c r="AB149" i="1"/>
  <c r="P149" i="1"/>
  <c r="M149" i="1"/>
  <c r="AE149" i="1" s="1"/>
  <c r="L149" i="1"/>
  <c r="AB148" i="1"/>
  <c r="P148" i="1"/>
  <c r="L148" i="1"/>
  <c r="M148" i="1" s="1"/>
  <c r="AE148" i="1" s="1"/>
  <c r="AB147" i="1"/>
  <c r="AC147" i="1" s="1"/>
  <c r="AD147" i="1" s="1"/>
  <c r="P147" i="1"/>
  <c r="L147" i="1"/>
  <c r="M147" i="1" s="1"/>
  <c r="AE147" i="1" s="1"/>
  <c r="AB146" i="1"/>
  <c r="P146" i="1"/>
  <c r="L146" i="1"/>
  <c r="M146" i="1" s="1"/>
  <c r="AC146" i="1" s="1"/>
  <c r="AD146" i="1" s="1"/>
  <c r="AF145" i="1"/>
  <c r="AE145" i="1"/>
  <c r="AC145" i="1"/>
  <c r="AD145" i="1" s="1"/>
  <c r="AB145" i="1"/>
  <c r="P145" i="1"/>
  <c r="M145" i="1"/>
  <c r="L145" i="1"/>
  <c r="AE144" i="1"/>
  <c r="AB144" i="1"/>
  <c r="AC144" i="1" s="1"/>
  <c r="P144" i="1"/>
  <c r="L144" i="1"/>
  <c r="M144" i="1" s="1"/>
  <c r="AE143" i="1"/>
  <c r="AB143" i="1"/>
  <c r="AC143" i="1" s="1"/>
  <c r="P143" i="1"/>
  <c r="M143" i="1"/>
  <c r="L143" i="1"/>
  <c r="AB142" i="1"/>
  <c r="AC142" i="1" s="1"/>
  <c r="P142" i="1"/>
  <c r="M142" i="1"/>
  <c r="AE142" i="1" s="1"/>
  <c r="L142" i="1"/>
  <c r="AB141" i="1"/>
  <c r="P141" i="1"/>
  <c r="L141" i="1"/>
  <c r="M141" i="1" s="1"/>
  <c r="AE141" i="1" s="1"/>
  <c r="AB140" i="1"/>
  <c r="P140" i="1"/>
  <c r="M140" i="1"/>
  <c r="AE140" i="1" s="1"/>
  <c r="L140" i="1"/>
  <c r="AB139" i="1"/>
  <c r="P139" i="1"/>
  <c r="L139" i="1"/>
  <c r="M139" i="1" s="1"/>
  <c r="AE139" i="1" s="1"/>
  <c r="AB138" i="1"/>
  <c r="P138" i="1"/>
  <c r="L138" i="1"/>
  <c r="M138" i="1" s="1"/>
  <c r="AC138" i="1" s="1"/>
  <c r="AD138" i="1" s="1"/>
  <c r="AE137" i="1"/>
  <c r="AC137" i="1"/>
  <c r="AD137" i="1" s="1"/>
  <c r="AB137" i="1"/>
  <c r="P137" i="1"/>
  <c r="M137" i="1"/>
  <c r="L137" i="1"/>
  <c r="AE136" i="1"/>
  <c r="AB136" i="1"/>
  <c r="AC136" i="1" s="1"/>
  <c r="P136" i="1"/>
  <c r="M136" i="1"/>
  <c r="L136" i="1"/>
  <c r="AE135" i="1"/>
  <c r="AB135" i="1"/>
  <c r="AC135" i="1" s="1"/>
  <c r="P135" i="1"/>
  <c r="M135" i="1"/>
  <c r="L135" i="1"/>
  <c r="AB134" i="1"/>
  <c r="AC134" i="1" s="1"/>
  <c r="P134" i="1"/>
  <c r="M134" i="1"/>
  <c r="AE134" i="1" s="1"/>
  <c r="L134" i="1"/>
  <c r="AB133" i="1"/>
  <c r="P133" i="1"/>
  <c r="L133" i="1"/>
  <c r="M133" i="1" s="1"/>
  <c r="AE133" i="1" s="1"/>
  <c r="AB132" i="1"/>
  <c r="P132" i="1"/>
  <c r="M132" i="1"/>
  <c r="AE132" i="1" s="1"/>
  <c r="L132" i="1"/>
  <c r="AB131" i="1"/>
  <c r="P131" i="1"/>
  <c r="L131" i="1"/>
  <c r="M131" i="1" s="1"/>
  <c r="AE131" i="1" s="1"/>
  <c r="AB130" i="1"/>
  <c r="P130" i="1"/>
  <c r="L130" i="1"/>
  <c r="M130" i="1" s="1"/>
  <c r="AC130" i="1" s="1"/>
  <c r="AD130" i="1" s="1"/>
  <c r="AE129" i="1"/>
  <c r="AC129" i="1"/>
  <c r="AD129" i="1" s="1"/>
  <c r="AB129" i="1"/>
  <c r="P129" i="1"/>
  <c r="M129" i="1"/>
  <c r="L129" i="1"/>
  <c r="AE128" i="1"/>
  <c r="AC128" i="1"/>
  <c r="AF128" i="1" s="1"/>
  <c r="AB128" i="1"/>
  <c r="P128" i="1"/>
  <c r="M128" i="1"/>
  <c r="L128" i="1"/>
  <c r="AE127" i="1"/>
  <c r="AC127" i="1"/>
  <c r="AF127" i="1" s="1"/>
  <c r="AB127" i="1"/>
  <c r="P127" i="1"/>
  <c r="M127" i="1"/>
  <c r="L127" i="1"/>
  <c r="AE126" i="1"/>
  <c r="AC126" i="1"/>
  <c r="AF126" i="1" s="1"/>
  <c r="AB126" i="1"/>
  <c r="P126" i="1"/>
  <c r="M126" i="1"/>
  <c r="L126" i="1"/>
  <c r="AE125" i="1"/>
  <c r="AD125" i="1"/>
  <c r="AC125" i="1"/>
  <c r="AF125" i="1" s="1"/>
  <c r="AB125" i="1"/>
  <c r="P125" i="1"/>
  <c r="M125" i="1"/>
  <c r="L125" i="1"/>
  <c r="AE124" i="1"/>
  <c r="AC124" i="1"/>
  <c r="AF124" i="1" s="1"/>
  <c r="AB124" i="1"/>
  <c r="P124" i="1"/>
  <c r="M124" i="1"/>
  <c r="L124" i="1"/>
  <c r="AE123" i="1"/>
  <c r="AD123" i="1"/>
  <c r="AC123" i="1"/>
  <c r="AF123" i="1" s="1"/>
  <c r="AB123" i="1"/>
  <c r="P123" i="1"/>
  <c r="M123" i="1"/>
  <c r="L123" i="1"/>
  <c r="AE122" i="1"/>
  <c r="AD122" i="1"/>
  <c r="AC122" i="1"/>
  <c r="AF122" i="1" s="1"/>
  <c r="AB122" i="1"/>
  <c r="P122" i="1"/>
  <c r="M122" i="1"/>
  <c r="L122" i="1"/>
  <c r="AE121" i="1"/>
  <c r="AC121" i="1"/>
  <c r="AF121" i="1" s="1"/>
  <c r="AB121" i="1"/>
  <c r="P121" i="1"/>
  <c r="M121" i="1"/>
  <c r="L121" i="1"/>
  <c r="AE120" i="1"/>
  <c r="AC120" i="1"/>
  <c r="AF120" i="1" s="1"/>
  <c r="AB120" i="1"/>
  <c r="P120" i="1"/>
  <c r="M120" i="1"/>
  <c r="L120" i="1"/>
  <c r="AE119" i="1"/>
  <c r="AC119" i="1"/>
  <c r="AF119" i="1" s="1"/>
  <c r="AB119" i="1"/>
  <c r="P119" i="1"/>
  <c r="M119" i="1"/>
  <c r="L119" i="1"/>
  <c r="AE118" i="1"/>
  <c r="AC118" i="1"/>
  <c r="AF118" i="1" s="1"/>
  <c r="AB118" i="1"/>
  <c r="P118" i="1"/>
  <c r="M118" i="1"/>
  <c r="L118" i="1"/>
  <c r="AE117" i="1"/>
  <c r="AD117" i="1"/>
  <c r="AC117" i="1"/>
  <c r="AF117" i="1" s="1"/>
  <c r="AB117" i="1"/>
  <c r="P117" i="1"/>
  <c r="M117" i="1"/>
  <c r="L117" i="1"/>
  <c r="AE116" i="1"/>
  <c r="AC116" i="1"/>
  <c r="AF116" i="1" s="1"/>
  <c r="AB116" i="1"/>
  <c r="P116" i="1"/>
  <c r="M116" i="1"/>
  <c r="L116" i="1"/>
  <c r="AF115" i="1"/>
  <c r="AE115" i="1"/>
  <c r="AC115" i="1"/>
  <c r="AD115" i="1" s="1"/>
  <c r="AB115" i="1"/>
  <c r="P115" i="1"/>
  <c r="M115" i="1"/>
  <c r="L115" i="1"/>
  <c r="AE114" i="1"/>
  <c r="AD114" i="1"/>
  <c r="AC114" i="1"/>
  <c r="AF114" i="1" s="1"/>
  <c r="AB114" i="1"/>
  <c r="P114" i="1"/>
  <c r="M114" i="1"/>
  <c r="L114" i="1"/>
  <c r="AE113" i="1"/>
  <c r="AD113" i="1"/>
  <c r="AC113" i="1"/>
  <c r="AF113" i="1" s="1"/>
  <c r="AB113" i="1"/>
  <c r="P113" i="1"/>
  <c r="M113" i="1"/>
  <c r="L113" i="1"/>
  <c r="AF112" i="1"/>
  <c r="AE112" i="1"/>
  <c r="AD112" i="1"/>
  <c r="AC112" i="1"/>
  <c r="AB112" i="1"/>
  <c r="P112" i="1"/>
  <c r="M112" i="1"/>
  <c r="L112" i="1"/>
  <c r="AE111" i="1"/>
  <c r="AC111" i="1"/>
  <c r="AF111" i="1" s="1"/>
  <c r="AB111" i="1"/>
  <c r="P111" i="1"/>
  <c r="M111" i="1"/>
  <c r="L111" i="1"/>
  <c r="AE110" i="1"/>
  <c r="AC110" i="1"/>
  <c r="AF110" i="1" s="1"/>
  <c r="AB110" i="1"/>
  <c r="P110" i="1"/>
  <c r="M110" i="1"/>
  <c r="L110" i="1"/>
  <c r="AE109" i="1"/>
  <c r="AC109" i="1"/>
  <c r="AF109" i="1" s="1"/>
  <c r="AB109" i="1"/>
  <c r="P109" i="1"/>
  <c r="M109" i="1"/>
  <c r="L109" i="1"/>
  <c r="AE108" i="1"/>
  <c r="AC108" i="1"/>
  <c r="AF108" i="1" s="1"/>
  <c r="AB108" i="1"/>
  <c r="P108" i="1"/>
  <c r="M108" i="1"/>
  <c r="L108" i="1"/>
  <c r="AE107" i="1"/>
  <c r="AD107" i="1"/>
  <c r="AC107" i="1"/>
  <c r="AF107" i="1" s="1"/>
  <c r="AB107" i="1"/>
  <c r="P107" i="1"/>
  <c r="M107" i="1"/>
  <c r="L107" i="1"/>
  <c r="AF106" i="1"/>
  <c r="AE106" i="1"/>
  <c r="AD106" i="1"/>
  <c r="AC106" i="1"/>
  <c r="AB106" i="1"/>
  <c r="P106" i="1"/>
  <c r="M106" i="1"/>
  <c r="L106" i="1"/>
  <c r="AF105" i="1"/>
  <c r="AE105" i="1"/>
  <c r="AD105" i="1"/>
  <c r="AC105" i="1"/>
  <c r="AB105" i="1"/>
  <c r="P105" i="1"/>
  <c r="M105" i="1"/>
  <c r="L105" i="1"/>
  <c r="AF104" i="1"/>
  <c r="AE104" i="1"/>
  <c r="AD104" i="1"/>
  <c r="AC104" i="1"/>
  <c r="AB104" i="1"/>
  <c r="P104" i="1"/>
  <c r="M104" i="1"/>
  <c r="L104" i="1"/>
  <c r="AF103" i="1"/>
  <c r="AE103" i="1"/>
  <c r="AD103" i="1"/>
  <c r="AC103" i="1"/>
  <c r="AB103" i="1"/>
  <c r="P103" i="1"/>
  <c r="M103" i="1"/>
  <c r="L103" i="1"/>
  <c r="AF102" i="1"/>
  <c r="AE102" i="1"/>
  <c r="AD102" i="1"/>
  <c r="AC102" i="1"/>
  <c r="AB102" i="1"/>
  <c r="P102" i="1"/>
  <c r="M102" i="1"/>
  <c r="L102" i="1"/>
  <c r="AF101" i="1"/>
  <c r="AE101" i="1"/>
  <c r="AD101" i="1"/>
  <c r="AC101" i="1"/>
  <c r="AB101" i="1"/>
  <c r="P101" i="1"/>
  <c r="M101" i="1"/>
  <c r="L101" i="1"/>
  <c r="AF100" i="1"/>
  <c r="AE100" i="1"/>
  <c r="AD100" i="1"/>
  <c r="AC100" i="1"/>
  <c r="AB100" i="1"/>
  <c r="P100" i="1"/>
  <c r="M100" i="1"/>
  <c r="L100" i="1"/>
  <c r="AF99" i="1"/>
  <c r="AE99" i="1"/>
  <c r="AD99" i="1"/>
  <c r="AC99" i="1"/>
  <c r="AB99" i="1"/>
  <c r="P99" i="1"/>
  <c r="M99" i="1"/>
  <c r="L99" i="1"/>
  <c r="AF98" i="1"/>
  <c r="AE98" i="1"/>
  <c r="AD98" i="1"/>
  <c r="AC98" i="1"/>
  <c r="AB98" i="1"/>
  <c r="P98" i="1"/>
  <c r="M98" i="1"/>
  <c r="L98" i="1"/>
  <c r="AF97" i="1"/>
  <c r="AE97" i="1"/>
  <c r="AD97" i="1"/>
  <c r="AC97" i="1"/>
  <c r="AB97" i="1"/>
  <c r="P97" i="1"/>
  <c r="M97" i="1"/>
  <c r="L97" i="1"/>
  <c r="AF96" i="1"/>
  <c r="AE96" i="1"/>
  <c r="AD96" i="1"/>
  <c r="AC96" i="1"/>
  <c r="AB96" i="1"/>
  <c r="P96" i="1"/>
  <c r="M96" i="1"/>
  <c r="L96" i="1"/>
  <c r="AF95" i="1"/>
  <c r="AE95" i="1"/>
  <c r="AD95" i="1"/>
  <c r="AC95" i="1"/>
  <c r="AB95" i="1"/>
  <c r="P95" i="1"/>
  <c r="M95" i="1"/>
  <c r="L95" i="1"/>
  <c r="AF94" i="1"/>
  <c r="AE94" i="1"/>
  <c r="AD94" i="1"/>
  <c r="AC94" i="1"/>
  <c r="AB94" i="1"/>
  <c r="P94" i="1"/>
  <c r="M94" i="1"/>
  <c r="L94" i="1"/>
  <c r="AF93" i="1"/>
  <c r="AE93" i="1"/>
  <c r="AD93" i="1"/>
  <c r="AC93" i="1"/>
  <c r="AB93" i="1"/>
  <c r="P93" i="1"/>
  <c r="M93" i="1"/>
  <c r="L93" i="1"/>
  <c r="AF92" i="1"/>
  <c r="AE92" i="1"/>
  <c r="AD92" i="1"/>
  <c r="AC92" i="1"/>
  <c r="AB92" i="1"/>
  <c r="P92" i="1"/>
  <c r="M92" i="1"/>
  <c r="L92" i="1"/>
  <c r="AF91" i="1"/>
  <c r="AE91" i="1"/>
  <c r="AD91" i="1"/>
  <c r="AC91" i="1"/>
  <c r="AB91" i="1"/>
  <c r="P91" i="1"/>
  <c r="M91" i="1"/>
  <c r="L91" i="1"/>
  <c r="AF90" i="1"/>
  <c r="AE90" i="1"/>
  <c r="AD90" i="1"/>
  <c r="AC90" i="1"/>
  <c r="AB90" i="1"/>
  <c r="P90" i="1"/>
  <c r="M90" i="1"/>
  <c r="L90" i="1"/>
  <c r="AF89" i="1"/>
  <c r="AE89" i="1"/>
  <c r="AD89" i="1"/>
  <c r="AC89" i="1"/>
  <c r="AB89" i="1"/>
  <c r="P89" i="1"/>
  <c r="M89" i="1"/>
  <c r="L89" i="1"/>
  <c r="AF88" i="1"/>
  <c r="AE88" i="1"/>
  <c r="AD88" i="1"/>
  <c r="AC88" i="1"/>
  <c r="AB88" i="1"/>
  <c r="P88" i="1"/>
  <c r="M88" i="1"/>
  <c r="L88" i="1"/>
  <c r="AF87" i="1"/>
  <c r="AE87" i="1"/>
  <c r="AD87" i="1"/>
  <c r="AC87" i="1"/>
  <c r="AB87" i="1"/>
  <c r="P87" i="1"/>
  <c r="M87" i="1"/>
  <c r="L87" i="1"/>
  <c r="AF86" i="1"/>
  <c r="AE86" i="1"/>
  <c r="AD86" i="1"/>
  <c r="AC86" i="1"/>
  <c r="AB86" i="1"/>
  <c r="P86" i="1"/>
  <c r="M86" i="1"/>
  <c r="L86" i="1"/>
  <c r="AF85" i="1"/>
  <c r="AE85" i="1"/>
  <c r="AD85" i="1"/>
  <c r="AC85" i="1"/>
  <c r="AB85" i="1"/>
  <c r="P85" i="1"/>
  <c r="M85" i="1"/>
  <c r="L85" i="1"/>
  <c r="AF84" i="1"/>
  <c r="AE84" i="1"/>
  <c r="AD84" i="1"/>
  <c r="AC84" i="1"/>
  <c r="AB84" i="1"/>
  <c r="P84" i="1"/>
  <c r="M84" i="1"/>
  <c r="L84" i="1"/>
  <c r="AF83" i="1"/>
  <c r="AE83" i="1"/>
  <c r="AD83" i="1"/>
  <c r="AC83" i="1"/>
  <c r="AB83" i="1"/>
  <c r="P83" i="1"/>
  <c r="M83" i="1"/>
  <c r="L83" i="1"/>
  <c r="AF82" i="1"/>
  <c r="AE82" i="1"/>
  <c r="AD82" i="1"/>
  <c r="AC82" i="1"/>
  <c r="AB82" i="1"/>
  <c r="P82" i="1"/>
  <c r="M82" i="1"/>
  <c r="L82" i="1"/>
  <c r="AF81" i="1"/>
  <c r="AE81" i="1"/>
  <c r="AD81" i="1"/>
  <c r="AC81" i="1"/>
  <c r="AB81" i="1"/>
  <c r="P81" i="1"/>
  <c r="M81" i="1"/>
  <c r="L81" i="1"/>
  <c r="AF80" i="1"/>
  <c r="AE80" i="1"/>
  <c r="AD80" i="1"/>
  <c r="AC80" i="1"/>
  <c r="AB80" i="1"/>
  <c r="P80" i="1"/>
  <c r="M80" i="1"/>
  <c r="L80" i="1"/>
  <c r="AF79" i="1"/>
  <c r="AE79" i="1"/>
  <c r="AD79" i="1"/>
  <c r="AC79" i="1"/>
  <c r="AB79" i="1"/>
  <c r="P79" i="1"/>
  <c r="M79" i="1"/>
  <c r="L79" i="1"/>
  <c r="AF78" i="1"/>
  <c r="AE78" i="1"/>
  <c r="AC78" i="1"/>
  <c r="AD78" i="1" s="1"/>
  <c r="AB78" i="1"/>
  <c r="P78" i="1"/>
  <c r="M78" i="1"/>
  <c r="L78" i="1"/>
  <c r="AF77" i="1"/>
  <c r="AE77" i="1"/>
  <c r="AC77" i="1"/>
  <c r="AD77" i="1" s="1"/>
  <c r="AB77" i="1"/>
  <c r="P77" i="1"/>
  <c r="M77" i="1"/>
  <c r="L77" i="1"/>
  <c r="AF76" i="1"/>
  <c r="AE76" i="1"/>
  <c r="AC76" i="1"/>
  <c r="AD76" i="1" s="1"/>
  <c r="AB76" i="1"/>
  <c r="P76" i="1"/>
  <c r="M76" i="1"/>
  <c r="L76" i="1"/>
  <c r="AF75" i="1"/>
  <c r="AE75" i="1"/>
  <c r="AC75" i="1"/>
  <c r="AD75" i="1" s="1"/>
  <c r="AB75" i="1"/>
  <c r="P75" i="1"/>
  <c r="M75" i="1"/>
  <c r="L75" i="1"/>
  <c r="AF74" i="1"/>
  <c r="AE74" i="1"/>
  <c r="AC74" i="1"/>
  <c r="AD74" i="1" s="1"/>
  <c r="AB74" i="1"/>
  <c r="P74" i="1"/>
  <c r="M74" i="1"/>
  <c r="L74" i="1"/>
  <c r="AF73" i="1"/>
  <c r="AE73" i="1"/>
  <c r="AC73" i="1"/>
  <c r="AD73" i="1" s="1"/>
  <c r="AB73" i="1"/>
  <c r="P73" i="1"/>
  <c r="M73" i="1"/>
  <c r="L73" i="1"/>
  <c r="AF72" i="1"/>
  <c r="AE72" i="1"/>
  <c r="AC72" i="1"/>
  <c r="AD72" i="1" s="1"/>
  <c r="AB72" i="1"/>
  <c r="P72" i="1"/>
  <c r="M72" i="1"/>
  <c r="L72" i="1"/>
  <c r="AF71" i="1"/>
  <c r="AE71" i="1"/>
  <c r="AC71" i="1"/>
  <c r="AD71" i="1" s="1"/>
  <c r="AB71" i="1"/>
  <c r="P71" i="1"/>
  <c r="M71" i="1"/>
  <c r="L71" i="1"/>
  <c r="AF70" i="1"/>
  <c r="AE70" i="1"/>
  <c r="AC70" i="1"/>
  <c r="AD70" i="1" s="1"/>
  <c r="AB70" i="1"/>
  <c r="P70" i="1"/>
  <c r="M70" i="1"/>
  <c r="L70" i="1"/>
  <c r="AF69" i="1"/>
  <c r="AE69" i="1"/>
  <c r="AC69" i="1"/>
  <c r="AD69" i="1" s="1"/>
  <c r="AB69" i="1"/>
  <c r="P69" i="1"/>
  <c r="M69" i="1"/>
  <c r="L69" i="1"/>
  <c r="AF68" i="1"/>
  <c r="AE68" i="1"/>
  <c r="AC68" i="1"/>
  <c r="AD68" i="1" s="1"/>
  <c r="AB68" i="1"/>
  <c r="P68" i="1"/>
  <c r="M68" i="1"/>
  <c r="L68" i="1"/>
  <c r="AF67" i="1"/>
  <c r="AE67" i="1"/>
  <c r="AC67" i="1"/>
  <c r="AD67" i="1" s="1"/>
  <c r="AB67" i="1"/>
  <c r="P67" i="1"/>
  <c r="M67" i="1"/>
  <c r="L67" i="1"/>
  <c r="AF66" i="1"/>
  <c r="AE66" i="1"/>
  <c r="AC66" i="1"/>
  <c r="AD66" i="1" s="1"/>
  <c r="AB66" i="1"/>
  <c r="P66" i="1"/>
  <c r="M66" i="1"/>
  <c r="L66" i="1"/>
  <c r="AF65" i="1"/>
  <c r="AE65" i="1"/>
  <c r="AC65" i="1"/>
  <c r="AD65" i="1" s="1"/>
  <c r="AB65" i="1"/>
  <c r="P65" i="1"/>
  <c r="M65" i="1"/>
  <c r="L65" i="1"/>
  <c r="AF64" i="1"/>
  <c r="AE64" i="1"/>
  <c r="AC64" i="1"/>
  <c r="AD64" i="1" s="1"/>
  <c r="AB64" i="1"/>
  <c r="P64" i="1"/>
  <c r="M64" i="1"/>
  <c r="L64" i="1"/>
  <c r="AF63" i="1"/>
  <c r="AE63" i="1"/>
  <c r="AC63" i="1"/>
  <c r="AD63" i="1" s="1"/>
  <c r="AB63" i="1"/>
  <c r="P63" i="1"/>
  <c r="M63" i="1"/>
  <c r="L63" i="1"/>
  <c r="AF62" i="1"/>
  <c r="AE62" i="1"/>
  <c r="AC62" i="1"/>
  <c r="AD62" i="1" s="1"/>
  <c r="AB62" i="1"/>
  <c r="P62" i="1"/>
  <c r="M62" i="1"/>
  <c r="L62" i="1"/>
  <c r="AF61" i="1"/>
  <c r="AE61" i="1"/>
  <c r="AC61" i="1"/>
  <c r="AD61" i="1" s="1"/>
  <c r="AB61" i="1"/>
  <c r="P61" i="1"/>
  <c r="M61" i="1"/>
  <c r="L61" i="1"/>
  <c r="AF60" i="1"/>
  <c r="AE60" i="1"/>
  <c r="AC60" i="1"/>
  <c r="AD60" i="1" s="1"/>
  <c r="AB60" i="1"/>
  <c r="P60" i="1"/>
  <c r="M60" i="1"/>
  <c r="L60" i="1"/>
  <c r="AF59" i="1"/>
  <c r="AE59" i="1"/>
  <c r="AC59" i="1"/>
  <c r="AD59" i="1" s="1"/>
  <c r="AB59" i="1"/>
  <c r="P59" i="1"/>
  <c r="M59" i="1"/>
  <c r="L59" i="1"/>
  <c r="AF58" i="1"/>
  <c r="AE58" i="1"/>
  <c r="AC58" i="1"/>
  <c r="AD58" i="1" s="1"/>
  <c r="AB58" i="1"/>
  <c r="P58" i="1"/>
  <c r="M58" i="1"/>
  <c r="L58" i="1"/>
  <c r="AF57" i="1"/>
  <c r="AE57" i="1"/>
  <c r="AC57" i="1"/>
  <c r="AD57" i="1" s="1"/>
  <c r="AB57" i="1"/>
  <c r="P57" i="1"/>
  <c r="M57" i="1"/>
  <c r="L57" i="1"/>
  <c r="AF56" i="1"/>
  <c r="AE56" i="1"/>
  <c r="AC56" i="1"/>
  <c r="AD56" i="1" s="1"/>
  <c r="AB56" i="1"/>
  <c r="P56" i="1"/>
  <c r="M56" i="1"/>
  <c r="L56" i="1"/>
  <c r="AF55" i="1"/>
  <c r="AE55" i="1"/>
  <c r="AC55" i="1"/>
  <c r="AD55" i="1" s="1"/>
  <c r="AB55" i="1"/>
  <c r="P55" i="1"/>
  <c r="M55" i="1"/>
  <c r="L55" i="1"/>
  <c r="AF54" i="1"/>
  <c r="AE54" i="1"/>
  <c r="AC54" i="1"/>
  <c r="AD54" i="1" s="1"/>
  <c r="AB54" i="1"/>
  <c r="P54" i="1"/>
  <c r="M54" i="1"/>
  <c r="L54" i="1"/>
  <c r="AF53" i="1"/>
  <c r="AE53" i="1"/>
  <c r="AC53" i="1"/>
  <c r="AD53" i="1" s="1"/>
  <c r="AB53" i="1"/>
  <c r="P53" i="1"/>
  <c r="M53" i="1"/>
  <c r="L53" i="1"/>
  <c r="AF52" i="1"/>
  <c r="AE52" i="1"/>
  <c r="AC52" i="1"/>
  <c r="AD52" i="1" s="1"/>
  <c r="AB52" i="1"/>
  <c r="P52" i="1"/>
  <c r="M52" i="1"/>
  <c r="L52" i="1"/>
  <c r="AF51" i="1"/>
  <c r="AE51" i="1"/>
  <c r="AC51" i="1"/>
  <c r="AD51" i="1" s="1"/>
  <c r="AB51" i="1"/>
  <c r="P51" i="1"/>
  <c r="M51" i="1"/>
  <c r="L51" i="1"/>
  <c r="AF50" i="1"/>
  <c r="AE50" i="1"/>
  <c r="AC50" i="1"/>
  <c r="AD50" i="1" s="1"/>
  <c r="AB50" i="1"/>
  <c r="P50" i="1"/>
  <c r="M50" i="1"/>
  <c r="L50" i="1"/>
  <c r="AF49" i="1"/>
  <c r="AE49" i="1"/>
  <c r="AC49" i="1"/>
  <c r="AD49" i="1" s="1"/>
  <c r="AB49" i="1"/>
  <c r="P49" i="1"/>
  <c r="M49" i="1"/>
  <c r="L49" i="1"/>
  <c r="AF48" i="1"/>
  <c r="AE48" i="1"/>
  <c r="AC48" i="1"/>
  <c r="AD48" i="1" s="1"/>
  <c r="AB48" i="1"/>
  <c r="P48" i="1"/>
  <c r="M48" i="1"/>
  <c r="L48" i="1"/>
  <c r="AF47" i="1"/>
  <c r="AE47" i="1"/>
  <c r="AC47" i="1"/>
  <c r="AD47" i="1" s="1"/>
  <c r="AB47" i="1"/>
  <c r="P47" i="1"/>
  <c r="M47" i="1"/>
  <c r="L47" i="1"/>
  <c r="AF46" i="1"/>
  <c r="AE46" i="1"/>
  <c r="AC46" i="1"/>
  <c r="AD46" i="1" s="1"/>
  <c r="AB46" i="1"/>
  <c r="P46" i="1"/>
  <c r="M46" i="1"/>
  <c r="L46" i="1"/>
  <c r="AF45" i="1"/>
  <c r="AE45" i="1"/>
  <c r="AC45" i="1"/>
  <c r="AD45" i="1" s="1"/>
  <c r="AB45" i="1"/>
  <c r="P45" i="1"/>
  <c r="M45" i="1"/>
  <c r="L45" i="1"/>
  <c r="AF44" i="1"/>
  <c r="AE44" i="1"/>
  <c r="AC44" i="1"/>
  <c r="AD44" i="1" s="1"/>
  <c r="AB44" i="1"/>
  <c r="P44" i="1"/>
  <c r="M44" i="1"/>
  <c r="L44" i="1"/>
  <c r="AF43" i="1"/>
  <c r="AE43" i="1"/>
  <c r="AC43" i="1"/>
  <c r="AD43" i="1" s="1"/>
  <c r="AB43" i="1"/>
  <c r="P43" i="1"/>
  <c r="M43" i="1"/>
  <c r="L43" i="1"/>
  <c r="AF42" i="1"/>
  <c r="AE42" i="1"/>
  <c r="AC42" i="1"/>
  <c r="AD42" i="1" s="1"/>
  <c r="AB42" i="1"/>
  <c r="P42" i="1"/>
  <c r="M42" i="1"/>
  <c r="L42" i="1"/>
  <c r="AF41" i="1"/>
  <c r="AE41" i="1"/>
  <c r="AC41" i="1"/>
  <c r="AD41" i="1" s="1"/>
  <c r="AB41" i="1"/>
  <c r="P41" i="1"/>
  <c r="M41" i="1"/>
  <c r="L41" i="1"/>
  <c r="AF40" i="1"/>
  <c r="AE40" i="1"/>
  <c r="AC40" i="1"/>
  <c r="AD40" i="1" s="1"/>
  <c r="AB40" i="1"/>
  <c r="P40" i="1"/>
  <c r="M40" i="1"/>
  <c r="L40" i="1"/>
  <c r="AF39" i="1"/>
  <c r="AE39" i="1"/>
  <c r="AC39" i="1"/>
  <c r="AD39" i="1" s="1"/>
  <c r="AB39" i="1"/>
  <c r="P39" i="1"/>
  <c r="M39" i="1"/>
  <c r="L39" i="1"/>
  <c r="AF38" i="1"/>
  <c r="AE38" i="1"/>
  <c r="AC38" i="1"/>
  <c r="AD38" i="1" s="1"/>
  <c r="AB38" i="1"/>
  <c r="P38" i="1"/>
  <c r="M38" i="1"/>
  <c r="L38" i="1"/>
  <c r="AF37" i="1"/>
  <c r="AE37" i="1"/>
  <c r="AC37" i="1"/>
  <c r="AD37" i="1" s="1"/>
  <c r="AB37" i="1"/>
  <c r="P37" i="1"/>
  <c r="M37" i="1"/>
  <c r="L37" i="1"/>
  <c r="AF36" i="1"/>
  <c r="AE36" i="1"/>
  <c r="AC36" i="1"/>
  <c r="AD36" i="1" s="1"/>
  <c r="AB36" i="1"/>
  <c r="P36" i="1"/>
  <c r="M36" i="1"/>
  <c r="L36" i="1"/>
  <c r="AF35" i="1"/>
  <c r="AE35" i="1"/>
  <c r="AC35" i="1"/>
  <c r="AD35" i="1" s="1"/>
  <c r="AB35" i="1"/>
  <c r="P35" i="1"/>
  <c r="M35" i="1"/>
  <c r="L35" i="1"/>
  <c r="AF34" i="1"/>
  <c r="AE34" i="1"/>
  <c r="AC34" i="1"/>
  <c r="AD34" i="1" s="1"/>
  <c r="AB34" i="1"/>
  <c r="P34" i="1"/>
  <c r="M34" i="1"/>
  <c r="L34" i="1"/>
  <c r="AF33" i="1"/>
  <c r="AE33" i="1"/>
  <c r="AC33" i="1"/>
  <c r="AD33" i="1" s="1"/>
  <c r="AB33" i="1"/>
  <c r="P33" i="1"/>
  <c r="M33" i="1"/>
  <c r="L33" i="1"/>
  <c r="AF32" i="1"/>
  <c r="AE32" i="1"/>
  <c r="AC32" i="1"/>
  <c r="AD32" i="1" s="1"/>
  <c r="AB32" i="1"/>
  <c r="P32" i="1"/>
  <c r="M32" i="1"/>
  <c r="L32" i="1"/>
  <c r="AF31" i="1"/>
  <c r="AE31" i="1"/>
  <c r="AC31" i="1"/>
  <c r="AD31" i="1" s="1"/>
  <c r="AB31" i="1"/>
  <c r="P31" i="1"/>
  <c r="M31" i="1"/>
  <c r="L31" i="1"/>
  <c r="AF30" i="1"/>
  <c r="AE30" i="1"/>
  <c r="AC30" i="1"/>
  <c r="AD30" i="1" s="1"/>
  <c r="AB30" i="1"/>
  <c r="P30" i="1"/>
  <c r="M30" i="1"/>
  <c r="L30" i="1"/>
  <c r="AF29" i="1"/>
  <c r="AE29" i="1"/>
  <c r="AC29" i="1"/>
  <c r="AD29" i="1" s="1"/>
  <c r="AB29" i="1"/>
  <c r="P29" i="1"/>
  <c r="M29" i="1"/>
  <c r="L29" i="1"/>
  <c r="AF28" i="1"/>
  <c r="AE28" i="1"/>
  <c r="AC28" i="1"/>
  <c r="AD28" i="1" s="1"/>
  <c r="AB28" i="1"/>
  <c r="P28" i="1"/>
  <c r="M28" i="1"/>
  <c r="L28" i="1"/>
  <c r="AF27" i="1"/>
  <c r="AE27" i="1"/>
  <c r="AC27" i="1"/>
  <c r="AD27" i="1" s="1"/>
  <c r="AB27" i="1"/>
  <c r="P27" i="1"/>
  <c r="M27" i="1"/>
  <c r="L27" i="1"/>
  <c r="AF26" i="1"/>
  <c r="AE26" i="1"/>
  <c r="AC26" i="1"/>
  <c r="AD26" i="1" s="1"/>
  <c r="AB26" i="1"/>
  <c r="P26" i="1"/>
  <c r="M26" i="1"/>
  <c r="L26" i="1"/>
  <c r="AF25" i="1"/>
  <c r="AE25" i="1"/>
  <c r="AC25" i="1"/>
  <c r="AD25" i="1" s="1"/>
  <c r="AB25" i="1"/>
  <c r="P25" i="1"/>
  <c r="M25" i="1"/>
  <c r="L25" i="1"/>
  <c r="AF24" i="1"/>
  <c r="AE24" i="1"/>
  <c r="AC24" i="1"/>
  <c r="AD24" i="1" s="1"/>
  <c r="AB24" i="1"/>
  <c r="P24" i="1"/>
  <c r="M24" i="1"/>
  <c r="L24" i="1"/>
  <c r="AF23" i="1"/>
  <c r="AE23" i="1"/>
  <c r="AC23" i="1"/>
  <c r="AD23" i="1" s="1"/>
  <c r="AB23" i="1"/>
  <c r="P23" i="1"/>
  <c r="M23" i="1"/>
  <c r="L23" i="1"/>
  <c r="AF22" i="1"/>
  <c r="AE22" i="1"/>
  <c r="AC22" i="1"/>
  <c r="AD22" i="1" s="1"/>
  <c r="AB22" i="1"/>
  <c r="P22" i="1"/>
  <c r="M22" i="1"/>
  <c r="L22" i="1"/>
  <c r="AF21" i="1"/>
  <c r="AE21" i="1"/>
  <c r="AC21" i="1"/>
  <c r="AD21" i="1" s="1"/>
  <c r="AB21" i="1"/>
  <c r="P21" i="1"/>
  <c r="M21" i="1"/>
  <c r="L21" i="1"/>
  <c r="AF20" i="1"/>
  <c r="AE20" i="1"/>
  <c r="AC20" i="1"/>
  <c r="AD20" i="1" s="1"/>
  <c r="AB20" i="1"/>
  <c r="P20" i="1"/>
  <c r="M20" i="1"/>
  <c r="L20" i="1"/>
  <c r="AF19" i="1"/>
  <c r="AE19" i="1"/>
  <c r="AC19" i="1"/>
  <c r="AD19" i="1" s="1"/>
  <c r="AB19" i="1"/>
  <c r="P19" i="1"/>
  <c r="M19" i="1"/>
  <c r="L19" i="1"/>
  <c r="AF18" i="1"/>
  <c r="AE18" i="1"/>
  <c r="AC18" i="1"/>
  <c r="AD18" i="1" s="1"/>
  <c r="AB18" i="1"/>
  <c r="P18" i="1"/>
  <c r="M18" i="1"/>
  <c r="L18" i="1"/>
  <c r="AF17" i="1"/>
  <c r="AE17" i="1"/>
  <c r="AC17" i="1"/>
  <c r="AD17" i="1" s="1"/>
  <c r="AB17" i="1"/>
  <c r="P17" i="1"/>
  <c r="M17" i="1"/>
  <c r="L17" i="1"/>
  <c r="AF16" i="1"/>
  <c r="AE16" i="1"/>
  <c r="AC16" i="1"/>
  <c r="AD16" i="1" s="1"/>
  <c r="AB16" i="1"/>
  <c r="P16" i="1"/>
  <c r="M16" i="1"/>
  <c r="L16" i="1"/>
  <c r="AF15" i="1"/>
  <c r="AE15" i="1"/>
  <c r="AC15" i="1"/>
  <c r="AD15" i="1" s="1"/>
  <c r="AB15" i="1"/>
  <c r="P15" i="1"/>
  <c r="M15" i="1"/>
  <c r="L15" i="1"/>
  <c r="AF14" i="1"/>
  <c r="AE14" i="1"/>
  <c r="AC14" i="1"/>
  <c r="AB14" i="1"/>
  <c r="P14" i="1"/>
  <c r="M14" i="1"/>
  <c r="L14" i="1"/>
  <c r="AF13" i="1"/>
  <c r="AE13" i="1"/>
  <c r="AC13" i="1"/>
  <c r="AD13" i="1" s="1"/>
  <c r="AB13" i="1"/>
  <c r="P13" i="1"/>
  <c r="M13" i="1"/>
  <c r="L13" i="1"/>
  <c r="AF12" i="1"/>
  <c r="AE12" i="1"/>
  <c r="AC12" i="1"/>
  <c r="AD12" i="1" s="1"/>
  <c r="AB12" i="1"/>
  <c r="P12" i="1"/>
  <c r="M12" i="1"/>
  <c r="L12" i="1"/>
  <c r="AF11" i="1"/>
  <c r="AE11" i="1"/>
  <c r="AC11" i="1"/>
  <c r="AB11" i="1"/>
  <c r="P11" i="1"/>
  <c r="M11" i="1"/>
  <c r="L11" i="1"/>
  <c r="AF10" i="1"/>
  <c r="AE10" i="1"/>
  <c r="AC10" i="1"/>
  <c r="AD10" i="1" s="1"/>
  <c r="AB10" i="1"/>
  <c r="P10" i="1"/>
  <c r="M10" i="1"/>
  <c r="L10" i="1"/>
  <c r="AF9" i="1"/>
  <c r="AE9" i="1"/>
  <c r="AC9" i="1"/>
  <c r="AD9" i="1" s="1"/>
  <c r="AB9" i="1"/>
  <c r="P9" i="1"/>
  <c r="M9" i="1"/>
  <c r="L9" i="1"/>
  <c r="AF8" i="1"/>
  <c r="AE8" i="1"/>
  <c r="AC8" i="1"/>
  <c r="AD8" i="1" s="1"/>
  <c r="AB8" i="1"/>
  <c r="P8" i="1"/>
  <c r="M8" i="1"/>
  <c r="L8" i="1"/>
  <c r="AF7" i="1"/>
  <c r="AE7" i="1"/>
  <c r="AC7" i="1"/>
  <c r="AB7" i="1"/>
  <c r="P7" i="1"/>
  <c r="M7" i="1"/>
  <c r="L7" i="1"/>
  <c r="AF6" i="1"/>
  <c r="AE6" i="1"/>
  <c r="AC6" i="1"/>
  <c r="AD6" i="1" s="1"/>
  <c r="AB6" i="1"/>
  <c r="P6" i="1"/>
  <c r="M6" i="1"/>
  <c r="L6" i="1"/>
  <c r="AF5" i="1"/>
  <c r="AE5" i="1"/>
  <c r="AC5" i="1"/>
  <c r="AD5" i="1" s="1"/>
  <c r="AB5" i="1"/>
  <c r="P5" i="1"/>
  <c r="M5" i="1"/>
  <c r="L5" i="1"/>
  <c r="AF4" i="1"/>
  <c r="AE4" i="1"/>
  <c r="AC4" i="1"/>
  <c r="AD4" i="1" s="1"/>
  <c r="AB4" i="1"/>
  <c r="P4" i="1"/>
  <c r="M4" i="1"/>
  <c r="L4" i="1"/>
  <c r="AF3" i="1"/>
  <c r="AE3" i="1"/>
  <c r="AC3" i="1"/>
  <c r="AB3" i="1"/>
  <c r="P3" i="1"/>
  <c r="M3" i="1"/>
  <c r="L3" i="1"/>
  <c r="AF2" i="1"/>
  <c r="AE2" i="1"/>
  <c r="AC2" i="1"/>
  <c r="AD2" i="1" s="1"/>
  <c r="AB2" i="1"/>
  <c r="P2" i="1"/>
  <c r="M2" i="1"/>
  <c r="L2" i="1"/>
  <c r="AD151" i="1" l="1"/>
  <c r="AF151" i="1"/>
  <c r="AD168" i="1"/>
  <c r="AF168" i="1"/>
  <c r="AD247" i="1"/>
  <c r="AF247" i="1"/>
  <c r="AF311" i="1"/>
  <c r="AD311" i="1"/>
  <c r="AD159" i="1"/>
  <c r="AF159" i="1"/>
  <c r="AD215" i="1"/>
  <c r="AF215" i="1"/>
  <c r="AF253" i="1"/>
  <c r="AD253" i="1"/>
  <c r="AD135" i="1"/>
  <c r="AF135" i="1"/>
  <c r="AD208" i="1"/>
  <c r="AF208" i="1"/>
  <c r="AD239" i="1"/>
  <c r="AF239" i="1"/>
  <c r="AF261" i="1"/>
  <c r="AD261" i="1"/>
  <c r="AD143" i="1"/>
  <c r="AF143" i="1"/>
  <c r="AD216" i="1"/>
  <c r="AF216" i="1"/>
  <c r="AD224" i="1"/>
  <c r="AF224" i="1"/>
  <c r="AD191" i="1"/>
  <c r="AF191" i="1"/>
  <c r="AF279" i="1"/>
  <c r="AD279" i="1"/>
  <c r="AD136" i="1"/>
  <c r="AF136" i="1"/>
  <c r="AD144" i="1"/>
  <c r="AF144" i="1"/>
  <c r="AD223" i="1"/>
  <c r="AF223" i="1"/>
  <c r="AD199" i="1"/>
  <c r="AF199" i="1"/>
  <c r="AD167" i="1"/>
  <c r="AF167" i="1"/>
  <c r="AD184" i="1"/>
  <c r="AF184" i="1"/>
  <c r="AD231" i="1"/>
  <c r="AF231" i="1"/>
  <c r="AF269" i="1"/>
  <c r="AD269" i="1"/>
  <c r="AD207" i="1"/>
  <c r="AF207" i="1"/>
  <c r="AD192" i="1"/>
  <c r="AF192" i="1"/>
  <c r="AD200" i="1"/>
  <c r="AF200" i="1"/>
  <c r="AD198" i="1"/>
  <c r="AF198" i="1"/>
  <c r="AF137" i="1"/>
  <c r="AC203" i="1"/>
  <c r="AF209" i="1"/>
  <c r="AF217" i="1"/>
  <c r="AF225" i="1"/>
  <c r="AD127" i="1"/>
  <c r="AC164" i="1"/>
  <c r="AF193" i="1"/>
  <c r="AC213" i="1"/>
  <c r="AC263" i="1"/>
  <c r="AF130" i="1"/>
  <c r="AD134" i="1"/>
  <c r="AF134" i="1"/>
  <c r="AF138" i="1"/>
  <c r="AD142" i="1"/>
  <c r="AF142" i="1"/>
  <c r="AD160" i="1"/>
  <c r="AF160" i="1"/>
  <c r="AD173" i="1"/>
  <c r="AF173" i="1"/>
  <c r="AD183" i="1"/>
  <c r="AF183" i="1"/>
  <c r="AC196" i="1"/>
  <c r="AF202" i="1"/>
  <c r="AD206" i="1"/>
  <c r="AF206" i="1"/>
  <c r="AF210" i="1"/>
  <c r="AD214" i="1"/>
  <c r="AF214" i="1"/>
  <c r="AF218" i="1"/>
  <c r="AD222" i="1"/>
  <c r="AF222" i="1"/>
  <c r="AF226" i="1"/>
  <c r="AD230" i="1"/>
  <c r="AF230" i="1"/>
  <c r="AF234" i="1"/>
  <c r="AD238" i="1"/>
  <c r="AF238" i="1"/>
  <c r="AF242" i="1"/>
  <c r="AD246" i="1"/>
  <c r="AF246" i="1"/>
  <c r="AF250" i="1"/>
  <c r="AF264" i="1"/>
  <c r="AD264" i="1"/>
  <c r="AE269" i="1"/>
  <c r="AF278" i="1"/>
  <c r="AD278" i="1"/>
  <c r="AF295" i="1"/>
  <c r="AD295" i="1"/>
  <c r="AC211" i="1"/>
  <c r="AE211" i="1"/>
  <c r="AF419" i="1"/>
  <c r="AD419" i="1"/>
  <c r="AC157" i="1"/>
  <c r="AC190" i="1"/>
  <c r="AF256" i="1"/>
  <c r="AD256" i="1"/>
  <c r="AD273" i="1"/>
  <c r="AC275" i="1"/>
  <c r="AE275" i="1"/>
  <c r="AD280" i="1"/>
  <c r="AD282" i="1"/>
  <c r="AF303" i="1"/>
  <c r="AD303" i="1"/>
  <c r="AF363" i="1"/>
  <c r="AD363" i="1"/>
  <c r="AF378" i="1"/>
  <c r="AD378" i="1"/>
  <c r="AE391" i="1"/>
  <c r="AC391" i="1"/>
  <c r="AD152" i="1"/>
  <c r="AF152" i="1"/>
  <c r="AC165" i="1"/>
  <c r="AC227" i="1"/>
  <c r="AE227" i="1"/>
  <c r="AD110" i="1"/>
  <c r="AD120" i="1"/>
  <c r="AC139" i="1"/>
  <c r="AF201" i="1"/>
  <c r="AD240" i="1"/>
  <c r="AF240" i="1"/>
  <c r="AF241" i="1"/>
  <c r="AD248" i="1"/>
  <c r="AF248" i="1"/>
  <c r="AF249" i="1"/>
  <c r="AC277" i="1"/>
  <c r="AC284" i="1"/>
  <c r="AD301" i="1"/>
  <c r="AF307" i="1"/>
  <c r="AD307" i="1"/>
  <c r="AD351" i="1"/>
  <c r="AD111" i="1"/>
  <c r="AC131" i="1"/>
  <c r="F6" i="3" s="1"/>
  <c r="AF147" i="1"/>
  <c r="AC133" i="1"/>
  <c r="AD188" i="1"/>
  <c r="AF188" i="1"/>
  <c r="AC219" i="1"/>
  <c r="AE219" i="1"/>
  <c r="AC251" i="1"/>
  <c r="AE251" i="1"/>
  <c r="AC180" i="1"/>
  <c r="AD128" i="1"/>
  <c r="AC182" i="1"/>
  <c r="AF233" i="1"/>
  <c r="AC195" i="1"/>
  <c r="AC237" i="1"/>
  <c r="AD108" i="1"/>
  <c r="AD118" i="1"/>
  <c r="AD126" i="1"/>
  <c r="AE154" i="1"/>
  <c r="AC156" i="1"/>
  <c r="AF162" i="1"/>
  <c r="AC166" i="1"/>
  <c r="AF185" i="1"/>
  <c r="AC187" i="1"/>
  <c r="AC197" i="1"/>
  <c r="AD265" i="1"/>
  <c r="AC267" i="1"/>
  <c r="AE267" i="1"/>
  <c r="AC272" i="1"/>
  <c r="AC292" i="1"/>
  <c r="AC327" i="1"/>
  <c r="AF336" i="1"/>
  <c r="AD336" i="1"/>
  <c r="AE375" i="1"/>
  <c r="AC375" i="1"/>
  <c r="AF388" i="1"/>
  <c r="AD388" i="1"/>
  <c r="AD420" i="1"/>
  <c r="AF420" i="1"/>
  <c r="AC235" i="1"/>
  <c r="AE235" i="1"/>
  <c r="AC243" i="1"/>
  <c r="AE243" i="1"/>
  <c r="AF271" i="1"/>
  <c r="AD271" i="1"/>
  <c r="AD121" i="1"/>
  <c r="AF155" i="1"/>
  <c r="AF129" i="1"/>
  <c r="AC149" i="1"/>
  <c r="AD109" i="1"/>
  <c r="AE162" i="1"/>
  <c r="AC174" i="1"/>
  <c r="AC229" i="1"/>
  <c r="AD3" i="1"/>
  <c r="AD7" i="1"/>
  <c r="AD11" i="1"/>
  <c r="AD14" i="1"/>
  <c r="AE146" i="1"/>
  <c r="AC148" i="1"/>
  <c r="AF154" i="1"/>
  <c r="AC158" i="1"/>
  <c r="AC176" i="1"/>
  <c r="AF177" i="1"/>
  <c r="AC179" i="1"/>
  <c r="AC189" i="1"/>
  <c r="AE220" i="1"/>
  <c r="AC220" i="1"/>
  <c r="AE228" i="1"/>
  <c r="AC228" i="1"/>
  <c r="AE236" i="1"/>
  <c r="AC236" i="1"/>
  <c r="AE244" i="1"/>
  <c r="AC244" i="1"/>
  <c r="AC255" i="1"/>
  <c r="AC287" i="1"/>
  <c r="AD296" i="1"/>
  <c r="AD298" i="1"/>
  <c r="AD175" i="1"/>
  <c r="AF175" i="1"/>
  <c r="AF320" i="1"/>
  <c r="AD320" i="1"/>
  <c r="AF403" i="1"/>
  <c r="AD403" i="1"/>
  <c r="AC172" i="1"/>
  <c r="AD232" i="1"/>
  <c r="AF232" i="1"/>
  <c r="AD119" i="1"/>
  <c r="AC141" i="1"/>
  <c r="AC205" i="1"/>
  <c r="AC221" i="1"/>
  <c r="AC245" i="1"/>
  <c r="AD288" i="1"/>
  <c r="AD290" i="1"/>
  <c r="AC329" i="1"/>
  <c r="AD116" i="1"/>
  <c r="AD124" i="1"/>
  <c r="AE130" i="1"/>
  <c r="AC132" i="1"/>
  <c r="AE138" i="1"/>
  <c r="AC140" i="1"/>
  <c r="AF146" i="1"/>
  <c r="AC150" i="1"/>
  <c r="AF169" i="1"/>
  <c r="AC171" i="1"/>
  <c r="AC181" i="1"/>
  <c r="AE202" i="1"/>
  <c r="AC204" i="1"/>
  <c r="AE210" i="1"/>
  <c r="AC212" i="1"/>
  <c r="AE218" i="1"/>
  <c r="AE226" i="1"/>
  <c r="AE234" i="1"/>
  <c r="AE242" i="1"/>
  <c r="AE250" i="1"/>
  <c r="AD257" i="1"/>
  <c r="AC259" i="1"/>
  <c r="AE259" i="1"/>
  <c r="AF300" i="1"/>
  <c r="AD300" i="1"/>
  <c r="AF306" i="1"/>
  <c r="AD306" i="1"/>
  <c r="AF308" i="1"/>
  <c r="AD308" i="1"/>
  <c r="AF343" i="1"/>
  <c r="AD343" i="1"/>
  <c r="AD345" i="1"/>
  <c r="AF283" i="1"/>
  <c r="AD283" i="1"/>
  <c r="AF291" i="1"/>
  <c r="AD291" i="1"/>
  <c r="AF299" i="1"/>
  <c r="AD299" i="1"/>
  <c r="AF394" i="1"/>
  <c r="AD394" i="1"/>
  <c r="AF401" i="1"/>
  <c r="AD401" i="1"/>
  <c r="AE366" i="1"/>
  <c r="AC366" i="1"/>
  <c r="AF370" i="1"/>
  <c r="AD370" i="1"/>
  <c r="AF372" i="1"/>
  <c r="AD372" i="1"/>
  <c r="AD396" i="1"/>
  <c r="AF396" i="1"/>
  <c r="AD430" i="1"/>
  <c r="AF430" i="1"/>
  <c r="AD459" i="1"/>
  <c r="AF459" i="1"/>
  <c r="AC338" i="1"/>
  <c r="AD364" i="1"/>
  <c r="AC368" i="1"/>
  <c r="AF410" i="1"/>
  <c r="AD410" i="1"/>
  <c r="AF450" i="1"/>
  <c r="AD452" i="1"/>
  <c r="AF452" i="1"/>
  <c r="AD485" i="1"/>
  <c r="AF485" i="1"/>
  <c r="AC252" i="1"/>
  <c r="AC260" i="1"/>
  <c r="AC268" i="1"/>
  <c r="AC276" i="1"/>
  <c r="AC315" i="1"/>
  <c r="AC361" i="1"/>
  <c r="AF376" i="1"/>
  <c r="AD376" i="1"/>
  <c r="AC385" i="1"/>
  <c r="AF387" i="1"/>
  <c r="AD387" i="1"/>
  <c r="AF417" i="1"/>
  <c r="AD417" i="1"/>
  <c r="AD446" i="1"/>
  <c r="AF446" i="1"/>
  <c r="AE449" i="1"/>
  <c r="AC449" i="1"/>
  <c r="AD456" i="1"/>
  <c r="AF456" i="1"/>
  <c r="AC281" i="1"/>
  <c r="AC289" i="1"/>
  <c r="AC297" i="1"/>
  <c r="AC305" i="1"/>
  <c r="AC310" i="1"/>
  <c r="AC322" i="1"/>
  <c r="AE367" i="1"/>
  <c r="AC367" i="1"/>
  <c r="AE407" i="1"/>
  <c r="AC407" i="1"/>
  <c r="AD412" i="1"/>
  <c r="AF412" i="1"/>
  <c r="AD438" i="1"/>
  <c r="AF438" i="1"/>
  <c r="AF441" i="1"/>
  <c r="AC443" i="1"/>
  <c r="H6" i="3"/>
  <c r="H5" i="3"/>
  <c r="H8" i="3"/>
  <c r="H9" i="3"/>
  <c r="H4" i="3"/>
  <c r="AC286" i="1"/>
  <c r="AC294" i="1"/>
  <c r="AC302" i="1"/>
  <c r="AF371" i="1"/>
  <c r="AD371" i="1"/>
  <c r="AD380" i="1"/>
  <c r="AF380" i="1"/>
  <c r="B7" i="3"/>
  <c r="H7" i="3"/>
  <c r="B5" i="3"/>
  <c r="B6" i="3"/>
  <c r="G7" i="3"/>
  <c r="G6" i="3"/>
  <c r="G5" i="3"/>
  <c r="G8" i="3"/>
  <c r="G9" i="3"/>
  <c r="G4" i="3"/>
  <c r="AD312" i="1"/>
  <c r="AC319" i="1"/>
  <c r="AD339" i="1"/>
  <c r="AE358" i="1"/>
  <c r="AC358" i="1"/>
  <c r="AF392" i="1"/>
  <c r="AD392" i="1"/>
  <c r="AD487" i="1"/>
  <c r="AF487" i="1"/>
  <c r="AC314" i="1"/>
  <c r="AC418" i="1"/>
  <c r="AC328" i="1"/>
  <c r="AC331" i="1"/>
  <c r="AC335" i="1"/>
  <c r="AC344" i="1"/>
  <c r="AC347" i="1"/>
  <c r="AC350" i="1"/>
  <c r="AD423" i="1"/>
  <c r="AF423" i="1"/>
  <c r="AE428" i="1"/>
  <c r="AC428" i="1"/>
  <c r="AD431" i="1"/>
  <c r="AF431" i="1"/>
  <c r="AC440" i="1"/>
  <c r="AC318" i="1"/>
  <c r="AC337" i="1"/>
  <c r="AC362" i="1"/>
  <c r="AC402" i="1"/>
  <c r="AF408" i="1"/>
  <c r="AD408" i="1"/>
  <c r="AD465" i="1"/>
  <c r="AF465" i="1"/>
  <c r="AC477" i="1"/>
  <c r="AD479" i="1"/>
  <c r="AF479" i="1"/>
  <c r="AD321" i="1"/>
  <c r="AC330" i="1"/>
  <c r="AC346" i="1"/>
  <c r="AC357" i="1"/>
  <c r="AE357" i="1"/>
  <c r="AE359" i="1"/>
  <c r="AC359" i="1"/>
  <c r="AC369" i="1"/>
  <c r="AD379" i="1"/>
  <c r="AC386" i="1"/>
  <c r="AE422" i="1"/>
  <c r="AC422" i="1"/>
  <c r="AC425" i="1"/>
  <c r="AC462" i="1"/>
  <c r="AD429" i="1"/>
  <c r="AF429" i="1"/>
  <c r="AD444" i="1"/>
  <c r="AF444" i="1"/>
  <c r="AD455" i="1"/>
  <c r="AF455" i="1"/>
  <c r="AC326" i="1"/>
  <c r="AC334" i="1"/>
  <c r="AC342" i="1"/>
  <c r="AC349" i="1"/>
  <c r="AC353" i="1"/>
  <c r="AE374" i="1"/>
  <c r="AC374" i="1"/>
  <c r="AD469" i="1"/>
  <c r="AF469" i="1"/>
  <c r="AC317" i="1"/>
  <c r="AC325" i="1"/>
  <c r="AC333" i="1"/>
  <c r="AC341" i="1"/>
  <c r="AC360" i="1"/>
  <c r="AC377" i="1"/>
  <c r="AD381" i="1"/>
  <c r="AC384" i="1"/>
  <c r="AC393" i="1"/>
  <c r="AD397" i="1"/>
  <c r="AC400" i="1"/>
  <c r="AC409" i="1"/>
  <c r="AD413" i="1"/>
  <c r="AC416" i="1"/>
  <c r="AD436" i="1"/>
  <c r="AF436" i="1"/>
  <c r="AD493" i="1"/>
  <c r="AF493" i="1"/>
  <c r="AD495" i="1"/>
  <c r="AF495" i="1"/>
  <c r="AC316" i="1"/>
  <c r="AC324" i="1"/>
  <c r="AC332" i="1"/>
  <c r="AC340" i="1"/>
  <c r="AC348" i="1"/>
  <c r="AC352" i="1"/>
  <c r="AC356" i="1"/>
  <c r="AE383" i="1"/>
  <c r="AC383" i="1"/>
  <c r="AE399" i="1"/>
  <c r="AC399" i="1"/>
  <c r="AE415" i="1"/>
  <c r="AC415" i="1"/>
  <c r="AC424" i="1"/>
  <c r="AF471" i="1"/>
  <c r="AC434" i="1"/>
  <c r="AC448" i="1"/>
  <c r="AC458" i="1"/>
  <c r="AC470" i="1"/>
  <c r="AC451" i="1"/>
  <c r="AC461" i="1"/>
  <c r="AC464" i="1"/>
  <c r="AC473" i="1"/>
  <c r="AF439" i="1"/>
  <c r="AC442" i="1"/>
  <c r="AC454" i="1"/>
  <c r="AF467" i="1"/>
  <c r="AC478" i="1"/>
  <c r="AD481" i="1"/>
  <c r="AF481" i="1"/>
  <c r="AD489" i="1"/>
  <c r="AF489" i="1"/>
  <c r="AD497" i="1"/>
  <c r="AF497" i="1"/>
  <c r="AC382" i="1"/>
  <c r="AC390" i="1"/>
  <c r="AC398" i="1"/>
  <c r="AC406" i="1"/>
  <c r="AC414" i="1"/>
  <c r="AC433" i="1"/>
  <c r="AD483" i="1"/>
  <c r="AF483" i="1"/>
  <c r="AD491" i="1"/>
  <c r="AF491" i="1"/>
  <c r="AD499" i="1"/>
  <c r="AF499" i="1"/>
  <c r="AC468" i="1"/>
  <c r="AC472" i="1"/>
  <c r="AC476" i="1"/>
  <c r="AC480" i="1"/>
  <c r="AC484" i="1"/>
  <c r="AC488" i="1"/>
  <c r="AC492" i="1"/>
  <c r="AC496" i="1"/>
  <c r="AC500" i="1"/>
  <c r="AF501" i="1"/>
  <c r="AC482" i="1"/>
  <c r="AC486" i="1"/>
  <c r="AC490" i="1"/>
  <c r="AC494" i="1"/>
  <c r="AC498" i="1"/>
  <c r="AF305" i="1" l="1"/>
  <c r="AD305" i="1"/>
  <c r="AF338" i="1"/>
  <c r="AD338" i="1"/>
  <c r="AD212" i="1"/>
  <c r="AF212" i="1"/>
  <c r="B4" i="3"/>
  <c r="AD141" i="1"/>
  <c r="AF141" i="1"/>
  <c r="AD179" i="1"/>
  <c r="AF179" i="1"/>
  <c r="AD243" i="1"/>
  <c r="AF243" i="1"/>
  <c r="AD182" i="1"/>
  <c r="AF182" i="1"/>
  <c r="AD484" i="1"/>
  <c r="AF484" i="1"/>
  <c r="AD399" i="1"/>
  <c r="AF399" i="1"/>
  <c r="AF332" i="1"/>
  <c r="AD332" i="1"/>
  <c r="AD422" i="1"/>
  <c r="AF422" i="1"/>
  <c r="AD357" i="1"/>
  <c r="AF357" i="1"/>
  <c r="AF344" i="1"/>
  <c r="AD344" i="1"/>
  <c r="AD486" i="1"/>
  <c r="AF486" i="1"/>
  <c r="AD480" i="1"/>
  <c r="AF480" i="1"/>
  <c r="AD454" i="1"/>
  <c r="AF454" i="1"/>
  <c r="AD458" i="1"/>
  <c r="AF458" i="1"/>
  <c r="AD324" i="1"/>
  <c r="AF324" i="1"/>
  <c r="AF416" i="1"/>
  <c r="AD416" i="1"/>
  <c r="AF377" i="1"/>
  <c r="AD377" i="1"/>
  <c r="AD374" i="1"/>
  <c r="AF374" i="1"/>
  <c r="AD346" i="1"/>
  <c r="AF346" i="1"/>
  <c r="AF335" i="1"/>
  <c r="AD335" i="1"/>
  <c r="AD476" i="1"/>
  <c r="AF476" i="1"/>
  <c r="AD448" i="1"/>
  <c r="AF448" i="1"/>
  <c r="AF316" i="1"/>
  <c r="AD316" i="1"/>
  <c r="AF386" i="1"/>
  <c r="AD386" i="1"/>
  <c r="AD330" i="1"/>
  <c r="AF330" i="1"/>
  <c r="AD428" i="1"/>
  <c r="AF428" i="1"/>
  <c r="AD331" i="1"/>
  <c r="AF331" i="1"/>
  <c r="AF358" i="1"/>
  <c r="AD358" i="1"/>
  <c r="AF297" i="1"/>
  <c r="AD297" i="1"/>
  <c r="AF361" i="1"/>
  <c r="AD361" i="1"/>
  <c r="AF259" i="1"/>
  <c r="AD259" i="1"/>
  <c r="AD140" i="1"/>
  <c r="AF140" i="1"/>
  <c r="AD407" i="1"/>
  <c r="AF407" i="1"/>
  <c r="AF315" i="1"/>
  <c r="AD315" i="1"/>
  <c r="AD204" i="1"/>
  <c r="AF204" i="1"/>
  <c r="AF329" i="1"/>
  <c r="AD329" i="1"/>
  <c r="AD176" i="1"/>
  <c r="AF176" i="1"/>
  <c r="AD235" i="1"/>
  <c r="AF235" i="1"/>
  <c r="AD187" i="1"/>
  <c r="AF187" i="1"/>
  <c r="AD180" i="1"/>
  <c r="AF180" i="1"/>
  <c r="AF277" i="1"/>
  <c r="AD277" i="1"/>
  <c r="AD139" i="1"/>
  <c r="AF139" i="1"/>
  <c r="AD391" i="1"/>
  <c r="AF391" i="1"/>
  <c r="AD157" i="1"/>
  <c r="AF157" i="1"/>
  <c r="AD494" i="1"/>
  <c r="AF494" i="1"/>
  <c r="AD488" i="1"/>
  <c r="AF488" i="1"/>
  <c r="AD390" i="1"/>
  <c r="AF390" i="1"/>
  <c r="AD478" i="1"/>
  <c r="AF478" i="1"/>
  <c r="AD451" i="1"/>
  <c r="AF451" i="1"/>
  <c r="AF340" i="1"/>
  <c r="AD340" i="1"/>
  <c r="AF384" i="1"/>
  <c r="AD384" i="1"/>
  <c r="AD326" i="1"/>
  <c r="AF326" i="1"/>
  <c r="AD425" i="1"/>
  <c r="AF425" i="1"/>
  <c r="AD440" i="1"/>
  <c r="AF440" i="1"/>
  <c r="AD347" i="1"/>
  <c r="AF347" i="1"/>
  <c r="AD490" i="1"/>
  <c r="AF490" i="1"/>
  <c r="AF382" i="1"/>
  <c r="AD382" i="1"/>
  <c r="AD470" i="1"/>
  <c r="AF470" i="1"/>
  <c r="AD482" i="1"/>
  <c r="AF482" i="1"/>
  <c r="AD442" i="1"/>
  <c r="AF442" i="1"/>
  <c r="AD383" i="1"/>
  <c r="AF383" i="1"/>
  <c r="AF360" i="1"/>
  <c r="AD360" i="1"/>
  <c r="F7" i="3"/>
  <c r="AD236" i="1"/>
  <c r="AF236" i="1"/>
  <c r="AD149" i="1"/>
  <c r="AF149" i="1"/>
  <c r="AD197" i="1"/>
  <c r="AF197" i="1"/>
  <c r="AD133" i="1"/>
  <c r="AF133" i="1"/>
  <c r="AF284" i="1"/>
  <c r="AD284" i="1"/>
  <c r="AD190" i="1"/>
  <c r="AF190" i="1"/>
  <c r="AD196" i="1"/>
  <c r="AF196" i="1"/>
  <c r="AD164" i="1"/>
  <c r="AF164" i="1"/>
  <c r="AD472" i="1"/>
  <c r="AF472" i="1"/>
  <c r="AD433" i="1"/>
  <c r="AF433" i="1"/>
  <c r="AD434" i="1"/>
  <c r="AF434" i="1"/>
  <c r="AF409" i="1"/>
  <c r="AD409" i="1"/>
  <c r="AD341" i="1"/>
  <c r="AF341" i="1"/>
  <c r="AD353" i="1"/>
  <c r="AF353" i="1"/>
  <c r="AF402" i="1"/>
  <c r="AD402" i="1"/>
  <c r="AF328" i="1"/>
  <c r="AD328" i="1"/>
  <c r="AD468" i="1"/>
  <c r="AF468" i="1"/>
  <c r="AD473" i="1"/>
  <c r="AF473" i="1"/>
  <c r="AF356" i="1"/>
  <c r="AD356" i="1"/>
  <c r="AF400" i="1"/>
  <c r="AD400" i="1"/>
  <c r="AD333" i="1"/>
  <c r="AF333" i="1"/>
  <c r="AD349" i="1"/>
  <c r="AF349" i="1"/>
  <c r="AF369" i="1"/>
  <c r="AD369" i="1"/>
  <c r="AF362" i="1"/>
  <c r="AD362" i="1"/>
  <c r="AF418" i="1"/>
  <c r="AD418" i="1"/>
  <c r="AF327" i="1"/>
  <c r="AD327" i="1"/>
  <c r="AF289" i="1"/>
  <c r="AD289" i="1"/>
  <c r="AD500" i="1"/>
  <c r="AF500" i="1"/>
  <c r="AF414" i="1"/>
  <c r="AD414" i="1"/>
  <c r="AF281" i="1"/>
  <c r="AD281" i="1"/>
  <c r="AD132" i="1"/>
  <c r="AF132" i="1"/>
  <c r="AD228" i="1"/>
  <c r="AF228" i="1"/>
  <c r="AD158" i="1"/>
  <c r="AF158" i="1"/>
  <c r="F4" i="3"/>
  <c r="AD496" i="1"/>
  <c r="AF496" i="1"/>
  <c r="AD406" i="1"/>
  <c r="AF406" i="1"/>
  <c r="AD464" i="1"/>
  <c r="AF464" i="1"/>
  <c r="AD424" i="1"/>
  <c r="AF424" i="1"/>
  <c r="AD352" i="1"/>
  <c r="AF352" i="1"/>
  <c r="AD325" i="1"/>
  <c r="AF325" i="1"/>
  <c r="AD342" i="1"/>
  <c r="AF342" i="1"/>
  <c r="AD359" i="1"/>
  <c r="AF359" i="1"/>
  <c r="AF337" i="1"/>
  <c r="AD337" i="1"/>
  <c r="AF314" i="1"/>
  <c r="AD314" i="1"/>
  <c r="AF319" i="1"/>
  <c r="AD319" i="1"/>
  <c r="AF302" i="1"/>
  <c r="AD302" i="1"/>
  <c r="AD367" i="1"/>
  <c r="AF367" i="1"/>
  <c r="AF268" i="1"/>
  <c r="AD268" i="1"/>
  <c r="AD172" i="1"/>
  <c r="AF172" i="1"/>
  <c r="AF292" i="1"/>
  <c r="AD292" i="1"/>
  <c r="AD166" i="1"/>
  <c r="AF166" i="1"/>
  <c r="F5" i="3"/>
  <c r="AF251" i="1"/>
  <c r="AD251" i="1"/>
  <c r="AF276" i="1"/>
  <c r="AD276" i="1"/>
  <c r="AF366" i="1"/>
  <c r="AD366" i="1"/>
  <c r="F9" i="3"/>
  <c r="AD131" i="1"/>
  <c r="AF131" i="1"/>
  <c r="AD443" i="1"/>
  <c r="AF443" i="1"/>
  <c r="AD181" i="1"/>
  <c r="AF181" i="1"/>
  <c r="AD498" i="1"/>
  <c r="AF498" i="1"/>
  <c r="AD492" i="1"/>
  <c r="AF492" i="1"/>
  <c r="AF398" i="1"/>
  <c r="AD398" i="1"/>
  <c r="AD461" i="1"/>
  <c r="AF461" i="1"/>
  <c r="AD415" i="1"/>
  <c r="AF415" i="1"/>
  <c r="AF348" i="1"/>
  <c r="AD348" i="1"/>
  <c r="AF393" i="1"/>
  <c r="AD393" i="1"/>
  <c r="AD317" i="1"/>
  <c r="AF317" i="1"/>
  <c r="AD334" i="1"/>
  <c r="AF334" i="1"/>
  <c r="AD462" i="1"/>
  <c r="AF462" i="1"/>
  <c r="AD477" i="1"/>
  <c r="AF477" i="1"/>
  <c r="AD318" i="1"/>
  <c r="AF318" i="1"/>
  <c r="AF350" i="1"/>
  <c r="AD350" i="1"/>
  <c r="AF294" i="1"/>
  <c r="AD294" i="1"/>
  <c r="AF260" i="1"/>
  <c r="AD260" i="1"/>
  <c r="AD171" i="1"/>
  <c r="AF171" i="1"/>
  <c r="AD245" i="1"/>
  <c r="AF245" i="1"/>
  <c r="AF287" i="1"/>
  <c r="AD287" i="1"/>
  <c r="AD220" i="1"/>
  <c r="AF220" i="1"/>
  <c r="AD148" i="1"/>
  <c r="AF148" i="1"/>
  <c r="AD229" i="1"/>
  <c r="AF229" i="1"/>
  <c r="AF272" i="1"/>
  <c r="AD272" i="1"/>
  <c r="AD237" i="1"/>
  <c r="AF237" i="1"/>
  <c r="AF275" i="1"/>
  <c r="AD275" i="1"/>
  <c r="AF286" i="1"/>
  <c r="AD286" i="1"/>
  <c r="AF322" i="1"/>
  <c r="AD322" i="1"/>
  <c r="AD449" i="1"/>
  <c r="AF449" i="1"/>
  <c r="AF385" i="1"/>
  <c r="AD385" i="1"/>
  <c r="AF252" i="1"/>
  <c r="AD252" i="1"/>
  <c r="AF368" i="1"/>
  <c r="AD368" i="1"/>
  <c r="AD221" i="1"/>
  <c r="AF221" i="1"/>
  <c r="AF255" i="1"/>
  <c r="AD255" i="1"/>
  <c r="AD174" i="1"/>
  <c r="AF174" i="1"/>
  <c r="AD156" i="1"/>
  <c r="AF156" i="1"/>
  <c r="AD195" i="1"/>
  <c r="AF195" i="1"/>
  <c r="AD219" i="1"/>
  <c r="AF219" i="1"/>
  <c r="AD227" i="1"/>
  <c r="AF227" i="1"/>
  <c r="AD211" i="1"/>
  <c r="AF211" i="1"/>
  <c r="AF263" i="1"/>
  <c r="AD263" i="1"/>
  <c r="AD203" i="1"/>
  <c r="AF203" i="1"/>
  <c r="AF310" i="1"/>
  <c r="AD310" i="1"/>
  <c r="AD150" i="1"/>
  <c r="AF150" i="1"/>
  <c r="F8" i="3"/>
  <c r="AD205" i="1"/>
  <c r="AF205" i="1"/>
  <c r="AD244" i="1"/>
  <c r="AF244" i="1"/>
  <c r="AD189" i="1"/>
  <c r="AF189" i="1"/>
  <c r="AD375" i="1"/>
  <c r="AF375" i="1"/>
  <c r="AF267" i="1"/>
  <c r="AD267" i="1"/>
  <c r="AD165" i="1"/>
  <c r="AF165" i="1"/>
  <c r="AD213" i="1"/>
  <c r="AF213" i="1"/>
</calcChain>
</file>

<file path=xl/sharedStrings.xml><?xml version="1.0" encoding="utf-8"?>
<sst xmlns="http://schemas.openxmlformats.org/spreadsheetml/2006/main" count="3578" uniqueCount="1072">
  <si>
    <t>record_id</t>
  </si>
  <si>
    <t>plant_id</t>
  </si>
  <si>
    <t>plant_name</t>
  </si>
  <si>
    <t>plant_location</t>
  </si>
  <si>
    <t>style_id</t>
  </si>
  <si>
    <t>buyer_name</t>
  </si>
  <si>
    <t>order_quantity</t>
  </si>
  <si>
    <t>production_start_date</t>
  </si>
  <si>
    <t>order_completed_date</t>
  </si>
  <si>
    <t>planned_completion_days</t>
  </si>
  <si>
    <t>actual_completion_days</t>
  </si>
  <si>
    <t>delay_days</t>
  </si>
  <si>
    <t>delay_status</t>
  </si>
  <si>
    <t>machine_count</t>
  </si>
  <si>
    <t>active_machine_count</t>
  </si>
  <si>
    <t>machine_utilization</t>
  </si>
  <si>
    <t>employee_count</t>
  </si>
  <si>
    <t>daily_output_avg</t>
  </si>
  <si>
    <t>total_workload</t>
  </si>
  <si>
    <t>urgent_style_flag</t>
  </si>
  <si>
    <t>urgent_handled_count</t>
  </si>
  <si>
    <t>risk_count_from_component3</t>
  </si>
  <si>
    <t>machine_breakdown_days</t>
  </si>
  <si>
    <t>worker_shortage_days</t>
  </si>
  <si>
    <t>damage_rate</t>
  </si>
  <si>
    <t>quality_rating</t>
  </si>
  <si>
    <t>on_time_rate</t>
  </si>
  <si>
    <t>efficiency_score</t>
  </si>
  <si>
    <t>performance_score</t>
  </si>
  <si>
    <t>star_rating</t>
  </si>
  <si>
    <t>recommendation</t>
  </si>
  <si>
    <t>best_plant_recommendation</t>
  </si>
  <si>
    <t>C4-0001</t>
  </si>
  <si>
    <t>PL04</t>
  </si>
  <si>
    <t>Sunrose Lanka</t>
  </si>
  <si>
    <t>Katubedda</t>
  </si>
  <si>
    <t>KM877572</t>
  </si>
  <si>
    <t>Tesco</t>
  </si>
  <si>
    <t>Yes</t>
  </si>
  <si>
    <t>C4-0002</t>
  </si>
  <si>
    <t>PL03</t>
  </si>
  <si>
    <t>Bobbin Group</t>
  </si>
  <si>
    <t>Mount Lavinia</t>
  </si>
  <si>
    <t>BYGR1106</t>
  </si>
  <si>
    <t>George</t>
  </si>
  <si>
    <t>No</t>
  </si>
  <si>
    <t>C4-0003</t>
  </si>
  <si>
    <t>KM496922</t>
  </si>
  <si>
    <t>C4-0004</t>
  </si>
  <si>
    <t>BYGR3664</t>
  </si>
  <si>
    <t>C4-0005</t>
  </si>
  <si>
    <t>KM340174</t>
  </si>
  <si>
    <t>C4-0006</t>
  </si>
  <si>
    <t>PL02</t>
  </si>
  <si>
    <t>MRC Group</t>
  </si>
  <si>
    <t>Colombo</t>
  </si>
  <si>
    <t>TG7543</t>
  </si>
  <si>
    <t>M&amp;S</t>
  </si>
  <si>
    <t>C4-0007</t>
  </si>
  <si>
    <t>TG9669</t>
  </si>
  <si>
    <t>C4-0008</t>
  </si>
  <si>
    <t>PL05</t>
  </si>
  <si>
    <t>Regal Image</t>
  </si>
  <si>
    <t>Maharagama</t>
  </si>
  <si>
    <t>KM755674</t>
  </si>
  <si>
    <t>C4-0009</t>
  </si>
  <si>
    <t>AH2290</t>
  </si>
  <si>
    <t>Hirdaramani</t>
  </si>
  <si>
    <t>C4-0010</t>
  </si>
  <si>
    <t>PL06</t>
  </si>
  <si>
    <t>Amsral Lanka</t>
  </si>
  <si>
    <t>Boralesgamuwa</t>
  </si>
  <si>
    <t>TG2982</t>
  </si>
  <si>
    <t>C4-0011</t>
  </si>
  <si>
    <t>TG4510</t>
  </si>
  <si>
    <t>C4-0012</t>
  </si>
  <si>
    <t>KM163556</t>
  </si>
  <si>
    <t>C4-0013</t>
  </si>
  <si>
    <t>PL01</t>
  </si>
  <si>
    <t>Dinusha Embroidery</t>
  </si>
  <si>
    <t>Weliweriya</t>
  </si>
  <si>
    <t>KM197793</t>
  </si>
  <si>
    <t>C4-0014</t>
  </si>
  <si>
    <t>AH4111</t>
  </si>
  <si>
    <t>C4-0015</t>
  </si>
  <si>
    <t>KM723939</t>
  </si>
  <si>
    <t>C4-0016</t>
  </si>
  <si>
    <t>AH5915</t>
  </si>
  <si>
    <t>C4-0017</t>
  </si>
  <si>
    <t>AH7054</t>
  </si>
  <si>
    <t>C4-0018</t>
  </si>
  <si>
    <t>AH5462</t>
  </si>
  <si>
    <t>C4-0019</t>
  </si>
  <si>
    <t>BYGR3647</t>
  </si>
  <si>
    <t>C4-0020</t>
  </si>
  <si>
    <t>AH5088</t>
  </si>
  <si>
    <t>C4-0021</t>
  </si>
  <si>
    <t>TG5065</t>
  </si>
  <si>
    <t>C4-0022</t>
  </si>
  <si>
    <t>BYGR6753</t>
  </si>
  <si>
    <t>C4-0023</t>
  </si>
  <si>
    <t>BYGR8149</t>
  </si>
  <si>
    <t>C4-0024</t>
  </si>
  <si>
    <t>TG6344</t>
  </si>
  <si>
    <t>C4-0025</t>
  </si>
  <si>
    <t>BYGR8618</t>
  </si>
  <si>
    <t>C4-0026</t>
  </si>
  <si>
    <t>AH8784</t>
  </si>
  <si>
    <t>C4-0027</t>
  </si>
  <si>
    <t>TG1822</t>
  </si>
  <si>
    <t>C4-0028</t>
  </si>
  <si>
    <t>TG5246</t>
  </si>
  <si>
    <t>C4-0029</t>
  </si>
  <si>
    <t>KM245095</t>
  </si>
  <si>
    <t>C4-0030</t>
  </si>
  <si>
    <t>KM468845</t>
  </si>
  <si>
    <t>C4-0031</t>
  </si>
  <si>
    <t>TG3704</t>
  </si>
  <si>
    <t>C4-0032</t>
  </si>
  <si>
    <t>BYGR7211</t>
  </si>
  <si>
    <t>C4-0033</t>
  </si>
  <si>
    <t>AH4908</t>
  </si>
  <si>
    <t>C4-0034</t>
  </si>
  <si>
    <t>TG7498</t>
  </si>
  <si>
    <t>C4-0035</t>
  </si>
  <si>
    <t>TG9031</t>
  </si>
  <si>
    <t>C4-0036</t>
  </si>
  <si>
    <t>KM392477</t>
  </si>
  <si>
    <t>C4-0037</t>
  </si>
  <si>
    <t>BYGR1166</t>
  </si>
  <si>
    <t>C4-0038</t>
  </si>
  <si>
    <t>BYGR7971</t>
  </si>
  <si>
    <t>C4-0039</t>
  </si>
  <si>
    <t>BYGR2647</t>
  </si>
  <si>
    <t>C4-0040</t>
  </si>
  <si>
    <t>KM364742</t>
  </si>
  <si>
    <t>C4-0041</t>
  </si>
  <si>
    <t>AH9561</t>
  </si>
  <si>
    <t>C4-0042</t>
  </si>
  <si>
    <t>AH1043</t>
  </si>
  <si>
    <t>C4-0043</t>
  </si>
  <si>
    <t>AH5352</t>
  </si>
  <si>
    <t>C4-0044</t>
  </si>
  <si>
    <t>BYGR1423</t>
  </si>
  <si>
    <t>C4-0045</t>
  </si>
  <si>
    <t>TG9056</t>
  </si>
  <si>
    <t>C4-0046</t>
  </si>
  <si>
    <t>TG9431</t>
  </si>
  <si>
    <t>C4-0047</t>
  </si>
  <si>
    <t>TG8941</t>
  </si>
  <si>
    <t>C4-0048</t>
  </si>
  <si>
    <t>TG8905</t>
  </si>
  <si>
    <t>C4-0049</t>
  </si>
  <si>
    <t>BYGR5891</t>
  </si>
  <si>
    <t>C4-0050</t>
  </si>
  <si>
    <t>TG7325</t>
  </si>
  <si>
    <t>C4-0051</t>
  </si>
  <si>
    <t>KM592296</t>
  </si>
  <si>
    <t>C4-0052</t>
  </si>
  <si>
    <t>TG2612</t>
  </si>
  <si>
    <t>C4-0053</t>
  </si>
  <si>
    <t>AH3785</t>
  </si>
  <si>
    <t>C4-0054</t>
  </si>
  <si>
    <t>AH2210</t>
  </si>
  <si>
    <t>C4-0055</t>
  </si>
  <si>
    <t>BYGR5837</t>
  </si>
  <si>
    <t>C4-0056</t>
  </si>
  <si>
    <t>AH2591</t>
  </si>
  <si>
    <t>C4-0057</t>
  </si>
  <si>
    <t>BYGR3695</t>
  </si>
  <si>
    <t>C4-0058</t>
  </si>
  <si>
    <t>BYGR5295</t>
  </si>
  <si>
    <t>C4-0059</t>
  </si>
  <si>
    <t>KM419149</t>
  </si>
  <si>
    <t>C4-0060</t>
  </si>
  <si>
    <t>BYGR4559</t>
  </si>
  <si>
    <t>C4-0061</t>
  </si>
  <si>
    <t>KM153035</t>
  </si>
  <si>
    <t>C4-0062</t>
  </si>
  <si>
    <t>BYGR3858</t>
  </si>
  <si>
    <t>C4-0063</t>
  </si>
  <si>
    <t>TG8344</t>
  </si>
  <si>
    <t>C4-0064</t>
  </si>
  <si>
    <t>TG2204</t>
  </si>
  <si>
    <t>C4-0065</t>
  </si>
  <si>
    <t>KM994217</t>
  </si>
  <si>
    <t>C4-0066</t>
  </si>
  <si>
    <t>KM197758</t>
  </si>
  <si>
    <t>C4-0067</t>
  </si>
  <si>
    <t>BYGR2697</t>
  </si>
  <si>
    <t>C4-0068</t>
  </si>
  <si>
    <t>BYGR1474</t>
  </si>
  <si>
    <t>C4-0069</t>
  </si>
  <si>
    <t>AH7062</t>
  </si>
  <si>
    <t>C4-0070</t>
  </si>
  <si>
    <t>KM461939</t>
  </si>
  <si>
    <t>C4-0071</t>
  </si>
  <si>
    <t>BYGR5742</t>
  </si>
  <si>
    <t>C4-0072</t>
  </si>
  <si>
    <t>TG7843</t>
  </si>
  <si>
    <t>C4-0073</t>
  </si>
  <si>
    <t>TG6083</t>
  </si>
  <si>
    <t>C4-0074</t>
  </si>
  <si>
    <t>KM285751</t>
  </si>
  <si>
    <t>C4-0075</t>
  </si>
  <si>
    <t>BYGR5500</t>
  </si>
  <si>
    <t>C4-0076</t>
  </si>
  <si>
    <t>AH6267</t>
  </si>
  <si>
    <t>C4-0077</t>
  </si>
  <si>
    <t>AH6962</t>
  </si>
  <si>
    <t>C4-0078</t>
  </si>
  <si>
    <t>AH6731</t>
  </si>
  <si>
    <t>C4-0079</t>
  </si>
  <si>
    <t>BYGR1298</t>
  </si>
  <si>
    <t>C4-0080</t>
  </si>
  <si>
    <t>AH7172</t>
  </si>
  <si>
    <t>C4-0081</t>
  </si>
  <si>
    <t>TG4178</t>
  </si>
  <si>
    <t>C4-0082</t>
  </si>
  <si>
    <t>KM398910</t>
  </si>
  <si>
    <t>C4-0083</t>
  </si>
  <si>
    <t>AH7326</t>
  </si>
  <si>
    <t>C4-0084</t>
  </si>
  <si>
    <t>AH9991</t>
  </si>
  <si>
    <t>C4-0085</t>
  </si>
  <si>
    <t>AH5772</t>
  </si>
  <si>
    <t>C4-0086</t>
  </si>
  <si>
    <t>BYGR1266</t>
  </si>
  <si>
    <t>C4-0087</t>
  </si>
  <si>
    <t>TG8840</t>
  </si>
  <si>
    <t>C4-0088</t>
  </si>
  <si>
    <t>AH5687</t>
  </si>
  <si>
    <t>C4-0089</t>
  </si>
  <si>
    <t>BYGR2353</t>
  </si>
  <si>
    <t>C4-0090</t>
  </si>
  <si>
    <t>BYGR8126</t>
  </si>
  <si>
    <t>C4-0091</t>
  </si>
  <si>
    <t>KM734487</t>
  </si>
  <si>
    <t>C4-0092</t>
  </si>
  <si>
    <t>KM374492</t>
  </si>
  <si>
    <t>C4-0093</t>
  </si>
  <si>
    <t>KM676713</t>
  </si>
  <si>
    <t>C4-0094</t>
  </si>
  <si>
    <t>TG3126</t>
  </si>
  <si>
    <t>C4-0095</t>
  </si>
  <si>
    <t>AH3981</t>
  </si>
  <si>
    <t>C4-0096</t>
  </si>
  <si>
    <t>BYGR9740</t>
  </si>
  <si>
    <t>C4-0097</t>
  </si>
  <si>
    <t>BYGR4453</t>
  </si>
  <si>
    <t>C4-0098</t>
  </si>
  <si>
    <t>BYGR6231</t>
  </si>
  <si>
    <t>C4-0099</t>
  </si>
  <si>
    <t>AH6364</t>
  </si>
  <si>
    <t>C4-0100</t>
  </si>
  <si>
    <t>TG5681</t>
  </si>
  <si>
    <t>C4-0101</t>
  </si>
  <si>
    <t>TG9261</t>
  </si>
  <si>
    <t>C4-0102</t>
  </si>
  <si>
    <t>KM140804</t>
  </si>
  <si>
    <t>C4-0103</t>
  </si>
  <si>
    <t>BYGR8780</t>
  </si>
  <si>
    <t>C4-0104</t>
  </si>
  <si>
    <t>TG3421</t>
  </si>
  <si>
    <t>C4-0105</t>
  </si>
  <si>
    <t>BYGR8837</t>
  </si>
  <si>
    <t>C4-0106</t>
  </si>
  <si>
    <t>TG6194</t>
  </si>
  <si>
    <t>C4-0107</t>
  </si>
  <si>
    <t>KM463188</t>
  </si>
  <si>
    <t>C4-0108</t>
  </si>
  <si>
    <t>KM533377</t>
  </si>
  <si>
    <t>C4-0109</t>
  </si>
  <si>
    <t>KM783984</t>
  </si>
  <si>
    <t>C4-0110</t>
  </si>
  <si>
    <t>KM451317</t>
  </si>
  <si>
    <t>C4-0111</t>
  </si>
  <si>
    <t>AH1230</t>
  </si>
  <si>
    <t>C4-0112</t>
  </si>
  <si>
    <t>TG4858</t>
  </si>
  <si>
    <t>C4-0113</t>
  </si>
  <si>
    <t>BYGR2923</t>
  </si>
  <si>
    <t>C4-0114</t>
  </si>
  <si>
    <t>BYGR2279</t>
  </si>
  <si>
    <t>C4-0115</t>
  </si>
  <si>
    <t>KM575458</t>
  </si>
  <si>
    <t>C4-0116</t>
  </si>
  <si>
    <t>KM595002</t>
  </si>
  <si>
    <t>C4-0117</t>
  </si>
  <si>
    <t>AH6697</t>
  </si>
  <si>
    <t>C4-0118</t>
  </si>
  <si>
    <t>BYGR4088</t>
  </si>
  <si>
    <t>C4-0119</t>
  </si>
  <si>
    <t>TG4839</t>
  </si>
  <si>
    <t>C4-0120</t>
  </si>
  <si>
    <t>BYGR1998</t>
  </si>
  <si>
    <t>C4-0121</t>
  </si>
  <si>
    <t>TG4948</t>
  </si>
  <si>
    <t>C4-0122</t>
  </si>
  <si>
    <t>KM661654</t>
  </si>
  <si>
    <t>C4-0123</t>
  </si>
  <si>
    <t>KM883159</t>
  </si>
  <si>
    <t>C4-0124</t>
  </si>
  <si>
    <t>TG6246</t>
  </si>
  <si>
    <t>C4-0125</t>
  </si>
  <si>
    <t>AH7223</t>
  </si>
  <si>
    <t>C4-0126</t>
  </si>
  <si>
    <t>KM979827</t>
  </si>
  <si>
    <t>C4-0127</t>
  </si>
  <si>
    <t>TG8993</t>
  </si>
  <si>
    <t>C4-0128</t>
  </si>
  <si>
    <t>BYGR6807</t>
  </si>
  <si>
    <t>C4-0129</t>
  </si>
  <si>
    <t>KM767678</t>
  </si>
  <si>
    <t>C4-0130</t>
  </si>
  <si>
    <t>KM288066</t>
  </si>
  <si>
    <t>C4-0131</t>
  </si>
  <si>
    <t>AH2284</t>
  </si>
  <si>
    <t>C4-0132</t>
  </si>
  <si>
    <t>TG8075</t>
  </si>
  <si>
    <t>C4-0133</t>
  </si>
  <si>
    <t>KM105447</t>
  </si>
  <si>
    <t>C4-0134</t>
  </si>
  <si>
    <t>TG2387</t>
  </si>
  <si>
    <t>C4-0135</t>
  </si>
  <si>
    <t>TG5911</t>
  </si>
  <si>
    <t>C4-0136</t>
  </si>
  <si>
    <t>AH5922</t>
  </si>
  <si>
    <t>C4-0137</t>
  </si>
  <si>
    <t>TG6980</t>
  </si>
  <si>
    <t>C4-0138</t>
  </si>
  <si>
    <t>BYGR4965</t>
  </si>
  <si>
    <t>C4-0139</t>
  </si>
  <si>
    <t>KM214682</t>
  </si>
  <si>
    <t>C4-0140</t>
  </si>
  <si>
    <t>TG8586</t>
  </si>
  <si>
    <t>C4-0141</t>
  </si>
  <si>
    <t>TG6706</t>
  </si>
  <si>
    <t>C4-0142</t>
  </si>
  <si>
    <t>BYGR7985</t>
  </si>
  <si>
    <t>C4-0143</t>
  </si>
  <si>
    <t>KM705393</t>
  </si>
  <si>
    <t>C4-0144</t>
  </si>
  <si>
    <t>BYGR2388</t>
  </si>
  <si>
    <t>C4-0145</t>
  </si>
  <si>
    <t>TG5732</t>
  </si>
  <si>
    <t>C4-0146</t>
  </si>
  <si>
    <t>KM934541</t>
  </si>
  <si>
    <t>C4-0147</t>
  </si>
  <si>
    <t>KM896922</t>
  </si>
  <si>
    <t>C4-0148</t>
  </si>
  <si>
    <t>BYGR8015</t>
  </si>
  <si>
    <t>C4-0149</t>
  </si>
  <si>
    <t>KM242175</t>
  </si>
  <si>
    <t>C4-0150</t>
  </si>
  <si>
    <t>KM522419</t>
  </si>
  <si>
    <t>C4-0151</t>
  </si>
  <si>
    <t>TG4470</t>
  </si>
  <si>
    <t>C4-0152</t>
  </si>
  <si>
    <t>AH8230</t>
  </si>
  <si>
    <t>C4-0153</t>
  </si>
  <si>
    <t>AH1848</t>
  </si>
  <si>
    <t>C4-0154</t>
  </si>
  <si>
    <t>KM542828</t>
  </si>
  <si>
    <t>C4-0155</t>
  </si>
  <si>
    <t>AH8210</t>
  </si>
  <si>
    <t>C4-0156</t>
  </si>
  <si>
    <t>KM360221</t>
  </si>
  <si>
    <t>C4-0157</t>
  </si>
  <si>
    <t>TG2163</t>
  </si>
  <si>
    <t>C4-0158</t>
  </si>
  <si>
    <t>KM927630</t>
  </si>
  <si>
    <t>C4-0159</t>
  </si>
  <si>
    <t>KM425236</t>
  </si>
  <si>
    <t>C4-0160</t>
  </si>
  <si>
    <t>BYGR3079</t>
  </si>
  <si>
    <t>C4-0161</t>
  </si>
  <si>
    <t>AH5179</t>
  </si>
  <si>
    <t>C4-0162</t>
  </si>
  <si>
    <t>TG4678</t>
  </si>
  <si>
    <t>C4-0163</t>
  </si>
  <si>
    <t>BYGR6362</t>
  </si>
  <si>
    <t>C4-0164</t>
  </si>
  <si>
    <t>TG1391</t>
  </si>
  <si>
    <t>C4-0165</t>
  </si>
  <si>
    <t>KM249289</t>
  </si>
  <si>
    <t>C4-0166</t>
  </si>
  <si>
    <t>AH4879</t>
  </si>
  <si>
    <t>C4-0167</t>
  </si>
  <si>
    <t>AH8365</t>
  </si>
  <si>
    <t>C4-0168</t>
  </si>
  <si>
    <t>BYGR3430</t>
  </si>
  <si>
    <t>C4-0169</t>
  </si>
  <si>
    <t>AH2989</t>
  </si>
  <si>
    <t>C4-0170</t>
  </si>
  <si>
    <t>KM988432</t>
  </si>
  <si>
    <t>C4-0171</t>
  </si>
  <si>
    <t>AH1567</t>
  </si>
  <si>
    <t>C4-0172</t>
  </si>
  <si>
    <t>TG6636</t>
  </si>
  <si>
    <t>C4-0173</t>
  </si>
  <si>
    <t>KM359896</t>
  </si>
  <si>
    <t>C4-0174</t>
  </si>
  <si>
    <t>BYGR3328</t>
  </si>
  <si>
    <t>C4-0175</t>
  </si>
  <si>
    <t>AH3137</t>
  </si>
  <si>
    <t>C4-0176</t>
  </si>
  <si>
    <t>BYGR6285</t>
  </si>
  <si>
    <t>C4-0177</t>
  </si>
  <si>
    <t>AH3911</t>
  </si>
  <si>
    <t>C4-0178</t>
  </si>
  <si>
    <t>KM961574</t>
  </si>
  <si>
    <t>C4-0179</t>
  </si>
  <si>
    <t>BYGR9946</t>
  </si>
  <si>
    <t>C4-0180</t>
  </si>
  <si>
    <t>TG3636</t>
  </si>
  <si>
    <t>C4-0181</t>
  </si>
  <si>
    <t>AH4112</t>
  </si>
  <si>
    <t>C4-0182</t>
  </si>
  <si>
    <t>TG4271</t>
  </si>
  <si>
    <t>C4-0183</t>
  </si>
  <si>
    <t>TG1731</t>
  </si>
  <si>
    <t>C4-0184</t>
  </si>
  <si>
    <t>TG9773</t>
  </si>
  <si>
    <t>C4-0185</t>
  </si>
  <si>
    <t>AH4471</t>
  </si>
  <si>
    <t>C4-0186</t>
  </si>
  <si>
    <t>KM924758</t>
  </si>
  <si>
    <t>C4-0187</t>
  </si>
  <si>
    <t>BYGR7275</t>
  </si>
  <si>
    <t>C4-0188</t>
  </si>
  <si>
    <t>BYGR6094</t>
  </si>
  <si>
    <t>C4-0189</t>
  </si>
  <si>
    <t>TG4463</t>
  </si>
  <si>
    <t>C4-0190</t>
  </si>
  <si>
    <t>AH1944</t>
  </si>
  <si>
    <t>C4-0191</t>
  </si>
  <si>
    <t>AH8775</t>
  </si>
  <si>
    <t>C4-0192</t>
  </si>
  <si>
    <t>KM918207</t>
  </si>
  <si>
    <t>C4-0193</t>
  </si>
  <si>
    <t>TG5950</t>
  </si>
  <si>
    <t>C4-0194</t>
  </si>
  <si>
    <t>BYGR5278</t>
  </si>
  <si>
    <t>C4-0195</t>
  </si>
  <si>
    <t>KM711344</t>
  </si>
  <si>
    <t>C4-0196</t>
  </si>
  <si>
    <t>AH6499</t>
  </si>
  <si>
    <t>C4-0197</t>
  </si>
  <si>
    <t>KM595158</t>
  </si>
  <si>
    <t>C4-0198</t>
  </si>
  <si>
    <t>AH6134</t>
  </si>
  <si>
    <t>C4-0199</t>
  </si>
  <si>
    <t>KM659711</t>
  </si>
  <si>
    <t>C4-0200</t>
  </si>
  <si>
    <t>KM963862</t>
  </si>
  <si>
    <t>C4-0201</t>
  </si>
  <si>
    <t>AH3149</t>
  </si>
  <si>
    <t>C4-0202</t>
  </si>
  <si>
    <t>TG8279</t>
  </si>
  <si>
    <t>C4-0203</t>
  </si>
  <si>
    <t>TG2718</t>
  </si>
  <si>
    <t>C4-0204</t>
  </si>
  <si>
    <t>BYGR4842</t>
  </si>
  <si>
    <t>C4-0205</t>
  </si>
  <si>
    <t>BYGR5327</t>
  </si>
  <si>
    <t>C4-0206</t>
  </si>
  <si>
    <t>BYGR2522</t>
  </si>
  <si>
    <t>C4-0207</t>
  </si>
  <si>
    <t>TG8178</t>
  </si>
  <si>
    <t>C4-0208</t>
  </si>
  <si>
    <t>AH6542</t>
  </si>
  <si>
    <t>C4-0209</t>
  </si>
  <si>
    <t>TG9123</t>
  </si>
  <si>
    <t>C4-0210</t>
  </si>
  <si>
    <t>TG1291</t>
  </si>
  <si>
    <t>C4-0211</t>
  </si>
  <si>
    <t>AH8445</t>
  </si>
  <si>
    <t>C4-0212</t>
  </si>
  <si>
    <t>KM148001</t>
  </si>
  <si>
    <t>C4-0213</t>
  </si>
  <si>
    <t>KM909652</t>
  </si>
  <si>
    <t>C4-0214</t>
  </si>
  <si>
    <t>AH2696</t>
  </si>
  <si>
    <t>C4-0215</t>
  </si>
  <si>
    <t>BYGR9975</t>
  </si>
  <si>
    <t>C4-0216</t>
  </si>
  <si>
    <t>TG9747</t>
  </si>
  <si>
    <t>C4-0217</t>
  </si>
  <si>
    <t>BYGR4342</t>
  </si>
  <si>
    <t>C4-0218</t>
  </si>
  <si>
    <t>TG7349</t>
  </si>
  <si>
    <t>C4-0219</t>
  </si>
  <si>
    <t>KM296059</t>
  </si>
  <si>
    <t>C4-0220</t>
  </si>
  <si>
    <t>BYGR9037</t>
  </si>
  <si>
    <t>C4-0221</t>
  </si>
  <si>
    <t>BYGR6424</t>
  </si>
  <si>
    <t>C4-0222</t>
  </si>
  <si>
    <t>BYGR9426</t>
  </si>
  <si>
    <t>C4-0223</t>
  </si>
  <si>
    <t>AH7950</t>
  </si>
  <si>
    <t>C4-0224</t>
  </si>
  <si>
    <t>BYGR2154</t>
  </si>
  <si>
    <t>C4-0225</t>
  </si>
  <si>
    <t>KM403915</t>
  </si>
  <si>
    <t>C4-0226</t>
  </si>
  <si>
    <t>AH3019</t>
  </si>
  <si>
    <t>C4-0227</t>
  </si>
  <si>
    <t>BYGR4183</t>
  </si>
  <si>
    <t>C4-0228</t>
  </si>
  <si>
    <t>BYGR3100</t>
  </si>
  <si>
    <t>C4-0229</t>
  </si>
  <si>
    <t>BYGR5033</t>
  </si>
  <si>
    <t>C4-0230</t>
  </si>
  <si>
    <t>AH9824</t>
  </si>
  <si>
    <t>C4-0231</t>
  </si>
  <si>
    <t>TG3435</t>
  </si>
  <si>
    <t>C4-0232</t>
  </si>
  <si>
    <t>AH8921</t>
  </si>
  <si>
    <t>C4-0233</t>
  </si>
  <si>
    <t>BYGR5314</t>
  </si>
  <si>
    <t>C4-0234</t>
  </si>
  <si>
    <t>TG3713</t>
  </si>
  <si>
    <t>C4-0235</t>
  </si>
  <si>
    <t>AH3641</t>
  </si>
  <si>
    <t>C4-0236</t>
  </si>
  <si>
    <t>BYGR2404</t>
  </si>
  <si>
    <t>C4-0237</t>
  </si>
  <si>
    <t>TG2127</t>
  </si>
  <si>
    <t>C4-0238</t>
  </si>
  <si>
    <t>KM605666</t>
  </si>
  <si>
    <t>C4-0239</t>
  </si>
  <si>
    <t>KM546157</t>
  </si>
  <si>
    <t>C4-0240</t>
  </si>
  <si>
    <t>TG6935</t>
  </si>
  <si>
    <t>C4-0241</t>
  </si>
  <si>
    <t>BYGR8925</t>
  </si>
  <si>
    <t>C4-0242</t>
  </si>
  <si>
    <t>KM268546</t>
  </si>
  <si>
    <t>C4-0243</t>
  </si>
  <si>
    <t>BYGR1941</t>
  </si>
  <si>
    <t>C4-0244</t>
  </si>
  <si>
    <t>AH2422</t>
  </si>
  <si>
    <t>C4-0245</t>
  </si>
  <si>
    <t>AH8450</t>
  </si>
  <si>
    <t>C4-0246</t>
  </si>
  <si>
    <t>TG8548</t>
  </si>
  <si>
    <t>C4-0247</t>
  </si>
  <si>
    <t>BYGR5067</t>
  </si>
  <si>
    <t>C4-0248</t>
  </si>
  <si>
    <t>AH4965</t>
  </si>
  <si>
    <t>C4-0249</t>
  </si>
  <si>
    <t>TG5501</t>
  </si>
  <si>
    <t>C4-0250</t>
  </si>
  <si>
    <t>TG6171</t>
  </si>
  <si>
    <t>C4-0251</t>
  </si>
  <si>
    <t>AH7866</t>
  </si>
  <si>
    <t>C4-0252</t>
  </si>
  <si>
    <t>AH7906</t>
  </si>
  <si>
    <t>C4-0253</t>
  </si>
  <si>
    <t>AH5166</t>
  </si>
  <si>
    <t>C4-0254</t>
  </si>
  <si>
    <t>AH5663</t>
  </si>
  <si>
    <t>C4-0255</t>
  </si>
  <si>
    <t>TG2168</t>
  </si>
  <si>
    <t>C4-0256</t>
  </si>
  <si>
    <t>BYGR2311</t>
  </si>
  <si>
    <t>C4-0257</t>
  </si>
  <si>
    <t>TG6068</t>
  </si>
  <si>
    <t>C4-0258</t>
  </si>
  <si>
    <t>AH8480</t>
  </si>
  <si>
    <t>C4-0259</t>
  </si>
  <si>
    <t>AH6634</t>
  </si>
  <si>
    <t>C4-0260</t>
  </si>
  <si>
    <t>TG7199</t>
  </si>
  <si>
    <t>C4-0261</t>
  </si>
  <si>
    <t>TG5458</t>
  </si>
  <si>
    <t>C4-0262</t>
  </si>
  <si>
    <t>TG7084</t>
  </si>
  <si>
    <t>C4-0263</t>
  </si>
  <si>
    <t>AH7304</t>
  </si>
  <si>
    <t>C4-0264</t>
  </si>
  <si>
    <t>TG5895</t>
  </si>
  <si>
    <t>C4-0265</t>
  </si>
  <si>
    <t>KM709303</t>
  </si>
  <si>
    <t>C4-0266</t>
  </si>
  <si>
    <t>TG4161</t>
  </si>
  <si>
    <t>C4-0267</t>
  </si>
  <si>
    <t>TG5510</t>
  </si>
  <si>
    <t>C4-0268</t>
  </si>
  <si>
    <t>TG4110</t>
  </si>
  <si>
    <t>C4-0269</t>
  </si>
  <si>
    <t>TG4139</t>
  </si>
  <si>
    <t>C4-0270</t>
  </si>
  <si>
    <t>KM478458</t>
  </si>
  <si>
    <t>C4-0271</t>
  </si>
  <si>
    <t>TG4104</t>
  </si>
  <si>
    <t>C4-0272</t>
  </si>
  <si>
    <t>TG9268</t>
  </si>
  <si>
    <t>C4-0273</t>
  </si>
  <si>
    <t>AH7145</t>
  </si>
  <si>
    <t>C4-0274</t>
  </si>
  <si>
    <t>BYGR9376</t>
  </si>
  <si>
    <t>C4-0275</t>
  </si>
  <si>
    <t>TG3832</t>
  </si>
  <si>
    <t>C4-0276</t>
  </si>
  <si>
    <t>KM764678</t>
  </si>
  <si>
    <t>C4-0277</t>
  </si>
  <si>
    <t>TG3425</t>
  </si>
  <si>
    <t>C4-0278</t>
  </si>
  <si>
    <t>AH4970</t>
  </si>
  <si>
    <t>C4-0279</t>
  </si>
  <si>
    <t>BYGR3773</t>
  </si>
  <si>
    <t>C4-0280</t>
  </si>
  <si>
    <t>KM419939</t>
  </si>
  <si>
    <t>C4-0281</t>
  </si>
  <si>
    <t>KM397809</t>
  </si>
  <si>
    <t>C4-0282</t>
  </si>
  <si>
    <t>KM430779</t>
  </si>
  <si>
    <t>C4-0283</t>
  </si>
  <si>
    <t>BYGR4869</t>
  </si>
  <si>
    <t>C4-0284</t>
  </si>
  <si>
    <t>AH7837</t>
  </si>
  <si>
    <t>C4-0285</t>
  </si>
  <si>
    <t>AH6201</t>
  </si>
  <si>
    <t>C4-0286</t>
  </si>
  <si>
    <t>AH2749</t>
  </si>
  <si>
    <t>C4-0287</t>
  </si>
  <si>
    <t>BYGR4014</t>
  </si>
  <si>
    <t>C4-0288</t>
  </si>
  <si>
    <t>BYGR8496</t>
  </si>
  <si>
    <t>C4-0289</t>
  </si>
  <si>
    <t>KM684791</t>
  </si>
  <si>
    <t>C4-0290</t>
  </si>
  <si>
    <t>KM288503</t>
  </si>
  <si>
    <t>C4-0291</t>
  </si>
  <si>
    <t>KM219710</t>
  </si>
  <si>
    <t>C4-0292</t>
  </si>
  <si>
    <t>TG5731</t>
  </si>
  <si>
    <t>C4-0293</t>
  </si>
  <si>
    <t>TG8434</t>
  </si>
  <si>
    <t>C4-0294</t>
  </si>
  <si>
    <t>KM151413</t>
  </si>
  <si>
    <t>C4-0295</t>
  </si>
  <si>
    <t>TG2108</t>
  </si>
  <si>
    <t>C4-0296</t>
  </si>
  <si>
    <t>TG5705</t>
  </si>
  <si>
    <t>C4-0297</t>
  </si>
  <si>
    <t>AH1025</t>
  </si>
  <si>
    <t>C4-0298</t>
  </si>
  <si>
    <t>BYGR5919</t>
  </si>
  <si>
    <t>C4-0299</t>
  </si>
  <si>
    <t>AH8888</t>
  </si>
  <si>
    <t>C4-0300</t>
  </si>
  <si>
    <t>BYGR2084</t>
  </si>
  <si>
    <t>C4-0301</t>
  </si>
  <si>
    <t>TG4893</t>
  </si>
  <si>
    <t>C4-0302</t>
  </si>
  <si>
    <t>TG9579</t>
  </si>
  <si>
    <t>C4-0303</t>
  </si>
  <si>
    <t>KM449479</t>
  </si>
  <si>
    <t>C4-0304</t>
  </si>
  <si>
    <t>BYGR2875</t>
  </si>
  <si>
    <t>C4-0305</t>
  </si>
  <si>
    <t>KM236392</t>
  </si>
  <si>
    <t>C4-0306</t>
  </si>
  <si>
    <t>TG3159</t>
  </si>
  <si>
    <t>C4-0307</t>
  </si>
  <si>
    <t>BYGR6320</t>
  </si>
  <si>
    <t>C4-0308</t>
  </si>
  <si>
    <t>KM930924</t>
  </si>
  <si>
    <t>C4-0309</t>
  </si>
  <si>
    <t>AH3835</t>
  </si>
  <si>
    <t>C4-0310</t>
  </si>
  <si>
    <t>KM194930</t>
  </si>
  <si>
    <t>C4-0311</t>
  </si>
  <si>
    <t>BYGR5910</t>
  </si>
  <si>
    <t>C4-0312</t>
  </si>
  <si>
    <t>BYGR2797</t>
  </si>
  <si>
    <t>C4-0313</t>
  </si>
  <si>
    <t>BYGR7835</t>
  </si>
  <si>
    <t>C4-0314</t>
  </si>
  <si>
    <t>TG3945</t>
  </si>
  <si>
    <t>C4-0315</t>
  </si>
  <si>
    <t>KM139704</t>
  </si>
  <si>
    <t>C4-0316</t>
  </si>
  <si>
    <t>BYGR1864</t>
  </si>
  <si>
    <t>C4-0317</t>
  </si>
  <si>
    <t>BYGR5267</t>
  </si>
  <si>
    <t>C4-0318</t>
  </si>
  <si>
    <t>BYGR1232</t>
  </si>
  <si>
    <t>C4-0319</t>
  </si>
  <si>
    <t>AH9125</t>
  </si>
  <si>
    <t>C4-0320</t>
  </si>
  <si>
    <t>AH7222</t>
  </si>
  <si>
    <t>C4-0321</t>
  </si>
  <si>
    <t>TG5466</t>
  </si>
  <si>
    <t>C4-0322</t>
  </si>
  <si>
    <t>KM972089</t>
  </si>
  <si>
    <t>C4-0323</t>
  </si>
  <si>
    <t>AH2995</t>
  </si>
  <si>
    <t>C4-0324</t>
  </si>
  <si>
    <t>BYGR7995</t>
  </si>
  <si>
    <t>C4-0325</t>
  </si>
  <si>
    <t>TG2776</t>
  </si>
  <si>
    <t>C4-0326</t>
  </si>
  <si>
    <t>KM139673</t>
  </si>
  <si>
    <t>C4-0327</t>
  </si>
  <si>
    <t>TG2985</t>
  </si>
  <si>
    <t>C4-0328</t>
  </si>
  <si>
    <t>TG4129</t>
  </si>
  <si>
    <t>C4-0329</t>
  </si>
  <si>
    <t>AH9015</t>
  </si>
  <si>
    <t>C4-0330</t>
  </si>
  <si>
    <t>AH4817</t>
  </si>
  <si>
    <t>C4-0331</t>
  </si>
  <si>
    <t>KM578344</t>
  </si>
  <si>
    <t>C4-0332</t>
  </si>
  <si>
    <t>BYGR2035</t>
  </si>
  <si>
    <t>C4-0333</t>
  </si>
  <si>
    <t>AH2460</t>
  </si>
  <si>
    <t>C4-0334</t>
  </si>
  <si>
    <t>KM757658</t>
  </si>
  <si>
    <t>C4-0335</t>
  </si>
  <si>
    <t>BYGR1869</t>
  </si>
  <si>
    <t>C4-0336</t>
  </si>
  <si>
    <t>KM663463</t>
  </si>
  <si>
    <t>C4-0337</t>
  </si>
  <si>
    <t>TG4276</t>
  </si>
  <si>
    <t>C4-0338</t>
  </si>
  <si>
    <t>KM825835</t>
  </si>
  <si>
    <t>C4-0339</t>
  </si>
  <si>
    <t>KM531694</t>
  </si>
  <si>
    <t>C4-0340</t>
  </si>
  <si>
    <t>KM538065</t>
  </si>
  <si>
    <t>C4-0341</t>
  </si>
  <si>
    <t>BYGR4916</t>
  </si>
  <si>
    <t>C4-0342</t>
  </si>
  <si>
    <t>KM757776</t>
  </si>
  <si>
    <t>C4-0343</t>
  </si>
  <si>
    <t>BYGR1844</t>
  </si>
  <si>
    <t>C4-0344</t>
  </si>
  <si>
    <t>AH4693</t>
  </si>
  <si>
    <t>C4-0345</t>
  </si>
  <si>
    <t>BYGR8405</t>
  </si>
  <si>
    <t>C4-0346</t>
  </si>
  <si>
    <t>AH8764</t>
  </si>
  <si>
    <t>C4-0347</t>
  </si>
  <si>
    <t>BYGR8965</t>
  </si>
  <si>
    <t>C4-0348</t>
  </si>
  <si>
    <t>BYGR3986</t>
  </si>
  <si>
    <t>C4-0349</t>
  </si>
  <si>
    <t>KM797883</t>
  </si>
  <si>
    <t>C4-0350</t>
  </si>
  <si>
    <t>BYGR8764</t>
  </si>
  <si>
    <t>C4-0351</t>
  </si>
  <si>
    <t>AH8306</t>
  </si>
  <si>
    <t>C4-0352</t>
  </si>
  <si>
    <t>BYGR9381</t>
  </si>
  <si>
    <t>C4-0353</t>
  </si>
  <si>
    <t>TG7809</t>
  </si>
  <si>
    <t>C4-0354</t>
  </si>
  <si>
    <t>TG2449</t>
  </si>
  <si>
    <t>C4-0355</t>
  </si>
  <si>
    <t>BYGR9095</t>
  </si>
  <si>
    <t>C4-0356</t>
  </si>
  <si>
    <t>TG8144</t>
  </si>
  <si>
    <t>C4-0357</t>
  </si>
  <si>
    <t>AH6855</t>
  </si>
  <si>
    <t>C4-0358</t>
  </si>
  <si>
    <t>BYGR2570</t>
  </si>
  <si>
    <t>C4-0359</t>
  </si>
  <si>
    <t>AH9612</t>
  </si>
  <si>
    <t>C4-0360</t>
  </si>
  <si>
    <t>BYGR3821</t>
  </si>
  <si>
    <t>C4-0361</t>
  </si>
  <si>
    <t>TG8065</t>
  </si>
  <si>
    <t>C4-0362</t>
  </si>
  <si>
    <t>BYGR1479</t>
  </si>
  <si>
    <t>C4-0363</t>
  </si>
  <si>
    <t>BYGR3814</t>
  </si>
  <si>
    <t>C4-0364</t>
  </si>
  <si>
    <t>AH7677</t>
  </si>
  <si>
    <t>C4-0365</t>
  </si>
  <si>
    <t>TG4700</t>
  </si>
  <si>
    <t>C4-0366</t>
  </si>
  <si>
    <t>KM225008</t>
  </si>
  <si>
    <t>C4-0367</t>
  </si>
  <si>
    <t>TG9177</t>
  </si>
  <si>
    <t>C4-0368</t>
  </si>
  <si>
    <t>AH3205</t>
  </si>
  <si>
    <t>C4-0369</t>
  </si>
  <si>
    <t>TG9032</t>
  </si>
  <si>
    <t>C4-0370</t>
  </si>
  <si>
    <t>BYGR3689</t>
  </si>
  <si>
    <t>C4-0371</t>
  </si>
  <si>
    <t>TG6779</t>
  </si>
  <si>
    <t>C4-0372</t>
  </si>
  <si>
    <t>AH5056</t>
  </si>
  <si>
    <t>C4-0373</t>
  </si>
  <si>
    <t>TG5368</t>
  </si>
  <si>
    <t>C4-0374</t>
  </si>
  <si>
    <t>BYGR8143</t>
  </si>
  <si>
    <t>C4-0375</t>
  </si>
  <si>
    <t>KM720615</t>
  </si>
  <si>
    <t>C4-0376</t>
  </si>
  <si>
    <t>AH1304</t>
  </si>
  <si>
    <t>C4-0377</t>
  </si>
  <si>
    <t>AH5919</t>
  </si>
  <si>
    <t>C4-0378</t>
  </si>
  <si>
    <t>BYGR8604</t>
  </si>
  <si>
    <t>C4-0379</t>
  </si>
  <si>
    <t>TG1326</t>
  </si>
  <si>
    <t>C4-0380</t>
  </si>
  <si>
    <t>BYGR9133</t>
  </si>
  <si>
    <t>C4-0381</t>
  </si>
  <si>
    <t>TG7690</t>
  </si>
  <si>
    <t>C4-0382</t>
  </si>
  <si>
    <t>KM982348</t>
  </si>
  <si>
    <t>C4-0383</t>
  </si>
  <si>
    <t>BYGR5929</t>
  </si>
  <si>
    <t>C4-0384</t>
  </si>
  <si>
    <t>BYGR7920</t>
  </si>
  <si>
    <t>C4-0385</t>
  </si>
  <si>
    <t>AH1050</t>
  </si>
  <si>
    <t>C4-0386</t>
  </si>
  <si>
    <t>BYGR5616</t>
  </si>
  <si>
    <t>C4-0387</t>
  </si>
  <si>
    <t>AH1815</t>
  </si>
  <si>
    <t>C4-0388</t>
  </si>
  <si>
    <t>BYGR5717</t>
  </si>
  <si>
    <t>C4-0389</t>
  </si>
  <si>
    <t>AH7056</t>
  </si>
  <si>
    <t>C4-0390</t>
  </si>
  <si>
    <t>TG6804</t>
  </si>
  <si>
    <t>C4-0391</t>
  </si>
  <si>
    <t>TG3323</t>
  </si>
  <si>
    <t>C4-0392</t>
  </si>
  <si>
    <t>TG3478</t>
  </si>
  <si>
    <t>C4-0393</t>
  </si>
  <si>
    <t>TG9077</t>
  </si>
  <si>
    <t>C4-0394</t>
  </si>
  <si>
    <t>KM358114</t>
  </si>
  <si>
    <t>C4-0395</t>
  </si>
  <si>
    <t>TG5412</t>
  </si>
  <si>
    <t>C4-0396</t>
  </si>
  <si>
    <t>TG5180</t>
  </si>
  <si>
    <t>C4-0397</t>
  </si>
  <si>
    <t>BYGR3151</t>
  </si>
  <si>
    <t>C4-0398</t>
  </si>
  <si>
    <t>TG4673</t>
  </si>
  <si>
    <t>C4-0399</t>
  </si>
  <si>
    <t>AH9570</t>
  </si>
  <si>
    <t>C4-0400</t>
  </si>
  <si>
    <t>TG3941</t>
  </si>
  <si>
    <t>C4-0401</t>
  </si>
  <si>
    <t>KM883317</t>
  </si>
  <si>
    <t>C4-0402</t>
  </si>
  <si>
    <t>TG5958</t>
  </si>
  <si>
    <t>C4-0403</t>
  </si>
  <si>
    <t>AH8765</t>
  </si>
  <si>
    <t>C4-0404</t>
  </si>
  <si>
    <t>BYGR1606</t>
  </si>
  <si>
    <t>C4-0405</t>
  </si>
  <si>
    <t>KM380859</t>
  </si>
  <si>
    <t>C4-0406</t>
  </si>
  <si>
    <t>TG3148</t>
  </si>
  <si>
    <t>C4-0407</t>
  </si>
  <si>
    <t>TG3115</t>
  </si>
  <si>
    <t>C4-0408</t>
  </si>
  <si>
    <t>BYGR8055</t>
  </si>
  <si>
    <t>C4-0409</t>
  </si>
  <si>
    <t>TG8489</t>
  </si>
  <si>
    <t>C4-0410</t>
  </si>
  <si>
    <t>TG2626</t>
  </si>
  <si>
    <t>C4-0411</t>
  </si>
  <si>
    <t>BYGR7799</t>
  </si>
  <si>
    <t>C4-0412</t>
  </si>
  <si>
    <t>BYGR7580</t>
  </si>
  <si>
    <t>C4-0413</t>
  </si>
  <si>
    <t>BYGR9647</t>
  </si>
  <si>
    <t>C4-0414</t>
  </si>
  <si>
    <t>AH9527</t>
  </si>
  <si>
    <t>C4-0415</t>
  </si>
  <si>
    <t>BYGR5255</t>
  </si>
  <si>
    <t>C4-0416</t>
  </si>
  <si>
    <t>BYGR5661</t>
  </si>
  <si>
    <t>C4-0417</t>
  </si>
  <si>
    <t>AH8802</t>
  </si>
  <si>
    <t>C4-0418</t>
  </si>
  <si>
    <t>KM828205</t>
  </si>
  <si>
    <t>C4-0419</t>
  </si>
  <si>
    <t>BYGR5995</t>
  </si>
  <si>
    <t>C4-0420</t>
  </si>
  <si>
    <t>BYGR8411</t>
  </si>
  <si>
    <t>C4-0421</t>
  </si>
  <si>
    <t>TG7344</t>
  </si>
  <si>
    <t>C4-0422</t>
  </si>
  <si>
    <t>KM697944</t>
  </si>
  <si>
    <t>C4-0423</t>
  </si>
  <si>
    <t>TG1737</t>
  </si>
  <si>
    <t>C4-0424</t>
  </si>
  <si>
    <t>TG3772</t>
  </si>
  <si>
    <t>C4-0425</t>
  </si>
  <si>
    <t>AH9076</t>
  </si>
  <si>
    <t>C4-0426</t>
  </si>
  <si>
    <t>AH5990</t>
  </si>
  <si>
    <t>C4-0427</t>
  </si>
  <si>
    <t>BYGR3742</t>
  </si>
  <si>
    <t>C4-0428</t>
  </si>
  <si>
    <t>TG3014</t>
  </si>
  <si>
    <t>C4-0429</t>
  </si>
  <si>
    <t>BYGR6597</t>
  </si>
  <si>
    <t>C4-0430</t>
  </si>
  <si>
    <t>KM664814</t>
  </si>
  <si>
    <t>C4-0431</t>
  </si>
  <si>
    <t>AH1324</t>
  </si>
  <si>
    <t>C4-0432</t>
  </si>
  <si>
    <t>TG3793</t>
  </si>
  <si>
    <t>C4-0433</t>
  </si>
  <si>
    <t>AH1378</t>
  </si>
  <si>
    <t>C4-0434</t>
  </si>
  <si>
    <t>KM856254</t>
  </si>
  <si>
    <t>C4-0435</t>
  </si>
  <si>
    <t>BYGR6092</t>
  </si>
  <si>
    <t>C4-0436</t>
  </si>
  <si>
    <t>AH2194</t>
  </si>
  <si>
    <t>C4-0437</t>
  </si>
  <si>
    <t>TG2077</t>
  </si>
  <si>
    <t>C4-0438</t>
  </si>
  <si>
    <t>AH2769</t>
  </si>
  <si>
    <t>C4-0439</t>
  </si>
  <si>
    <t>KM163429</t>
  </si>
  <si>
    <t>C4-0440</t>
  </si>
  <si>
    <t>AH1939</t>
  </si>
  <si>
    <t>C4-0441</t>
  </si>
  <si>
    <t>BYGR5909</t>
  </si>
  <si>
    <t>C4-0442</t>
  </si>
  <si>
    <t>TG4018</t>
  </si>
  <si>
    <t>C4-0443</t>
  </si>
  <si>
    <t>AH5292</t>
  </si>
  <si>
    <t>C4-0444</t>
  </si>
  <si>
    <t>BYGR3807</t>
  </si>
  <si>
    <t>C4-0445</t>
  </si>
  <si>
    <t>AH9773</t>
  </si>
  <si>
    <t>C4-0446</t>
  </si>
  <si>
    <t>TG3932</t>
  </si>
  <si>
    <t>C4-0447</t>
  </si>
  <si>
    <t>TG3575</t>
  </si>
  <si>
    <t>C4-0448</t>
  </si>
  <si>
    <t>BYGR5473</t>
  </si>
  <si>
    <t>C4-0449</t>
  </si>
  <si>
    <t>AH6468</t>
  </si>
  <si>
    <t>C4-0450</t>
  </si>
  <si>
    <t>KM594932</t>
  </si>
  <si>
    <t>C4-0451</t>
  </si>
  <si>
    <t>TG4433</t>
  </si>
  <si>
    <t>C4-0452</t>
  </si>
  <si>
    <t>BYGR1380</t>
  </si>
  <si>
    <t>C4-0453</t>
  </si>
  <si>
    <t>BYGR8397</t>
  </si>
  <si>
    <t>C4-0454</t>
  </si>
  <si>
    <t>BYGR7731</t>
  </si>
  <si>
    <t>C4-0455</t>
  </si>
  <si>
    <t>BYGR4325</t>
  </si>
  <si>
    <t>C4-0456</t>
  </si>
  <si>
    <t>TG6681</t>
  </si>
  <si>
    <t>C4-0457</t>
  </si>
  <si>
    <t>AH3587</t>
  </si>
  <si>
    <t>C4-0458</t>
  </si>
  <si>
    <t>BYGR4397</t>
  </si>
  <si>
    <t>C4-0459</t>
  </si>
  <si>
    <t>AH6359</t>
  </si>
  <si>
    <t>C4-0460</t>
  </si>
  <si>
    <t>AH2271</t>
  </si>
  <si>
    <t>C4-0461</t>
  </si>
  <si>
    <t>KM151028</t>
  </si>
  <si>
    <t>C4-0462</t>
  </si>
  <si>
    <t>TG9396</t>
  </si>
  <si>
    <t>C4-0463</t>
  </si>
  <si>
    <t>BYGR1196</t>
  </si>
  <si>
    <t>C4-0464</t>
  </si>
  <si>
    <t>KM729006</t>
  </si>
  <si>
    <t>C4-0465</t>
  </si>
  <si>
    <t>TG7264</t>
  </si>
  <si>
    <t>C4-0466</t>
  </si>
  <si>
    <t>AH1621</t>
  </si>
  <si>
    <t>C4-0467</t>
  </si>
  <si>
    <t>AH4372</t>
  </si>
  <si>
    <t>C4-0468</t>
  </si>
  <si>
    <t>AH4345</t>
  </si>
  <si>
    <t>C4-0469</t>
  </si>
  <si>
    <t>AH5454</t>
  </si>
  <si>
    <t>C4-0470</t>
  </si>
  <si>
    <t>AH5215</t>
  </si>
  <si>
    <t>C4-0471</t>
  </si>
  <si>
    <t>TG7628</t>
  </si>
  <si>
    <t>C4-0472</t>
  </si>
  <si>
    <t>TG7032</t>
  </si>
  <si>
    <t>C4-0473</t>
  </si>
  <si>
    <t>AH5053</t>
  </si>
  <si>
    <t>C4-0474</t>
  </si>
  <si>
    <t>TG6045</t>
  </si>
  <si>
    <t>C4-0475</t>
  </si>
  <si>
    <t>TG1025</t>
  </si>
  <si>
    <t>C4-0476</t>
  </si>
  <si>
    <t>AH4292</t>
  </si>
  <si>
    <t>C4-0477</t>
  </si>
  <si>
    <t>KM458772</t>
  </si>
  <si>
    <t>C4-0478</t>
  </si>
  <si>
    <t>BYGR8961</t>
  </si>
  <si>
    <t>C4-0479</t>
  </si>
  <si>
    <t>KM579114</t>
  </si>
  <si>
    <t>C4-0480</t>
  </si>
  <si>
    <t>KM946785</t>
  </si>
  <si>
    <t>C4-0481</t>
  </si>
  <si>
    <t>KM234072</t>
  </si>
  <si>
    <t>C4-0482</t>
  </si>
  <si>
    <t>KM268018</t>
  </si>
  <si>
    <t>C4-0483</t>
  </si>
  <si>
    <t>KM775268</t>
  </si>
  <si>
    <t>C4-0484</t>
  </si>
  <si>
    <t>AH2902</t>
  </si>
  <si>
    <t>C4-0485</t>
  </si>
  <si>
    <t>AH2746</t>
  </si>
  <si>
    <t>C4-0486</t>
  </si>
  <si>
    <t>KM386735</t>
  </si>
  <si>
    <t>C4-0487</t>
  </si>
  <si>
    <t>BYGR3608</t>
  </si>
  <si>
    <t>C4-0488</t>
  </si>
  <si>
    <t>KM991090</t>
  </si>
  <si>
    <t>C4-0489</t>
  </si>
  <si>
    <t>AH7169</t>
  </si>
  <si>
    <t>C4-0490</t>
  </si>
  <si>
    <t>AH7150</t>
  </si>
  <si>
    <t>C4-0491</t>
  </si>
  <si>
    <t>TG5484</t>
  </si>
  <si>
    <t>C4-0492</t>
  </si>
  <si>
    <t>TG2047</t>
  </si>
  <si>
    <t>C4-0493</t>
  </si>
  <si>
    <t>AH2438</t>
  </si>
  <si>
    <t>C4-0494</t>
  </si>
  <si>
    <t>AH9035</t>
  </si>
  <si>
    <t>C4-0495</t>
  </si>
  <si>
    <t>AH6882</t>
  </si>
  <si>
    <t>C4-0496</t>
  </si>
  <si>
    <t>BYGR4156</t>
  </si>
  <si>
    <t>C4-0497</t>
  </si>
  <si>
    <t>TG2080</t>
  </si>
  <si>
    <t>C4-0498</t>
  </si>
  <si>
    <t>TG2565</t>
  </si>
  <si>
    <t>C4-0499</t>
  </si>
  <si>
    <t>TG8812</t>
  </si>
  <si>
    <t>C4-0500</t>
  </si>
  <si>
    <t>BYGR8008</t>
  </si>
  <si>
    <t>efficiency_base</t>
  </si>
  <si>
    <t>utilization_base</t>
  </si>
  <si>
    <t>score</t>
  </si>
  <si>
    <t>rank</t>
  </si>
  <si>
    <t>Component 4 – Production Analysis &amp; Resource Optimization Dashboard</t>
  </si>
  <si>
    <t>Total Records</t>
  </si>
  <si>
    <t>Plant</t>
  </si>
  <si>
    <t>Orders</t>
  </si>
  <si>
    <t>Avg Score</t>
  </si>
  <si>
    <t>Avg Utilization</t>
  </si>
  <si>
    <t>Delayed Orders</t>
  </si>
  <si>
    <t>Avg Damage Rate</t>
  </si>
  <si>
    <t>Average Performance Score</t>
  </si>
  <si>
    <t>On Time Orders</t>
  </si>
  <si>
    <t>Early Orders</t>
  </si>
  <si>
    <t>Best Rated Plant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</si>
</sst>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>
    <font>
      <sz val="11"/>
      <name val="Carlito"/>
    </font>
    <font>
      <b/>
      <sz val="11"/>
      <color rgb="FF1F2937"/>
      <name val="Carlito"/>
    </font>
    <font>
      <b/>
      <sz val="16"/>
      <color rgb="FF1F2937"/>
      <name val="Carlito"/>
    </font>
    <font>
      <b/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64" fontId="1" fillId="0" borderId="0" xfId="0" applyNumberFormat="1" applyFont="1"/>
    <xf numFmtId="9" fontId="1" fillId="0" borderId="0" xfId="0" applyNumberFormat="1" applyFont="1"/>
    <xf numFmtId="1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/>
          <a:lstStyle/>
          <a:p>
            <a:r>
              <a:t>Orders and Average Score by Plant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Orders</c:v>
          </c:tx>
          <c:invertIfNegative val="1"/>
          <c:cat>
            <c:strRef>
              <c:f>Dashboard!$D$4:$D$9</c:f>
              <c:strCache>
                <c:ptCount val="6"/>
                <c:pt idx="0">
                  <c:v>Dinusha Embroidery</c:v>
                </c:pt>
                <c:pt idx="1">
                  <c:v>MRC Group</c:v>
                </c:pt>
                <c:pt idx="2">
                  <c:v>Bobbin Group</c:v>
                </c:pt>
                <c:pt idx="3">
                  <c:v>Sunrose Lanka</c:v>
                </c:pt>
                <c:pt idx="4">
                  <c:v>Regal Image</c:v>
                </c:pt>
                <c:pt idx="5">
                  <c:v>Amsral Lanka</c:v>
                </c:pt>
              </c:strCache>
            </c:strRef>
          </c:cat>
          <c:val>
            <c:numRef>
              <c:f>Dashboard!$E$4:$E$9</c:f>
              <c:numCache>
                <c:formatCode>General</c:formatCode>
                <c:ptCount val="6"/>
                <c:pt idx="0">
                  <c:v>95</c:v>
                </c:pt>
                <c:pt idx="1">
                  <c:v>87</c:v>
                </c:pt>
                <c:pt idx="2">
                  <c:v>84</c:v>
                </c:pt>
                <c:pt idx="3">
                  <c:v>100</c:v>
                </c:pt>
                <c:pt idx="4">
                  <c:v>67</c:v>
                </c:pt>
                <c:pt idx="5">
                  <c:v>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DC-B141-BC28-ABE567669F40}"/>
            </c:ext>
          </c:extLst>
        </c:ser>
        <c:ser>
          <c:idx val="1"/>
          <c:order val="1"/>
          <c:tx>
            <c:v>Avg Score</c:v>
          </c:tx>
          <c:invertIfNegative val="1"/>
          <c:cat>
            <c:strRef>
              <c:f>Dashboard!$D$4:$D$9</c:f>
              <c:strCache>
                <c:ptCount val="6"/>
                <c:pt idx="0">
                  <c:v>Dinusha Embroidery</c:v>
                </c:pt>
                <c:pt idx="1">
                  <c:v>MRC Group</c:v>
                </c:pt>
                <c:pt idx="2">
                  <c:v>Bobbin Group</c:v>
                </c:pt>
                <c:pt idx="3">
                  <c:v>Sunrose Lanka</c:v>
                </c:pt>
                <c:pt idx="4">
                  <c:v>Regal Image</c:v>
                </c:pt>
                <c:pt idx="5">
                  <c:v>Amsral Lanka</c:v>
                </c:pt>
              </c:strCache>
            </c:strRef>
          </c:cat>
          <c:val>
            <c:numRef>
              <c:f>Dashboard!$F$4:$F$9</c:f>
              <c:numCache>
                <c:formatCode>General</c:formatCode>
                <c:ptCount val="6"/>
                <c:pt idx="0">
                  <c:v>4.63</c:v>
                </c:pt>
                <c:pt idx="1">
                  <c:v>4.43</c:v>
                </c:pt>
                <c:pt idx="2">
                  <c:v>4.3</c:v>
                </c:pt>
                <c:pt idx="3">
                  <c:v>4.2300000000000004</c:v>
                </c:pt>
                <c:pt idx="4">
                  <c:v>4.07</c:v>
                </c:pt>
                <c:pt idx="5">
                  <c:v>3.99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3DC-B141-BC28-ABE567669F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28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F501">
  <tableColumns count="32">
    <tableColumn id="1" xr3:uid="{00000000-0010-0000-0000-000001000000}" name="record_id"/>
    <tableColumn id="2" xr3:uid="{00000000-0010-0000-0000-000002000000}" name="plant_id"/>
    <tableColumn id="3" xr3:uid="{00000000-0010-0000-0000-000003000000}" name="plant_name"/>
    <tableColumn id="4" xr3:uid="{00000000-0010-0000-0000-000004000000}" name="plant_location"/>
    <tableColumn id="5" xr3:uid="{00000000-0010-0000-0000-000005000000}" name="style_id"/>
    <tableColumn id="6" xr3:uid="{00000000-0010-0000-0000-000006000000}" name="buyer_name"/>
    <tableColumn id="7" xr3:uid="{00000000-0010-0000-0000-000007000000}" name="order_quantity"/>
    <tableColumn id="8" xr3:uid="{00000000-0010-0000-0000-000008000000}" name="production_start_date"/>
    <tableColumn id="9" xr3:uid="{00000000-0010-0000-0000-000009000000}" name="order_completed_date"/>
    <tableColumn id="10" xr3:uid="{00000000-0010-0000-0000-00000A000000}" name="planned_completion_days"/>
    <tableColumn id="11" xr3:uid="{00000000-0010-0000-0000-00000B000000}" name="actual_completion_days"/>
    <tableColumn id="12" xr3:uid="{00000000-0010-0000-0000-00000C000000}" name="delay_days"/>
    <tableColumn id="13" xr3:uid="{00000000-0010-0000-0000-00000D000000}" name="delay_status"/>
    <tableColumn id="14" xr3:uid="{00000000-0010-0000-0000-00000E000000}" name="machine_count"/>
    <tableColumn id="15" xr3:uid="{00000000-0010-0000-0000-00000F000000}" name="active_machine_count"/>
    <tableColumn id="16" xr3:uid="{00000000-0010-0000-0000-000010000000}" name="machine_utilization"/>
    <tableColumn id="17" xr3:uid="{00000000-0010-0000-0000-000011000000}" name="employee_count"/>
    <tableColumn id="18" xr3:uid="{00000000-0010-0000-0000-000012000000}" name="daily_output_avg"/>
    <tableColumn id="19" xr3:uid="{00000000-0010-0000-0000-000013000000}" name="total_workload"/>
    <tableColumn id="20" xr3:uid="{00000000-0010-0000-0000-000014000000}" name="urgent_style_flag"/>
    <tableColumn id="21" xr3:uid="{00000000-0010-0000-0000-000015000000}" name="urgent_handled_count"/>
    <tableColumn id="22" xr3:uid="{00000000-0010-0000-0000-000016000000}" name="risk_count_from_component3"/>
    <tableColumn id="23" xr3:uid="{00000000-0010-0000-0000-000017000000}" name="machine_breakdown_days"/>
    <tableColumn id="24" xr3:uid="{00000000-0010-0000-0000-000018000000}" name="worker_shortage_days"/>
    <tableColumn id="25" xr3:uid="{00000000-0010-0000-0000-000019000000}" name="damage_rate"/>
    <tableColumn id="26" xr3:uid="{00000000-0010-0000-0000-00001A000000}" name="quality_rating"/>
    <tableColumn id="27" xr3:uid="{00000000-0010-0000-0000-00001B000000}" name="on_time_rate"/>
    <tableColumn id="28" xr3:uid="{00000000-0010-0000-0000-00001C000000}" name="efficiency_score"/>
    <tableColumn id="29" xr3:uid="{00000000-0010-0000-0000-00001D000000}" name="performance_score"/>
    <tableColumn id="30" xr3:uid="{00000000-0010-0000-0000-00001E000000}" name="star_rating"/>
    <tableColumn id="31" xr3:uid="{00000000-0010-0000-0000-00001F000000}" name="recommendation"/>
    <tableColumn id="32" xr3:uid="{00000000-0010-0000-0000-000020000000}" name="best_plant_recommenda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1" displayName="Table1_1" ref="A1:I7">
  <tableColumns count="9">
    <tableColumn id="1" xr3:uid="{00000000-0010-0000-0100-000001000000}" name="plant_id"/>
    <tableColumn id="2" xr3:uid="{00000000-0010-0000-0100-000002000000}" name="plant_name"/>
    <tableColumn id="3" xr3:uid="{00000000-0010-0000-0100-000003000000}" name="plant_location"/>
    <tableColumn id="4" xr3:uid="{00000000-0010-0000-0100-000004000000}" name="quality_rating"/>
    <tableColumn id="5" xr3:uid="{00000000-0010-0000-0100-000005000000}" name="on_time_rate"/>
    <tableColumn id="6" xr3:uid="{00000000-0010-0000-0100-000006000000}" name="efficiency_base"/>
    <tableColumn id="7" xr3:uid="{00000000-0010-0000-0100-000007000000}" name="utilization_base"/>
    <tableColumn id="8" xr3:uid="{00000000-0010-0000-0100-000008000000}" name="score"/>
    <tableColumn id="9" xr3:uid="{00000000-0010-0000-0100-000009000000}" name="ra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501"/>
  <sheetViews>
    <sheetView tabSelected="1" topLeftCell="O1" workbookViewId="0"/>
  </sheetViews>
  <sheetFormatPr baseColWidth="10" defaultColWidth="8.83203125" defaultRowHeight="14"/>
  <cols>
    <col min="1" max="1" width="13" customWidth="1"/>
    <col min="2" max="2" width="10" customWidth="1"/>
    <col min="3" max="3" width="22" customWidth="1"/>
    <col min="4" max="4" width="18" customWidth="1"/>
    <col min="5" max="5" width="12" customWidth="1"/>
    <col min="6" max="7" width="14" customWidth="1"/>
    <col min="8" max="9" width="18" customWidth="1"/>
    <col min="10" max="11" width="16" customWidth="1"/>
    <col min="12" max="12" width="12" customWidth="1"/>
    <col min="13" max="13" width="14" customWidth="1"/>
    <col min="14" max="14" width="13" customWidth="1"/>
    <col min="15" max="15" width="17" customWidth="1"/>
    <col min="16" max="16" width="16" customWidth="1"/>
    <col min="17" max="20" width="14" customWidth="1"/>
    <col min="21" max="21" width="17" customWidth="1"/>
    <col min="22" max="24" width="20" customWidth="1"/>
    <col min="25" max="25" width="12" customWidth="1"/>
    <col min="26" max="26" width="13" customWidth="1"/>
    <col min="27" max="27" width="12" customWidth="1"/>
    <col min="28" max="28" width="15" customWidth="1"/>
    <col min="29" max="29" width="16" customWidth="1"/>
    <col min="30" max="30" width="12" customWidth="1"/>
    <col min="31" max="31" width="36" customWidth="1"/>
    <col min="32" max="32" width="34" customWidth="1"/>
  </cols>
  <sheetData>
    <row r="1" spans="1:32" ht="5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4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5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6" t="s">
        <v>24</v>
      </c>
      <c r="Z1" s="4" t="s">
        <v>25</v>
      </c>
      <c r="AA1" s="5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24" customHeight="1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>
        <v>19012</v>
      </c>
      <c r="H2">
        <v>45872</v>
      </c>
      <c r="I2">
        <v>45907</v>
      </c>
      <c r="J2">
        <v>31</v>
      </c>
      <c r="K2">
        <v>34</v>
      </c>
      <c r="L2">
        <f t="shared" ref="L2:L65" si="0">K2-J2</f>
        <v>3</v>
      </c>
      <c r="M2" t="str">
        <f t="shared" ref="M2:M65" si="1">IF(L2&gt;0,"Delayed",IF(L2&lt;0,"Early","On Time"))</f>
        <v>Delayed</v>
      </c>
      <c r="N2">
        <v>13</v>
      </c>
      <c r="O2">
        <v>10</v>
      </c>
      <c r="P2">
        <f t="shared" ref="P2:P65" si="2">O2/N2</f>
        <v>0.76923076923076927</v>
      </c>
      <c r="Q2">
        <v>34</v>
      </c>
      <c r="R2">
        <v>559.20000000000005</v>
      </c>
      <c r="S2">
        <v>23012</v>
      </c>
      <c r="T2" t="s">
        <v>38</v>
      </c>
      <c r="U2">
        <v>1</v>
      </c>
      <c r="V2">
        <v>6</v>
      </c>
      <c r="W2">
        <v>0</v>
      </c>
      <c r="X2">
        <v>2</v>
      </c>
      <c r="Y2">
        <v>3.05</v>
      </c>
      <c r="Z2">
        <v>4.2</v>
      </c>
      <c r="AA2">
        <v>0.83</v>
      </c>
      <c r="AB2">
        <f t="shared" ref="AB2:AB65" si="3">MIN(5,MAX(1,(R2/MAX(1,Q2))*0.08 + (1-Y2/100)*2.2 + Z2*0.35 + AA2*2))</f>
        <v>5</v>
      </c>
      <c r="AC2">
        <f t="shared" ref="AC2:AC65" si="4">ROUND((0.3*Z2)+(0.25*(AA2*5))+(0.2*AB2)+(0.15*(P2*5))+(0.1*IF(M2="Delayed",3.2,IF(M2="On Time",4.3,4.7))),2)</f>
        <v>4.1900000000000004</v>
      </c>
      <c r="AD2" t="str">
        <f t="shared" ref="AD2:AD65" si="5">IF(AC2&gt;=4.5,"⭐⭐⭐⭐⭐",IF(AC2&gt;=4,"⭐⭐⭐⭐",IF(AC2&gt;=3.5,"⭐⭐⭐",IF(AC2&gt;=3,"⭐⭐","⭐"))))</f>
        <v>⭐⭐⭐⭐</v>
      </c>
      <c r="AE2" t="str">
        <f t="shared" ref="AE2:AE65" si="6">IF(M2="Delayed",IF(V2&gt;8,"Reduce risk days and add supervisor monitoring",IF(W2&gt;3,"Increase machine maintenance support",IF(X2&gt;3,"Improve workforce allocation","Increase daily output monitoring"))),IF(T2="Yes","Suitable for urgent style handling","Maintain current resource allocation"))</f>
        <v>Increase daily output monitoring</v>
      </c>
      <c r="AF2" t="str">
        <f t="shared" ref="AF2:AF65" si="7">IF(AC2&gt;=4.5,"Best for urgent/high priority orders",IF(AC2&gt;=4,"Recommended for medium-high orders",IF(AC2&gt;=3.5,"Use for normal priority orders","Use only with management support")))</f>
        <v>Recommended for medium-high orders</v>
      </c>
    </row>
    <row r="3" spans="1:32" ht="24" customHeight="1">
      <c r="A3" t="s">
        <v>39</v>
      </c>
      <c r="B3" t="s">
        <v>40</v>
      </c>
      <c r="C3" t="s">
        <v>41</v>
      </c>
      <c r="D3" t="s">
        <v>42</v>
      </c>
      <c r="E3" t="s">
        <v>43</v>
      </c>
      <c r="F3" t="s">
        <v>44</v>
      </c>
      <c r="G3">
        <v>7231</v>
      </c>
      <c r="H3">
        <v>45680</v>
      </c>
      <c r="I3">
        <v>45714</v>
      </c>
      <c r="J3">
        <v>27</v>
      </c>
      <c r="K3">
        <v>29</v>
      </c>
      <c r="L3">
        <f t="shared" si="0"/>
        <v>2</v>
      </c>
      <c r="M3" t="str">
        <f t="shared" si="1"/>
        <v>Delayed</v>
      </c>
      <c r="N3">
        <v>17</v>
      </c>
      <c r="O3">
        <v>12</v>
      </c>
      <c r="P3">
        <f t="shared" si="2"/>
        <v>0.70588235294117652</v>
      </c>
      <c r="Q3">
        <v>49</v>
      </c>
      <c r="R3">
        <v>249.3</v>
      </c>
      <c r="S3">
        <v>11231</v>
      </c>
      <c r="T3" t="s">
        <v>45</v>
      </c>
      <c r="U3">
        <v>2</v>
      </c>
      <c r="V3">
        <v>0</v>
      </c>
      <c r="W3">
        <v>2</v>
      </c>
      <c r="X3">
        <v>4</v>
      </c>
      <c r="Y3">
        <v>2.94</v>
      </c>
      <c r="Z3">
        <v>4.3</v>
      </c>
      <c r="AA3">
        <v>0.85</v>
      </c>
      <c r="AB3">
        <f t="shared" si="3"/>
        <v>5</v>
      </c>
      <c r="AC3">
        <f t="shared" si="4"/>
        <v>4.2</v>
      </c>
      <c r="AD3" t="str">
        <f t="shared" si="5"/>
        <v>⭐⭐⭐⭐</v>
      </c>
      <c r="AE3" t="str">
        <f t="shared" si="6"/>
        <v>Improve workforce allocation</v>
      </c>
      <c r="AF3" t="str">
        <f t="shared" si="7"/>
        <v>Recommended for medium-high orders</v>
      </c>
    </row>
    <row r="4" spans="1:32" ht="24" customHeight="1">
      <c r="A4" t="s">
        <v>46</v>
      </c>
      <c r="B4" t="s">
        <v>40</v>
      </c>
      <c r="C4" t="s">
        <v>41</v>
      </c>
      <c r="D4" t="s">
        <v>42</v>
      </c>
      <c r="E4" t="s">
        <v>47</v>
      </c>
      <c r="F4" t="s">
        <v>37</v>
      </c>
      <c r="G4">
        <v>12582</v>
      </c>
      <c r="H4">
        <v>45852</v>
      </c>
      <c r="I4">
        <v>45898</v>
      </c>
      <c r="J4">
        <v>41</v>
      </c>
      <c r="K4">
        <v>44</v>
      </c>
      <c r="L4">
        <f t="shared" si="0"/>
        <v>3</v>
      </c>
      <c r="M4" t="str">
        <f t="shared" si="1"/>
        <v>Delayed</v>
      </c>
      <c r="N4">
        <v>12</v>
      </c>
      <c r="O4">
        <v>8</v>
      </c>
      <c r="P4">
        <f t="shared" si="2"/>
        <v>0.66666666666666663</v>
      </c>
      <c r="Q4">
        <v>45</v>
      </c>
      <c r="R4">
        <v>286</v>
      </c>
      <c r="S4">
        <v>14582</v>
      </c>
      <c r="T4" t="s">
        <v>45</v>
      </c>
      <c r="U4">
        <v>0</v>
      </c>
      <c r="V4">
        <v>0</v>
      </c>
      <c r="W4">
        <v>0</v>
      </c>
      <c r="X4">
        <v>1</v>
      </c>
      <c r="Y4">
        <v>3.7</v>
      </c>
      <c r="Z4">
        <v>4.3</v>
      </c>
      <c r="AA4">
        <v>0.85</v>
      </c>
      <c r="AB4">
        <f t="shared" si="3"/>
        <v>5</v>
      </c>
      <c r="AC4">
        <f t="shared" si="4"/>
        <v>4.17</v>
      </c>
      <c r="AD4" t="str">
        <f t="shared" si="5"/>
        <v>⭐⭐⭐⭐</v>
      </c>
      <c r="AE4" t="str">
        <f t="shared" si="6"/>
        <v>Increase daily output monitoring</v>
      </c>
      <c r="AF4" t="str">
        <f t="shared" si="7"/>
        <v>Recommended for medium-high orders</v>
      </c>
    </row>
    <row r="5" spans="1:32" ht="24" customHeight="1">
      <c r="A5" t="s">
        <v>48</v>
      </c>
      <c r="B5" t="s">
        <v>40</v>
      </c>
      <c r="C5" t="s">
        <v>41</v>
      </c>
      <c r="D5" t="s">
        <v>42</v>
      </c>
      <c r="E5" t="s">
        <v>49</v>
      </c>
      <c r="F5" t="s">
        <v>44</v>
      </c>
      <c r="G5">
        <v>14130</v>
      </c>
      <c r="H5">
        <v>45943</v>
      </c>
      <c r="I5">
        <v>45984</v>
      </c>
      <c r="J5">
        <v>35</v>
      </c>
      <c r="K5">
        <v>40</v>
      </c>
      <c r="L5">
        <f t="shared" si="0"/>
        <v>5</v>
      </c>
      <c r="M5" t="str">
        <f t="shared" si="1"/>
        <v>Delayed</v>
      </c>
      <c r="N5">
        <v>14</v>
      </c>
      <c r="O5">
        <v>10</v>
      </c>
      <c r="P5">
        <f t="shared" si="2"/>
        <v>0.7142857142857143</v>
      </c>
      <c r="Q5">
        <v>50</v>
      </c>
      <c r="R5">
        <v>353.2</v>
      </c>
      <c r="S5">
        <v>16130</v>
      </c>
      <c r="T5" t="s">
        <v>38</v>
      </c>
      <c r="U5">
        <v>5</v>
      </c>
      <c r="V5">
        <v>3</v>
      </c>
      <c r="W5">
        <v>1</v>
      </c>
      <c r="X5">
        <v>0</v>
      </c>
      <c r="Y5">
        <v>3.43</v>
      </c>
      <c r="Z5">
        <v>4.3</v>
      </c>
      <c r="AA5">
        <v>0.85</v>
      </c>
      <c r="AB5">
        <f t="shared" si="3"/>
        <v>5</v>
      </c>
      <c r="AC5">
        <f t="shared" si="4"/>
        <v>4.21</v>
      </c>
      <c r="AD5" t="str">
        <f t="shared" si="5"/>
        <v>⭐⭐⭐⭐</v>
      </c>
      <c r="AE5" t="str">
        <f t="shared" si="6"/>
        <v>Increase daily output monitoring</v>
      </c>
      <c r="AF5" t="str">
        <f t="shared" si="7"/>
        <v>Recommended for medium-high orders</v>
      </c>
    </row>
    <row r="6" spans="1:32" ht="24" customHeight="1">
      <c r="A6" t="s">
        <v>50</v>
      </c>
      <c r="B6" t="s">
        <v>33</v>
      </c>
      <c r="C6" t="s">
        <v>34</v>
      </c>
      <c r="D6" t="s">
        <v>35</v>
      </c>
      <c r="E6" t="s">
        <v>51</v>
      </c>
      <c r="F6" t="s">
        <v>37</v>
      </c>
      <c r="G6">
        <v>11051</v>
      </c>
      <c r="H6">
        <v>45945</v>
      </c>
      <c r="I6">
        <v>45983</v>
      </c>
      <c r="J6">
        <v>34</v>
      </c>
      <c r="K6">
        <v>34</v>
      </c>
      <c r="L6">
        <f t="shared" si="0"/>
        <v>0</v>
      </c>
      <c r="M6" t="str">
        <f t="shared" si="1"/>
        <v>On Time</v>
      </c>
      <c r="N6">
        <v>13</v>
      </c>
      <c r="O6">
        <v>10</v>
      </c>
      <c r="P6">
        <f t="shared" si="2"/>
        <v>0.76923076923076927</v>
      </c>
      <c r="Q6">
        <v>46</v>
      </c>
      <c r="R6">
        <v>325</v>
      </c>
      <c r="S6">
        <v>14051</v>
      </c>
      <c r="T6" t="s">
        <v>45</v>
      </c>
      <c r="U6">
        <v>1</v>
      </c>
      <c r="V6">
        <v>12</v>
      </c>
      <c r="W6">
        <v>4</v>
      </c>
      <c r="X6">
        <v>0</v>
      </c>
      <c r="Y6">
        <v>3.17</v>
      </c>
      <c r="Z6">
        <v>4.2</v>
      </c>
      <c r="AA6">
        <v>0.83</v>
      </c>
      <c r="AB6">
        <f t="shared" si="3"/>
        <v>5</v>
      </c>
      <c r="AC6">
        <f t="shared" si="4"/>
        <v>4.3</v>
      </c>
      <c r="AD6" t="str">
        <f t="shared" si="5"/>
        <v>⭐⭐⭐⭐</v>
      </c>
      <c r="AE6" t="str">
        <f t="shared" si="6"/>
        <v>Maintain current resource allocation</v>
      </c>
      <c r="AF6" t="str">
        <f t="shared" si="7"/>
        <v>Recommended for medium-high orders</v>
      </c>
    </row>
    <row r="7" spans="1:32" ht="24" customHeight="1">
      <c r="A7" t="s">
        <v>52</v>
      </c>
      <c r="B7" t="s">
        <v>53</v>
      </c>
      <c r="C7" t="s">
        <v>54</v>
      </c>
      <c r="D7" t="s">
        <v>55</v>
      </c>
      <c r="E7" t="s">
        <v>56</v>
      </c>
      <c r="F7" t="s">
        <v>57</v>
      </c>
      <c r="G7">
        <v>10930</v>
      </c>
      <c r="H7">
        <v>45855</v>
      </c>
      <c r="I7">
        <v>45890</v>
      </c>
      <c r="J7">
        <v>31</v>
      </c>
      <c r="K7">
        <v>32</v>
      </c>
      <c r="L7">
        <f t="shared" si="0"/>
        <v>1</v>
      </c>
      <c r="M7" t="str">
        <f t="shared" si="1"/>
        <v>Delayed</v>
      </c>
      <c r="N7">
        <v>15</v>
      </c>
      <c r="O7">
        <v>12</v>
      </c>
      <c r="P7">
        <f t="shared" si="2"/>
        <v>0.8</v>
      </c>
      <c r="Q7">
        <v>57</v>
      </c>
      <c r="R7">
        <v>341.6</v>
      </c>
      <c r="S7">
        <v>14930</v>
      </c>
      <c r="T7" t="s">
        <v>45</v>
      </c>
      <c r="U7">
        <v>0</v>
      </c>
      <c r="V7">
        <v>6</v>
      </c>
      <c r="W7">
        <v>3</v>
      </c>
      <c r="X7">
        <v>3</v>
      </c>
      <c r="Y7">
        <v>2.16</v>
      </c>
      <c r="Z7">
        <v>4.5</v>
      </c>
      <c r="AA7">
        <v>0.88</v>
      </c>
      <c r="AB7">
        <f t="shared" si="3"/>
        <v>5</v>
      </c>
      <c r="AC7">
        <f t="shared" si="4"/>
        <v>4.37</v>
      </c>
      <c r="AD7" t="str">
        <f t="shared" si="5"/>
        <v>⭐⭐⭐⭐</v>
      </c>
      <c r="AE7" t="str">
        <f t="shared" si="6"/>
        <v>Increase daily output monitoring</v>
      </c>
      <c r="AF7" t="str">
        <f t="shared" si="7"/>
        <v>Recommended for medium-high orders</v>
      </c>
    </row>
    <row r="8" spans="1:32" ht="24" customHeight="1">
      <c r="A8" t="s">
        <v>58</v>
      </c>
      <c r="B8" t="s">
        <v>33</v>
      </c>
      <c r="C8" t="s">
        <v>34</v>
      </c>
      <c r="D8" t="s">
        <v>35</v>
      </c>
      <c r="E8" t="s">
        <v>59</v>
      </c>
      <c r="F8" t="s">
        <v>57</v>
      </c>
      <c r="G8">
        <v>9119</v>
      </c>
      <c r="H8">
        <v>45792</v>
      </c>
      <c r="I8">
        <v>45819</v>
      </c>
      <c r="J8">
        <v>24</v>
      </c>
      <c r="K8">
        <v>23</v>
      </c>
      <c r="L8">
        <f t="shared" si="0"/>
        <v>-1</v>
      </c>
      <c r="M8" t="str">
        <f t="shared" si="1"/>
        <v>Early</v>
      </c>
      <c r="N8">
        <v>14</v>
      </c>
      <c r="O8">
        <v>11</v>
      </c>
      <c r="P8">
        <f t="shared" si="2"/>
        <v>0.7857142857142857</v>
      </c>
      <c r="Q8">
        <v>44</v>
      </c>
      <c r="R8">
        <v>396.5</v>
      </c>
      <c r="S8">
        <v>9119</v>
      </c>
      <c r="T8" t="s">
        <v>45</v>
      </c>
      <c r="U8">
        <v>2</v>
      </c>
      <c r="V8">
        <v>10</v>
      </c>
      <c r="W8">
        <v>3</v>
      </c>
      <c r="X8">
        <v>1</v>
      </c>
      <c r="Y8">
        <v>2.75</v>
      </c>
      <c r="Z8">
        <v>4.2</v>
      </c>
      <c r="AA8">
        <v>0.83</v>
      </c>
      <c r="AB8">
        <f t="shared" si="3"/>
        <v>5</v>
      </c>
      <c r="AC8">
        <f t="shared" si="4"/>
        <v>4.3600000000000003</v>
      </c>
      <c r="AD8" t="str">
        <f t="shared" si="5"/>
        <v>⭐⭐⭐⭐</v>
      </c>
      <c r="AE8" t="str">
        <f t="shared" si="6"/>
        <v>Maintain current resource allocation</v>
      </c>
      <c r="AF8" t="str">
        <f t="shared" si="7"/>
        <v>Recommended for medium-high orders</v>
      </c>
    </row>
    <row r="9" spans="1:32" ht="24" customHeight="1">
      <c r="A9" t="s">
        <v>60</v>
      </c>
      <c r="B9" t="s">
        <v>61</v>
      </c>
      <c r="C9" t="s">
        <v>62</v>
      </c>
      <c r="D9" t="s">
        <v>63</v>
      </c>
      <c r="E9" t="s">
        <v>64</v>
      </c>
      <c r="F9" t="s">
        <v>37</v>
      </c>
      <c r="G9">
        <v>19779</v>
      </c>
      <c r="H9">
        <v>45843</v>
      </c>
      <c r="I9">
        <v>45883</v>
      </c>
      <c r="J9">
        <v>40</v>
      </c>
      <c r="K9">
        <v>38</v>
      </c>
      <c r="L9">
        <f t="shared" si="0"/>
        <v>-2</v>
      </c>
      <c r="M9" t="str">
        <f t="shared" si="1"/>
        <v>Early</v>
      </c>
      <c r="N9">
        <v>9</v>
      </c>
      <c r="O9">
        <v>6</v>
      </c>
      <c r="P9">
        <f t="shared" si="2"/>
        <v>0.66666666666666663</v>
      </c>
      <c r="Q9">
        <v>45</v>
      </c>
      <c r="R9">
        <v>520.5</v>
      </c>
      <c r="S9">
        <v>19779</v>
      </c>
      <c r="T9" t="s">
        <v>45</v>
      </c>
      <c r="U9">
        <v>0</v>
      </c>
      <c r="V9">
        <v>8</v>
      </c>
      <c r="W9">
        <v>5</v>
      </c>
      <c r="X9">
        <v>6</v>
      </c>
      <c r="Y9">
        <v>3.11</v>
      </c>
      <c r="Z9">
        <v>4</v>
      </c>
      <c r="AA9">
        <v>0.8</v>
      </c>
      <c r="AB9">
        <f t="shared" si="3"/>
        <v>5</v>
      </c>
      <c r="AC9">
        <f t="shared" si="4"/>
        <v>4.17</v>
      </c>
      <c r="AD9" t="str">
        <f t="shared" si="5"/>
        <v>⭐⭐⭐⭐</v>
      </c>
      <c r="AE9" t="str">
        <f t="shared" si="6"/>
        <v>Maintain current resource allocation</v>
      </c>
      <c r="AF9" t="str">
        <f t="shared" si="7"/>
        <v>Recommended for medium-high orders</v>
      </c>
    </row>
    <row r="10" spans="1:32" ht="24" customHeight="1">
      <c r="A10" t="s">
        <v>65</v>
      </c>
      <c r="B10" t="s">
        <v>53</v>
      </c>
      <c r="C10" t="s">
        <v>54</v>
      </c>
      <c r="D10" t="s">
        <v>55</v>
      </c>
      <c r="E10" t="s">
        <v>66</v>
      </c>
      <c r="F10" t="s">
        <v>67</v>
      </c>
      <c r="G10">
        <v>42806</v>
      </c>
      <c r="H10">
        <v>45849</v>
      </c>
      <c r="I10">
        <v>45926</v>
      </c>
      <c r="J10">
        <v>70</v>
      </c>
      <c r="K10">
        <v>74</v>
      </c>
      <c r="L10">
        <f t="shared" si="0"/>
        <v>4</v>
      </c>
      <c r="M10" t="str">
        <f t="shared" si="1"/>
        <v>Delayed</v>
      </c>
      <c r="N10">
        <v>15</v>
      </c>
      <c r="O10">
        <v>11</v>
      </c>
      <c r="P10">
        <f t="shared" si="2"/>
        <v>0.73333333333333328</v>
      </c>
      <c r="Q10">
        <v>57</v>
      </c>
      <c r="R10">
        <v>578.5</v>
      </c>
      <c r="S10">
        <v>43806</v>
      </c>
      <c r="T10" t="s">
        <v>45</v>
      </c>
      <c r="U10">
        <v>1</v>
      </c>
      <c r="V10">
        <v>7</v>
      </c>
      <c r="W10">
        <v>2</v>
      </c>
      <c r="X10">
        <v>4</v>
      </c>
      <c r="Y10">
        <v>2.95</v>
      </c>
      <c r="Z10">
        <v>4.5</v>
      </c>
      <c r="AA10">
        <v>0.88</v>
      </c>
      <c r="AB10">
        <f t="shared" si="3"/>
        <v>5</v>
      </c>
      <c r="AC10">
        <f t="shared" si="4"/>
        <v>4.32</v>
      </c>
      <c r="AD10" t="str">
        <f t="shared" si="5"/>
        <v>⭐⭐⭐⭐</v>
      </c>
      <c r="AE10" t="str">
        <f t="shared" si="6"/>
        <v>Improve workforce allocation</v>
      </c>
      <c r="AF10" t="str">
        <f t="shared" si="7"/>
        <v>Recommended for medium-high orders</v>
      </c>
    </row>
    <row r="11" spans="1:32" ht="24" customHeight="1">
      <c r="A11" t="s">
        <v>68</v>
      </c>
      <c r="B11" t="s">
        <v>69</v>
      </c>
      <c r="C11" t="s">
        <v>70</v>
      </c>
      <c r="D11" t="s">
        <v>71</v>
      </c>
      <c r="E11" t="s">
        <v>72</v>
      </c>
      <c r="F11" t="s">
        <v>57</v>
      </c>
      <c r="G11">
        <v>9061</v>
      </c>
      <c r="H11">
        <v>45921</v>
      </c>
      <c r="I11">
        <v>45944</v>
      </c>
      <c r="J11">
        <v>19</v>
      </c>
      <c r="K11">
        <v>22</v>
      </c>
      <c r="L11">
        <f t="shared" si="0"/>
        <v>3</v>
      </c>
      <c r="M11" t="str">
        <f t="shared" si="1"/>
        <v>Delayed</v>
      </c>
      <c r="N11">
        <v>8</v>
      </c>
      <c r="O11">
        <v>5</v>
      </c>
      <c r="P11">
        <f t="shared" si="2"/>
        <v>0.625</v>
      </c>
      <c r="Q11">
        <v>28</v>
      </c>
      <c r="R11">
        <v>411.9</v>
      </c>
      <c r="S11">
        <v>11061</v>
      </c>
      <c r="T11" t="s">
        <v>38</v>
      </c>
      <c r="U11">
        <v>0</v>
      </c>
      <c r="V11">
        <v>5</v>
      </c>
      <c r="W11">
        <v>2</v>
      </c>
      <c r="X11">
        <v>2</v>
      </c>
      <c r="Y11">
        <v>3.57</v>
      </c>
      <c r="Z11">
        <v>3.8</v>
      </c>
      <c r="AA11">
        <v>0.78</v>
      </c>
      <c r="AB11">
        <f t="shared" si="3"/>
        <v>5</v>
      </c>
      <c r="AC11">
        <f t="shared" si="4"/>
        <v>3.9</v>
      </c>
      <c r="AD11" t="str">
        <f t="shared" si="5"/>
        <v>⭐⭐⭐</v>
      </c>
      <c r="AE11" t="str">
        <f t="shared" si="6"/>
        <v>Increase daily output monitoring</v>
      </c>
      <c r="AF11" t="str">
        <f t="shared" si="7"/>
        <v>Use for normal priority orders</v>
      </c>
    </row>
    <row r="12" spans="1:32" ht="24" customHeight="1">
      <c r="A12" t="s">
        <v>73</v>
      </c>
      <c r="B12" t="s">
        <v>53</v>
      </c>
      <c r="C12" t="s">
        <v>54</v>
      </c>
      <c r="D12" t="s">
        <v>55</v>
      </c>
      <c r="E12" t="s">
        <v>74</v>
      </c>
      <c r="F12" t="s">
        <v>57</v>
      </c>
      <c r="G12">
        <v>13834</v>
      </c>
      <c r="H12">
        <v>45685</v>
      </c>
      <c r="I12">
        <v>45722</v>
      </c>
      <c r="J12">
        <v>28</v>
      </c>
      <c r="K12">
        <v>32</v>
      </c>
      <c r="L12">
        <f t="shared" si="0"/>
        <v>4</v>
      </c>
      <c r="M12" t="str">
        <f t="shared" si="1"/>
        <v>Delayed</v>
      </c>
      <c r="N12">
        <v>19</v>
      </c>
      <c r="O12">
        <v>14</v>
      </c>
      <c r="P12">
        <f t="shared" si="2"/>
        <v>0.73684210526315785</v>
      </c>
      <c r="Q12">
        <v>47</v>
      </c>
      <c r="R12">
        <v>432.3</v>
      </c>
      <c r="S12">
        <v>16834</v>
      </c>
      <c r="T12" t="s">
        <v>45</v>
      </c>
      <c r="U12">
        <v>2</v>
      </c>
      <c r="V12">
        <v>7</v>
      </c>
      <c r="W12">
        <v>1</v>
      </c>
      <c r="X12">
        <v>2</v>
      </c>
      <c r="Y12">
        <v>2.6</v>
      </c>
      <c r="Z12">
        <v>4.5</v>
      </c>
      <c r="AA12">
        <v>0.88</v>
      </c>
      <c r="AB12">
        <f t="shared" si="3"/>
        <v>5</v>
      </c>
      <c r="AC12">
        <f t="shared" si="4"/>
        <v>4.32</v>
      </c>
      <c r="AD12" t="str">
        <f t="shared" si="5"/>
        <v>⭐⭐⭐⭐</v>
      </c>
      <c r="AE12" t="str">
        <f t="shared" si="6"/>
        <v>Increase daily output monitoring</v>
      </c>
      <c r="AF12" t="str">
        <f t="shared" si="7"/>
        <v>Recommended for medium-high orders</v>
      </c>
    </row>
    <row r="13" spans="1:32" ht="24" customHeight="1">
      <c r="A13" t="s">
        <v>75</v>
      </c>
      <c r="B13" t="s">
        <v>33</v>
      </c>
      <c r="C13" t="s">
        <v>34</v>
      </c>
      <c r="D13" t="s">
        <v>35</v>
      </c>
      <c r="E13" t="s">
        <v>76</v>
      </c>
      <c r="F13" t="s">
        <v>37</v>
      </c>
      <c r="G13">
        <v>23193</v>
      </c>
      <c r="H13">
        <v>45939</v>
      </c>
      <c r="I13">
        <v>45974</v>
      </c>
      <c r="J13">
        <v>34</v>
      </c>
      <c r="K13">
        <v>35</v>
      </c>
      <c r="L13">
        <f t="shared" si="0"/>
        <v>1</v>
      </c>
      <c r="M13" t="str">
        <f t="shared" si="1"/>
        <v>Delayed</v>
      </c>
      <c r="N13">
        <v>12</v>
      </c>
      <c r="O13">
        <v>9</v>
      </c>
      <c r="P13">
        <f t="shared" si="2"/>
        <v>0.75</v>
      </c>
      <c r="Q13">
        <v>41</v>
      </c>
      <c r="R13">
        <v>662.7</v>
      </c>
      <c r="S13">
        <v>23193</v>
      </c>
      <c r="T13" t="s">
        <v>45</v>
      </c>
      <c r="U13">
        <v>3</v>
      </c>
      <c r="V13">
        <v>7</v>
      </c>
      <c r="W13">
        <v>3</v>
      </c>
      <c r="X13">
        <v>3</v>
      </c>
      <c r="Y13">
        <v>3.14</v>
      </c>
      <c r="Z13">
        <v>4.2</v>
      </c>
      <c r="AA13">
        <v>0.83</v>
      </c>
      <c r="AB13">
        <f t="shared" si="3"/>
        <v>5</v>
      </c>
      <c r="AC13">
        <f t="shared" si="4"/>
        <v>4.18</v>
      </c>
      <c r="AD13" t="str">
        <f t="shared" si="5"/>
        <v>⭐⭐⭐⭐</v>
      </c>
      <c r="AE13" t="str">
        <f t="shared" si="6"/>
        <v>Increase daily output monitoring</v>
      </c>
      <c r="AF13" t="str">
        <f t="shared" si="7"/>
        <v>Recommended for medium-high orders</v>
      </c>
    </row>
    <row r="14" spans="1:32" ht="24" customHeight="1">
      <c r="A14" t="s">
        <v>77</v>
      </c>
      <c r="B14" t="s">
        <v>78</v>
      </c>
      <c r="C14" t="s">
        <v>79</v>
      </c>
      <c r="D14" t="s">
        <v>80</v>
      </c>
      <c r="E14" t="s">
        <v>81</v>
      </c>
      <c r="F14" t="s">
        <v>37</v>
      </c>
      <c r="G14">
        <v>17745</v>
      </c>
      <c r="H14">
        <v>45942</v>
      </c>
      <c r="I14">
        <v>45975</v>
      </c>
      <c r="J14">
        <v>29</v>
      </c>
      <c r="K14">
        <v>28</v>
      </c>
      <c r="L14">
        <f t="shared" si="0"/>
        <v>-1</v>
      </c>
      <c r="M14" t="str">
        <f t="shared" si="1"/>
        <v>Early</v>
      </c>
      <c r="N14">
        <v>15</v>
      </c>
      <c r="O14">
        <v>14</v>
      </c>
      <c r="P14">
        <f t="shared" si="2"/>
        <v>0.93333333333333335</v>
      </c>
      <c r="Q14">
        <v>58</v>
      </c>
      <c r="R14">
        <v>633.79999999999995</v>
      </c>
      <c r="S14">
        <v>20745</v>
      </c>
      <c r="T14" t="s">
        <v>45</v>
      </c>
      <c r="U14">
        <v>2</v>
      </c>
      <c r="V14">
        <v>0</v>
      </c>
      <c r="W14">
        <v>2</v>
      </c>
      <c r="X14">
        <v>2</v>
      </c>
      <c r="Y14">
        <v>1.9</v>
      </c>
      <c r="Z14">
        <v>4.8</v>
      </c>
      <c r="AA14">
        <v>0.92</v>
      </c>
      <c r="AB14">
        <f t="shared" si="3"/>
        <v>5</v>
      </c>
      <c r="AC14">
        <f t="shared" si="4"/>
        <v>4.76</v>
      </c>
      <c r="AD14" t="str">
        <f t="shared" si="5"/>
        <v>⭐⭐⭐⭐⭐</v>
      </c>
      <c r="AE14" t="str">
        <f t="shared" si="6"/>
        <v>Maintain current resource allocation</v>
      </c>
      <c r="AF14" t="str">
        <f t="shared" si="7"/>
        <v>Best for urgent/high priority orders</v>
      </c>
    </row>
    <row r="15" spans="1:32" ht="24" customHeight="1">
      <c r="A15" t="s">
        <v>82</v>
      </c>
      <c r="B15" t="s">
        <v>33</v>
      </c>
      <c r="C15" t="s">
        <v>34</v>
      </c>
      <c r="D15" t="s">
        <v>35</v>
      </c>
      <c r="E15" t="s">
        <v>83</v>
      </c>
      <c r="F15" t="s">
        <v>67</v>
      </c>
      <c r="G15">
        <v>49722</v>
      </c>
      <c r="H15">
        <v>45918</v>
      </c>
      <c r="I15">
        <v>45981</v>
      </c>
      <c r="J15">
        <v>61</v>
      </c>
      <c r="K15">
        <v>63</v>
      </c>
      <c r="L15">
        <f t="shared" si="0"/>
        <v>2</v>
      </c>
      <c r="M15" t="str">
        <f t="shared" si="1"/>
        <v>Delayed</v>
      </c>
      <c r="N15">
        <v>17</v>
      </c>
      <c r="O15">
        <v>13</v>
      </c>
      <c r="P15">
        <f t="shared" si="2"/>
        <v>0.76470588235294112</v>
      </c>
      <c r="Q15">
        <v>50</v>
      </c>
      <c r="R15">
        <v>789.2</v>
      </c>
      <c r="S15">
        <v>50722</v>
      </c>
      <c r="T15" t="s">
        <v>45</v>
      </c>
      <c r="U15">
        <v>0</v>
      </c>
      <c r="V15">
        <v>9</v>
      </c>
      <c r="W15">
        <v>1</v>
      </c>
      <c r="X15">
        <v>1</v>
      </c>
      <c r="Y15">
        <v>3.05</v>
      </c>
      <c r="Z15">
        <v>4.2</v>
      </c>
      <c r="AA15">
        <v>0.83</v>
      </c>
      <c r="AB15">
        <f t="shared" si="3"/>
        <v>5</v>
      </c>
      <c r="AC15">
        <f t="shared" si="4"/>
        <v>4.1900000000000004</v>
      </c>
      <c r="AD15" t="str">
        <f t="shared" si="5"/>
        <v>⭐⭐⭐⭐</v>
      </c>
      <c r="AE15" t="str">
        <f t="shared" si="6"/>
        <v>Reduce risk days and add supervisor monitoring</v>
      </c>
      <c r="AF15" t="str">
        <f t="shared" si="7"/>
        <v>Recommended for medium-high orders</v>
      </c>
    </row>
    <row r="16" spans="1:32" ht="24" customHeight="1">
      <c r="A16" t="s">
        <v>84</v>
      </c>
      <c r="B16" t="s">
        <v>61</v>
      </c>
      <c r="C16" t="s">
        <v>62</v>
      </c>
      <c r="D16" t="s">
        <v>63</v>
      </c>
      <c r="E16" t="s">
        <v>85</v>
      </c>
      <c r="F16" t="s">
        <v>37</v>
      </c>
      <c r="G16">
        <v>12226</v>
      </c>
      <c r="H16">
        <v>45818</v>
      </c>
      <c r="I16">
        <v>45852</v>
      </c>
      <c r="J16">
        <v>31</v>
      </c>
      <c r="K16">
        <v>33</v>
      </c>
      <c r="L16">
        <f t="shared" si="0"/>
        <v>2</v>
      </c>
      <c r="M16" t="str">
        <f t="shared" si="1"/>
        <v>Delayed</v>
      </c>
      <c r="N16">
        <v>10</v>
      </c>
      <c r="O16">
        <v>7</v>
      </c>
      <c r="P16">
        <f t="shared" si="2"/>
        <v>0.7</v>
      </c>
      <c r="Q16">
        <v>48</v>
      </c>
      <c r="R16">
        <v>370.5</v>
      </c>
      <c r="S16">
        <v>16226</v>
      </c>
      <c r="T16" t="s">
        <v>45</v>
      </c>
      <c r="U16">
        <v>2</v>
      </c>
      <c r="V16">
        <v>10</v>
      </c>
      <c r="W16">
        <v>2</v>
      </c>
      <c r="X16">
        <v>2</v>
      </c>
      <c r="Y16">
        <v>3.58</v>
      </c>
      <c r="Z16">
        <v>4</v>
      </c>
      <c r="AA16">
        <v>0.8</v>
      </c>
      <c r="AB16">
        <f t="shared" si="3"/>
        <v>5</v>
      </c>
      <c r="AC16">
        <f t="shared" si="4"/>
        <v>4.05</v>
      </c>
      <c r="AD16" t="str">
        <f t="shared" si="5"/>
        <v>⭐⭐⭐⭐</v>
      </c>
      <c r="AE16" t="str">
        <f t="shared" si="6"/>
        <v>Reduce risk days and add supervisor monitoring</v>
      </c>
      <c r="AF16" t="str">
        <f t="shared" si="7"/>
        <v>Recommended for medium-high orders</v>
      </c>
    </row>
    <row r="17" spans="1:32" ht="24" customHeight="1">
      <c r="A17" t="s">
        <v>86</v>
      </c>
      <c r="B17" t="s">
        <v>53</v>
      </c>
      <c r="C17" t="s">
        <v>54</v>
      </c>
      <c r="D17" t="s">
        <v>55</v>
      </c>
      <c r="E17" t="s">
        <v>87</v>
      </c>
      <c r="F17" t="s">
        <v>67</v>
      </c>
      <c r="G17">
        <v>54982</v>
      </c>
      <c r="H17">
        <v>45725</v>
      </c>
      <c r="I17">
        <v>45791</v>
      </c>
      <c r="J17">
        <v>65</v>
      </c>
      <c r="K17">
        <v>64</v>
      </c>
      <c r="L17">
        <f t="shared" si="0"/>
        <v>-1</v>
      </c>
      <c r="M17" t="str">
        <f t="shared" si="1"/>
        <v>Early</v>
      </c>
      <c r="N17">
        <v>14</v>
      </c>
      <c r="O17">
        <v>10</v>
      </c>
      <c r="P17">
        <f t="shared" si="2"/>
        <v>0.7142857142857143</v>
      </c>
      <c r="Q17">
        <v>50</v>
      </c>
      <c r="R17">
        <v>859.1</v>
      </c>
      <c r="S17">
        <v>58982</v>
      </c>
      <c r="T17" t="s">
        <v>45</v>
      </c>
      <c r="U17">
        <v>2</v>
      </c>
      <c r="V17">
        <v>3</v>
      </c>
      <c r="W17">
        <v>2</v>
      </c>
      <c r="X17">
        <v>1</v>
      </c>
      <c r="Y17">
        <v>2.65</v>
      </c>
      <c r="Z17">
        <v>4.5</v>
      </c>
      <c r="AA17">
        <v>0.88</v>
      </c>
      <c r="AB17">
        <f t="shared" si="3"/>
        <v>5</v>
      </c>
      <c r="AC17">
        <f t="shared" si="4"/>
        <v>4.46</v>
      </c>
      <c r="AD17" t="str">
        <f t="shared" si="5"/>
        <v>⭐⭐⭐⭐</v>
      </c>
      <c r="AE17" t="str">
        <f t="shared" si="6"/>
        <v>Maintain current resource allocation</v>
      </c>
      <c r="AF17" t="str">
        <f t="shared" si="7"/>
        <v>Recommended for medium-high orders</v>
      </c>
    </row>
    <row r="18" spans="1:32" ht="24" customHeight="1">
      <c r="A18" t="s">
        <v>88</v>
      </c>
      <c r="B18" t="s">
        <v>69</v>
      </c>
      <c r="C18" t="s">
        <v>70</v>
      </c>
      <c r="D18" t="s">
        <v>71</v>
      </c>
      <c r="E18" t="s">
        <v>89</v>
      </c>
      <c r="F18" t="s">
        <v>67</v>
      </c>
      <c r="G18">
        <v>49338</v>
      </c>
      <c r="H18">
        <v>45717</v>
      </c>
      <c r="I18">
        <v>45780</v>
      </c>
      <c r="J18">
        <v>60</v>
      </c>
      <c r="K18">
        <v>63</v>
      </c>
      <c r="L18">
        <f t="shared" si="0"/>
        <v>3</v>
      </c>
      <c r="M18" t="str">
        <f t="shared" si="1"/>
        <v>Delayed</v>
      </c>
      <c r="N18">
        <v>8</v>
      </c>
      <c r="O18">
        <v>6</v>
      </c>
      <c r="P18">
        <f t="shared" si="2"/>
        <v>0.75</v>
      </c>
      <c r="Q18">
        <v>44</v>
      </c>
      <c r="R18">
        <v>783.1</v>
      </c>
      <c r="S18">
        <v>51338</v>
      </c>
      <c r="T18" t="s">
        <v>45</v>
      </c>
      <c r="U18">
        <v>0</v>
      </c>
      <c r="V18">
        <v>5</v>
      </c>
      <c r="W18">
        <v>3</v>
      </c>
      <c r="X18">
        <v>7</v>
      </c>
      <c r="Y18">
        <v>3.62</v>
      </c>
      <c r="Z18">
        <v>3.8</v>
      </c>
      <c r="AA18">
        <v>0.78</v>
      </c>
      <c r="AB18">
        <f t="shared" si="3"/>
        <v>5</v>
      </c>
      <c r="AC18">
        <f t="shared" si="4"/>
        <v>4</v>
      </c>
      <c r="AD18" t="str">
        <f t="shared" si="5"/>
        <v>⭐⭐⭐⭐</v>
      </c>
      <c r="AE18" t="str">
        <f t="shared" si="6"/>
        <v>Improve workforce allocation</v>
      </c>
      <c r="AF18" t="str">
        <f t="shared" si="7"/>
        <v>Recommended for medium-high orders</v>
      </c>
    </row>
    <row r="19" spans="1:32" ht="24" customHeight="1">
      <c r="A19" t="s">
        <v>90</v>
      </c>
      <c r="B19" t="s">
        <v>61</v>
      </c>
      <c r="C19" t="s">
        <v>62</v>
      </c>
      <c r="D19" t="s">
        <v>63</v>
      </c>
      <c r="E19" t="s">
        <v>91</v>
      </c>
      <c r="F19" t="s">
        <v>67</v>
      </c>
      <c r="G19">
        <v>49232</v>
      </c>
      <c r="H19">
        <v>45659</v>
      </c>
      <c r="I19">
        <v>45740</v>
      </c>
      <c r="J19">
        <v>74</v>
      </c>
      <c r="K19">
        <v>79</v>
      </c>
      <c r="L19">
        <f t="shared" si="0"/>
        <v>5</v>
      </c>
      <c r="M19" t="str">
        <f t="shared" si="1"/>
        <v>Delayed</v>
      </c>
      <c r="N19">
        <v>9</v>
      </c>
      <c r="O19">
        <v>6</v>
      </c>
      <c r="P19">
        <f t="shared" si="2"/>
        <v>0.66666666666666663</v>
      </c>
      <c r="Q19">
        <v>43</v>
      </c>
      <c r="R19">
        <v>623.20000000000005</v>
      </c>
      <c r="S19">
        <v>51232</v>
      </c>
      <c r="T19" t="s">
        <v>38</v>
      </c>
      <c r="U19">
        <v>0</v>
      </c>
      <c r="V19">
        <v>9</v>
      </c>
      <c r="W19">
        <v>4</v>
      </c>
      <c r="X19">
        <v>6</v>
      </c>
      <c r="Y19">
        <v>3.82</v>
      </c>
      <c r="Z19">
        <v>4</v>
      </c>
      <c r="AA19">
        <v>0.8</v>
      </c>
      <c r="AB19">
        <f t="shared" si="3"/>
        <v>5</v>
      </c>
      <c r="AC19">
        <f t="shared" si="4"/>
        <v>4.0199999999999996</v>
      </c>
      <c r="AD19" t="str">
        <f t="shared" si="5"/>
        <v>⭐⭐⭐⭐</v>
      </c>
      <c r="AE19" t="str">
        <f t="shared" si="6"/>
        <v>Reduce risk days and add supervisor monitoring</v>
      </c>
      <c r="AF19" t="str">
        <f t="shared" si="7"/>
        <v>Recommended for medium-high orders</v>
      </c>
    </row>
    <row r="20" spans="1:32" ht="24" customHeight="1">
      <c r="A20" t="s">
        <v>92</v>
      </c>
      <c r="B20" t="s">
        <v>61</v>
      </c>
      <c r="C20" t="s">
        <v>62</v>
      </c>
      <c r="D20" t="s">
        <v>63</v>
      </c>
      <c r="E20" t="s">
        <v>93</v>
      </c>
      <c r="F20" t="s">
        <v>44</v>
      </c>
      <c r="G20">
        <v>16478</v>
      </c>
      <c r="H20">
        <v>45844</v>
      </c>
      <c r="I20">
        <v>45886</v>
      </c>
      <c r="J20">
        <v>41</v>
      </c>
      <c r="K20">
        <v>42</v>
      </c>
      <c r="L20">
        <f t="shared" si="0"/>
        <v>1</v>
      </c>
      <c r="M20" t="str">
        <f t="shared" si="1"/>
        <v>Delayed</v>
      </c>
      <c r="N20">
        <v>11</v>
      </c>
      <c r="O20">
        <v>8</v>
      </c>
      <c r="P20">
        <f t="shared" si="2"/>
        <v>0.72727272727272729</v>
      </c>
      <c r="Q20">
        <v>41</v>
      </c>
      <c r="R20">
        <v>392.3</v>
      </c>
      <c r="S20">
        <v>20478</v>
      </c>
      <c r="T20" t="s">
        <v>45</v>
      </c>
      <c r="U20">
        <v>1</v>
      </c>
      <c r="V20">
        <v>5</v>
      </c>
      <c r="W20">
        <v>3</v>
      </c>
      <c r="X20">
        <v>6</v>
      </c>
      <c r="Y20">
        <v>3.18</v>
      </c>
      <c r="Z20">
        <v>4</v>
      </c>
      <c r="AA20">
        <v>0.8</v>
      </c>
      <c r="AB20">
        <f t="shared" si="3"/>
        <v>5</v>
      </c>
      <c r="AC20">
        <f t="shared" si="4"/>
        <v>4.07</v>
      </c>
      <c r="AD20" t="str">
        <f t="shared" si="5"/>
        <v>⭐⭐⭐⭐</v>
      </c>
      <c r="AE20" t="str">
        <f t="shared" si="6"/>
        <v>Improve workforce allocation</v>
      </c>
      <c r="AF20" t="str">
        <f t="shared" si="7"/>
        <v>Recommended for medium-high orders</v>
      </c>
    </row>
    <row r="21" spans="1:32" ht="24" customHeight="1">
      <c r="A21" t="s">
        <v>94</v>
      </c>
      <c r="B21" t="s">
        <v>69</v>
      </c>
      <c r="C21" t="s">
        <v>70</v>
      </c>
      <c r="D21" t="s">
        <v>71</v>
      </c>
      <c r="E21" t="s">
        <v>95</v>
      </c>
      <c r="F21" t="s">
        <v>67</v>
      </c>
      <c r="G21">
        <v>43368</v>
      </c>
      <c r="H21">
        <v>45749</v>
      </c>
      <c r="I21">
        <v>45822</v>
      </c>
      <c r="J21">
        <v>66</v>
      </c>
      <c r="K21">
        <v>68</v>
      </c>
      <c r="L21">
        <f t="shared" si="0"/>
        <v>2</v>
      </c>
      <c r="M21" t="str">
        <f t="shared" si="1"/>
        <v>Delayed</v>
      </c>
      <c r="N21">
        <v>11</v>
      </c>
      <c r="O21">
        <v>9</v>
      </c>
      <c r="P21">
        <f t="shared" si="2"/>
        <v>0.81818181818181823</v>
      </c>
      <c r="Q21">
        <v>32</v>
      </c>
      <c r="R21">
        <v>637.79999999999995</v>
      </c>
      <c r="S21">
        <v>46368</v>
      </c>
      <c r="T21" t="s">
        <v>45</v>
      </c>
      <c r="U21">
        <v>0</v>
      </c>
      <c r="V21">
        <v>8</v>
      </c>
      <c r="W21">
        <v>4</v>
      </c>
      <c r="X21">
        <v>2</v>
      </c>
      <c r="Y21">
        <v>3.22</v>
      </c>
      <c r="Z21">
        <v>3.8</v>
      </c>
      <c r="AA21">
        <v>0.78</v>
      </c>
      <c r="AB21">
        <f t="shared" si="3"/>
        <v>5</v>
      </c>
      <c r="AC21">
        <f t="shared" si="4"/>
        <v>4.05</v>
      </c>
      <c r="AD21" t="str">
        <f t="shared" si="5"/>
        <v>⭐⭐⭐⭐</v>
      </c>
      <c r="AE21" t="str">
        <f t="shared" si="6"/>
        <v>Increase machine maintenance support</v>
      </c>
      <c r="AF21" t="str">
        <f t="shared" si="7"/>
        <v>Recommended for medium-high orders</v>
      </c>
    </row>
    <row r="22" spans="1:32" ht="24" customHeight="1">
      <c r="A22" t="s">
        <v>96</v>
      </c>
      <c r="B22" t="s">
        <v>69</v>
      </c>
      <c r="C22" t="s">
        <v>70</v>
      </c>
      <c r="D22" t="s">
        <v>71</v>
      </c>
      <c r="E22" t="s">
        <v>97</v>
      </c>
      <c r="F22" t="s">
        <v>57</v>
      </c>
      <c r="G22">
        <v>9371</v>
      </c>
      <c r="H22">
        <v>45800</v>
      </c>
      <c r="I22">
        <v>45820</v>
      </c>
      <c r="J22">
        <v>18</v>
      </c>
      <c r="K22">
        <v>20</v>
      </c>
      <c r="L22">
        <f t="shared" si="0"/>
        <v>2</v>
      </c>
      <c r="M22" t="str">
        <f t="shared" si="1"/>
        <v>Delayed</v>
      </c>
      <c r="N22">
        <v>15</v>
      </c>
      <c r="O22">
        <v>10</v>
      </c>
      <c r="P22">
        <f t="shared" si="2"/>
        <v>0.66666666666666663</v>
      </c>
      <c r="Q22">
        <v>34</v>
      </c>
      <c r="R22">
        <v>468.6</v>
      </c>
      <c r="S22">
        <v>10371</v>
      </c>
      <c r="T22" t="s">
        <v>45</v>
      </c>
      <c r="U22">
        <v>0</v>
      </c>
      <c r="V22">
        <v>12</v>
      </c>
      <c r="W22">
        <v>5</v>
      </c>
      <c r="X22">
        <v>4</v>
      </c>
      <c r="Y22">
        <v>3.16</v>
      </c>
      <c r="Z22">
        <v>3.8</v>
      </c>
      <c r="AA22">
        <v>0.78</v>
      </c>
      <c r="AB22">
        <f t="shared" si="3"/>
        <v>5</v>
      </c>
      <c r="AC22">
        <f t="shared" si="4"/>
        <v>3.94</v>
      </c>
      <c r="AD22" t="str">
        <f t="shared" si="5"/>
        <v>⭐⭐⭐</v>
      </c>
      <c r="AE22" t="str">
        <f t="shared" si="6"/>
        <v>Reduce risk days and add supervisor monitoring</v>
      </c>
      <c r="AF22" t="str">
        <f t="shared" si="7"/>
        <v>Use for normal priority orders</v>
      </c>
    </row>
    <row r="23" spans="1:32" ht="24" customHeight="1">
      <c r="A23" t="s">
        <v>98</v>
      </c>
      <c r="B23" t="s">
        <v>69</v>
      </c>
      <c r="C23" t="s">
        <v>70</v>
      </c>
      <c r="D23" t="s">
        <v>71</v>
      </c>
      <c r="E23" t="s">
        <v>99</v>
      </c>
      <c r="F23" t="s">
        <v>44</v>
      </c>
      <c r="G23">
        <v>18692</v>
      </c>
      <c r="H23">
        <v>45963</v>
      </c>
      <c r="I23">
        <v>46010</v>
      </c>
      <c r="J23">
        <v>36</v>
      </c>
      <c r="K23">
        <v>44</v>
      </c>
      <c r="L23">
        <f t="shared" si="0"/>
        <v>8</v>
      </c>
      <c r="M23" t="str">
        <f t="shared" si="1"/>
        <v>Delayed</v>
      </c>
      <c r="N23">
        <v>12</v>
      </c>
      <c r="O23">
        <v>8</v>
      </c>
      <c r="P23">
        <f t="shared" si="2"/>
        <v>0.66666666666666663</v>
      </c>
      <c r="Q23">
        <v>35</v>
      </c>
      <c r="R23">
        <v>424.8</v>
      </c>
      <c r="S23">
        <v>18692</v>
      </c>
      <c r="T23" t="s">
        <v>45</v>
      </c>
      <c r="U23">
        <v>0</v>
      </c>
      <c r="V23">
        <v>5</v>
      </c>
      <c r="W23">
        <v>4</v>
      </c>
      <c r="X23">
        <v>2</v>
      </c>
      <c r="Y23">
        <v>3.56</v>
      </c>
      <c r="Z23">
        <v>3.8</v>
      </c>
      <c r="AA23">
        <v>0.78</v>
      </c>
      <c r="AB23">
        <f t="shared" si="3"/>
        <v>5</v>
      </c>
      <c r="AC23">
        <f t="shared" si="4"/>
        <v>3.94</v>
      </c>
      <c r="AD23" t="str">
        <f t="shared" si="5"/>
        <v>⭐⭐⭐</v>
      </c>
      <c r="AE23" t="str">
        <f t="shared" si="6"/>
        <v>Increase machine maintenance support</v>
      </c>
      <c r="AF23" t="str">
        <f t="shared" si="7"/>
        <v>Use for normal priority orders</v>
      </c>
    </row>
    <row r="24" spans="1:32" ht="24" customHeight="1">
      <c r="A24" t="s">
        <v>100</v>
      </c>
      <c r="B24" t="s">
        <v>53</v>
      </c>
      <c r="C24" t="s">
        <v>54</v>
      </c>
      <c r="D24" t="s">
        <v>55</v>
      </c>
      <c r="E24" t="s">
        <v>101</v>
      </c>
      <c r="F24" t="s">
        <v>44</v>
      </c>
      <c r="G24">
        <v>18758</v>
      </c>
      <c r="H24">
        <v>45811</v>
      </c>
      <c r="I24">
        <v>45843</v>
      </c>
      <c r="J24">
        <v>27</v>
      </c>
      <c r="K24">
        <v>28</v>
      </c>
      <c r="L24">
        <f t="shared" si="0"/>
        <v>1</v>
      </c>
      <c r="M24" t="str">
        <f t="shared" si="1"/>
        <v>Delayed</v>
      </c>
      <c r="N24">
        <v>16</v>
      </c>
      <c r="O24">
        <v>12</v>
      </c>
      <c r="P24">
        <f t="shared" si="2"/>
        <v>0.75</v>
      </c>
      <c r="Q24">
        <v>46</v>
      </c>
      <c r="R24">
        <v>669.9</v>
      </c>
      <c r="S24">
        <v>20758</v>
      </c>
      <c r="T24" t="s">
        <v>45</v>
      </c>
      <c r="U24">
        <v>2</v>
      </c>
      <c r="V24">
        <v>2</v>
      </c>
      <c r="W24">
        <v>1</v>
      </c>
      <c r="X24">
        <v>1</v>
      </c>
      <c r="Y24">
        <v>2.93</v>
      </c>
      <c r="Z24">
        <v>4.5</v>
      </c>
      <c r="AA24">
        <v>0.88</v>
      </c>
      <c r="AB24">
        <f t="shared" si="3"/>
        <v>5</v>
      </c>
      <c r="AC24">
        <f t="shared" si="4"/>
        <v>4.33</v>
      </c>
      <c r="AD24" t="str">
        <f t="shared" si="5"/>
        <v>⭐⭐⭐⭐</v>
      </c>
      <c r="AE24" t="str">
        <f t="shared" si="6"/>
        <v>Increase daily output monitoring</v>
      </c>
      <c r="AF24" t="str">
        <f t="shared" si="7"/>
        <v>Recommended for medium-high orders</v>
      </c>
    </row>
    <row r="25" spans="1:32" ht="24" customHeight="1">
      <c r="A25" t="s">
        <v>102</v>
      </c>
      <c r="B25" t="s">
        <v>53</v>
      </c>
      <c r="C25" t="s">
        <v>54</v>
      </c>
      <c r="D25" t="s">
        <v>55</v>
      </c>
      <c r="E25" t="s">
        <v>103</v>
      </c>
      <c r="F25" t="s">
        <v>57</v>
      </c>
      <c r="G25">
        <v>11592</v>
      </c>
      <c r="H25">
        <v>45813</v>
      </c>
      <c r="I25">
        <v>45846</v>
      </c>
      <c r="J25">
        <v>33</v>
      </c>
      <c r="K25">
        <v>31</v>
      </c>
      <c r="L25">
        <f t="shared" si="0"/>
        <v>-2</v>
      </c>
      <c r="M25" t="str">
        <f t="shared" si="1"/>
        <v>Early</v>
      </c>
      <c r="N25">
        <v>15</v>
      </c>
      <c r="O25">
        <v>12</v>
      </c>
      <c r="P25">
        <f t="shared" si="2"/>
        <v>0.8</v>
      </c>
      <c r="Q25">
        <v>53</v>
      </c>
      <c r="R25">
        <v>373.9</v>
      </c>
      <c r="S25">
        <v>14592</v>
      </c>
      <c r="T25" t="s">
        <v>45</v>
      </c>
      <c r="U25">
        <v>0</v>
      </c>
      <c r="V25">
        <v>2</v>
      </c>
      <c r="W25">
        <v>3</v>
      </c>
      <c r="X25">
        <v>4</v>
      </c>
      <c r="Y25">
        <v>3.56</v>
      </c>
      <c r="Z25">
        <v>4.5</v>
      </c>
      <c r="AA25">
        <v>0.88</v>
      </c>
      <c r="AB25">
        <f t="shared" si="3"/>
        <v>5</v>
      </c>
      <c r="AC25">
        <f t="shared" si="4"/>
        <v>4.5199999999999996</v>
      </c>
      <c r="AD25" t="str">
        <f t="shared" si="5"/>
        <v>⭐⭐⭐⭐⭐</v>
      </c>
      <c r="AE25" t="str">
        <f t="shared" si="6"/>
        <v>Maintain current resource allocation</v>
      </c>
      <c r="AF25" t="str">
        <f t="shared" si="7"/>
        <v>Best for urgent/high priority orders</v>
      </c>
    </row>
    <row r="26" spans="1:32" ht="24" customHeight="1">
      <c r="A26" t="s">
        <v>104</v>
      </c>
      <c r="B26" t="s">
        <v>78</v>
      </c>
      <c r="C26" t="s">
        <v>79</v>
      </c>
      <c r="D26" t="s">
        <v>80</v>
      </c>
      <c r="E26" t="s">
        <v>105</v>
      </c>
      <c r="F26" t="s">
        <v>44</v>
      </c>
      <c r="G26">
        <v>16476</v>
      </c>
      <c r="H26">
        <v>45759</v>
      </c>
      <c r="I26">
        <v>45797</v>
      </c>
      <c r="J26">
        <v>38</v>
      </c>
      <c r="K26">
        <v>37</v>
      </c>
      <c r="L26">
        <f t="shared" si="0"/>
        <v>-1</v>
      </c>
      <c r="M26" t="str">
        <f t="shared" si="1"/>
        <v>Early</v>
      </c>
      <c r="N26">
        <v>16</v>
      </c>
      <c r="O26">
        <v>13</v>
      </c>
      <c r="P26">
        <f t="shared" si="2"/>
        <v>0.8125</v>
      </c>
      <c r="Q26">
        <v>60</v>
      </c>
      <c r="R26">
        <v>445.3</v>
      </c>
      <c r="S26">
        <v>16476</v>
      </c>
      <c r="T26" t="s">
        <v>45</v>
      </c>
      <c r="U26">
        <v>1</v>
      </c>
      <c r="V26">
        <v>0</v>
      </c>
      <c r="W26">
        <v>1</v>
      </c>
      <c r="X26">
        <v>4</v>
      </c>
      <c r="Y26">
        <v>2.75</v>
      </c>
      <c r="Z26">
        <v>4.8</v>
      </c>
      <c r="AA26">
        <v>0.92</v>
      </c>
      <c r="AB26">
        <f t="shared" si="3"/>
        <v>5</v>
      </c>
      <c r="AC26">
        <f t="shared" si="4"/>
        <v>4.67</v>
      </c>
      <c r="AD26" t="str">
        <f t="shared" si="5"/>
        <v>⭐⭐⭐⭐⭐</v>
      </c>
      <c r="AE26" t="str">
        <f t="shared" si="6"/>
        <v>Maintain current resource allocation</v>
      </c>
      <c r="AF26" t="str">
        <f t="shared" si="7"/>
        <v>Best for urgent/high priority orders</v>
      </c>
    </row>
    <row r="27" spans="1:32" ht="24" customHeight="1">
      <c r="A27" t="s">
        <v>106</v>
      </c>
      <c r="B27" t="s">
        <v>78</v>
      </c>
      <c r="C27" t="s">
        <v>79</v>
      </c>
      <c r="D27" t="s">
        <v>80</v>
      </c>
      <c r="E27" t="s">
        <v>107</v>
      </c>
      <c r="F27" t="s">
        <v>67</v>
      </c>
      <c r="G27">
        <v>42386</v>
      </c>
      <c r="H27">
        <v>45770</v>
      </c>
      <c r="I27">
        <v>45839</v>
      </c>
      <c r="J27">
        <v>69</v>
      </c>
      <c r="K27">
        <v>68</v>
      </c>
      <c r="L27">
        <f t="shared" si="0"/>
        <v>-1</v>
      </c>
      <c r="M27" t="str">
        <f t="shared" si="1"/>
        <v>Early</v>
      </c>
      <c r="N27">
        <v>18</v>
      </c>
      <c r="O27">
        <v>14</v>
      </c>
      <c r="P27">
        <f t="shared" si="2"/>
        <v>0.77777777777777779</v>
      </c>
      <c r="Q27">
        <v>50</v>
      </c>
      <c r="R27">
        <v>623.29999999999995</v>
      </c>
      <c r="S27">
        <v>42386</v>
      </c>
      <c r="T27" t="s">
        <v>45</v>
      </c>
      <c r="U27">
        <v>3</v>
      </c>
      <c r="V27">
        <v>0</v>
      </c>
      <c r="W27">
        <v>1</v>
      </c>
      <c r="X27">
        <v>0</v>
      </c>
      <c r="Y27">
        <v>2.4</v>
      </c>
      <c r="Z27">
        <v>4.8</v>
      </c>
      <c r="AA27">
        <v>0.92</v>
      </c>
      <c r="AB27">
        <f t="shared" si="3"/>
        <v>5</v>
      </c>
      <c r="AC27">
        <f t="shared" si="4"/>
        <v>4.6399999999999997</v>
      </c>
      <c r="AD27" t="str">
        <f t="shared" si="5"/>
        <v>⭐⭐⭐⭐⭐</v>
      </c>
      <c r="AE27" t="str">
        <f t="shared" si="6"/>
        <v>Maintain current resource allocation</v>
      </c>
      <c r="AF27" t="str">
        <f t="shared" si="7"/>
        <v>Best for urgent/high priority orders</v>
      </c>
    </row>
    <row r="28" spans="1:32" ht="24" customHeight="1">
      <c r="A28" t="s">
        <v>108</v>
      </c>
      <c r="B28" t="s">
        <v>61</v>
      </c>
      <c r="C28" t="s">
        <v>62</v>
      </c>
      <c r="D28" t="s">
        <v>63</v>
      </c>
      <c r="E28" t="s">
        <v>109</v>
      </c>
      <c r="F28" t="s">
        <v>57</v>
      </c>
      <c r="G28">
        <v>14132</v>
      </c>
      <c r="H28">
        <v>45739</v>
      </c>
      <c r="I28">
        <v>45778</v>
      </c>
      <c r="J28">
        <v>31</v>
      </c>
      <c r="K28">
        <v>34</v>
      </c>
      <c r="L28">
        <f t="shared" si="0"/>
        <v>3</v>
      </c>
      <c r="M28" t="str">
        <f t="shared" si="1"/>
        <v>Delayed</v>
      </c>
      <c r="N28">
        <v>14</v>
      </c>
      <c r="O28">
        <v>11</v>
      </c>
      <c r="P28">
        <f t="shared" si="2"/>
        <v>0.7857142857142857</v>
      </c>
      <c r="Q28">
        <v>44</v>
      </c>
      <c r="R28">
        <v>415.6</v>
      </c>
      <c r="S28">
        <v>18132</v>
      </c>
      <c r="T28" t="s">
        <v>45</v>
      </c>
      <c r="U28">
        <v>3</v>
      </c>
      <c r="V28">
        <v>8</v>
      </c>
      <c r="W28">
        <v>4</v>
      </c>
      <c r="X28">
        <v>0</v>
      </c>
      <c r="Y28">
        <v>3.57</v>
      </c>
      <c r="Z28">
        <v>4</v>
      </c>
      <c r="AA28">
        <v>0.8</v>
      </c>
      <c r="AB28">
        <f t="shared" si="3"/>
        <v>5</v>
      </c>
      <c r="AC28">
        <f t="shared" si="4"/>
        <v>4.1100000000000003</v>
      </c>
      <c r="AD28" t="str">
        <f t="shared" si="5"/>
        <v>⭐⭐⭐⭐</v>
      </c>
      <c r="AE28" t="str">
        <f t="shared" si="6"/>
        <v>Increase machine maintenance support</v>
      </c>
      <c r="AF28" t="str">
        <f t="shared" si="7"/>
        <v>Recommended for medium-high orders</v>
      </c>
    </row>
    <row r="29" spans="1:32" ht="24" customHeight="1">
      <c r="A29" t="s">
        <v>110</v>
      </c>
      <c r="B29" t="s">
        <v>61</v>
      </c>
      <c r="C29" t="s">
        <v>62</v>
      </c>
      <c r="D29" t="s">
        <v>63</v>
      </c>
      <c r="E29" t="s">
        <v>111</v>
      </c>
      <c r="F29" t="s">
        <v>57</v>
      </c>
      <c r="G29">
        <v>17317</v>
      </c>
      <c r="H29">
        <v>45829</v>
      </c>
      <c r="I29">
        <v>45863</v>
      </c>
      <c r="J29">
        <v>31</v>
      </c>
      <c r="K29">
        <v>32</v>
      </c>
      <c r="L29">
        <f t="shared" si="0"/>
        <v>1</v>
      </c>
      <c r="M29" t="str">
        <f t="shared" si="1"/>
        <v>Delayed</v>
      </c>
      <c r="N29">
        <v>16</v>
      </c>
      <c r="O29">
        <v>10</v>
      </c>
      <c r="P29">
        <f t="shared" si="2"/>
        <v>0.625</v>
      </c>
      <c r="Q29">
        <v>39</v>
      </c>
      <c r="R29">
        <v>541.20000000000005</v>
      </c>
      <c r="S29">
        <v>18317</v>
      </c>
      <c r="T29" t="s">
        <v>45</v>
      </c>
      <c r="U29">
        <v>2</v>
      </c>
      <c r="V29">
        <v>3</v>
      </c>
      <c r="W29">
        <v>3</v>
      </c>
      <c r="X29">
        <v>6</v>
      </c>
      <c r="Y29">
        <v>3.33</v>
      </c>
      <c r="Z29">
        <v>4</v>
      </c>
      <c r="AA29">
        <v>0.8</v>
      </c>
      <c r="AB29">
        <f t="shared" si="3"/>
        <v>5</v>
      </c>
      <c r="AC29">
        <f t="shared" si="4"/>
        <v>3.99</v>
      </c>
      <c r="AD29" t="str">
        <f t="shared" si="5"/>
        <v>⭐⭐⭐</v>
      </c>
      <c r="AE29" t="str">
        <f t="shared" si="6"/>
        <v>Improve workforce allocation</v>
      </c>
      <c r="AF29" t="str">
        <f t="shared" si="7"/>
        <v>Use for normal priority orders</v>
      </c>
    </row>
    <row r="30" spans="1:32" ht="24" customHeight="1">
      <c r="A30" t="s">
        <v>112</v>
      </c>
      <c r="B30" t="s">
        <v>69</v>
      </c>
      <c r="C30" t="s">
        <v>70</v>
      </c>
      <c r="D30" t="s">
        <v>71</v>
      </c>
      <c r="E30" t="s">
        <v>113</v>
      </c>
      <c r="F30" t="s">
        <v>37</v>
      </c>
      <c r="G30">
        <v>14942</v>
      </c>
      <c r="H30">
        <v>45668</v>
      </c>
      <c r="I30">
        <v>45707</v>
      </c>
      <c r="J30">
        <v>31</v>
      </c>
      <c r="K30">
        <v>35</v>
      </c>
      <c r="L30">
        <f t="shared" si="0"/>
        <v>4</v>
      </c>
      <c r="M30" t="str">
        <f t="shared" si="1"/>
        <v>Delayed</v>
      </c>
      <c r="N30">
        <v>15</v>
      </c>
      <c r="O30">
        <v>11</v>
      </c>
      <c r="P30">
        <f t="shared" si="2"/>
        <v>0.73333333333333328</v>
      </c>
      <c r="Q30">
        <v>33</v>
      </c>
      <c r="R30">
        <v>426.9</v>
      </c>
      <c r="S30">
        <v>17942</v>
      </c>
      <c r="T30" t="s">
        <v>45</v>
      </c>
      <c r="U30">
        <v>3</v>
      </c>
      <c r="V30">
        <v>8</v>
      </c>
      <c r="W30">
        <v>4</v>
      </c>
      <c r="X30">
        <v>2</v>
      </c>
      <c r="Y30">
        <v>3.89</v>
      </c>
      <c r="Z30">
        <v>3.8</v>
      </c>
      <c r="AA30">
        <v>0.78</v>
      </c>
      <c r="AB30">
        <f t="shared" si="3"/>
        <v>5</v>
      </c>
      <c r="AC30">
        <f t="shared" si="4"/>
        <v>3.99</v>
      </c>
      <c r="AD30" t="str">
        <f t="shared" si="5"/>
        <v>⭐⭐⭐</v>
      </c>
      <c r="AE30" t="str">
        <f t="shared" si="6"/>
        <v>Increase machine maintenance support</v>
      </c>
      <c r="AF30" t="str">
        <f t="shared" si="7"/>
        <v>Use for normal priority orders</v>
      </c>
    </row>
    <row r="31" spans="1:32" ht="24" customHeight="1">
      <c r="A31" t="s">
        <v>114</v>
      </c>
      <c r="B31" t="s">
        <v>53</v>
      </c>
      <c r="C31" t="s">
        <v>54</v>
      </c>
      <c r="D31" t="s">
        <v>55</v>
      </c>
      <c r="E31" t="s">
        <v>115</v>
      </c>
      <c r="F31" t="s">
        <v>37</v>
      </c>
      <c r="G31">
        <v>19784</v>
      </c>
      <c r="H31">
        <v>45672</v>
      </c>
      <c r="I31">
        <v>45712</v>
      </c>
      <c r="J31">
        <v>36</v>
      </c>
      <c r="K31">
        <v>37</v>
      </c>
      <c r="L31">
        <f t="shared" si="0"/>
        <v>1</v>
      </c>
      <c r="M31" t="str">
        <f t="shared" si="1"/>
        <v>Delayed</v>
      </c>
      <c r="N31">
        <v>16</v>
      </c>
      <c r="O31">
        <v>13</v>
      </c>
      <c r="P31">
        <f t="shared" si="2"/>
        <v>0.8125</v>
      </c>
      <c r="Q31">
        <v>52</v>
      </c>
      <c r="R31">
        <v>534.70000000000005</v>
      </c>
      <c r="S31">
        <v>22784</v>
      </c>
      <c r="T31" t="s">
        <v>45</v>
      </c>
      <c r="U31">
        <v>3</v>
      </c>
      <c r="V31">
        <v>1</v>
      </c>
      <c r="W31">
        <v>3</v>
      </c>
      <c r="X31">
        <v>1</v>
      </c>
      <c r="Y31">
        <v>2.48</v>
      </c>
      <c r="Z31">
        <v>4.5</v>
      </c>
      <c r="AA31">
        <v>0.88</v>
      </c>
      <c r="AB31">
        <f t="shared" si="3"/>
        <v>5</v>
      </c>
      <c r="AC31">
        <f t="shared" si="4"/>
        <v>4.38</v>
      </c>
      <c r="AD31" t="str">
        <f t="shared" si="5"/>
        <v>⭐⭐⭐⭐</v>
      </c>
      <c r="AE31" t="str">
        <f t="shared" si="6"/>
        <v>Increase daily output monitoring</v>
      </c>
      <c r="AF31" t="str">
        <f t="shared" si="7"/>
        <v>Recommended for medium-high orders</v>
      </c>
    </row>
    <row r="32" spans="1:32" ht="24" customHeight="1">
      <c r="A32" t="s">
        <v>116</v>
      </c>
      <c r="B32" t="s">
        <v>53</v>
      </c>
      <c r="C32" t="s">
        <v>54</v>
      </c>
      <c r="D32" t="s">
        <v>55</v>
      </c>
      <c r="E32" t="s">
        <v>117</v>
      </c>
      <c r="F32" t="s">
        <v>57</v>
      </c>
      <c r="G32">
        <v>18770</v>
      </c>
      <c r="H32">
        <v>45825</v>
      </c>
      <c r="I32">
        <v>45863</v>
      </c>
      <c r="J32">
        <v>38</v>
      </c>
      <c r="K32">
        <v>37</v>
      </c>
      <c r="L32">
        <f t="shared" si="0"/>
        <v>-1</v>
      </c>
      <c r="M32" t="str">
        <f t="shared" si="1"/>
        <v>Early</v>
      </c>
      <c r="N32">
        <v>13</v>
      </c>
      <c r="O32">
        <v>10</v>
      </c>
      <c r="P32">
        <f t="shared" si="2"/>
        <v>0.76923076923076927</v>
      </c>
      <c r="Q32">
        <v>57</v>
      </c>
      <c r="R32">
        <v>507.3</v>
      </c>
      <c r="S32">
        <v>19770</v>
      </c>
      <c r="T32" t="s">
        <v>45</v>
      </c>
      <c r="U32">
        <v>3</v>
      </c>
      <c r="V32">
        <v>7</v>
      </c>
      <c r="W32">
        <v>2</v>
      </c>
      <c r="X32">
        <v>4</v>
      </c>
      <c r="Y32">
        <v>3.2</v>
      </c>
      <c r="Z32">
        <v>4.5</v>
      </c>
      <c r="AA32">
        <v>0.88</v>
      </c>
      <c r="AB32">
        <f t="shared" si="3"/>
        <v>5</v>
      </c>
      <c r="AC32">
        <f t="shared" si="4"/>
        <v>4.5</v>
      </c>
      <c r="AD32" t="str">
        <f t="shared" si="5"/>
        <v>⭐⭐⭐⭐⭐</v>
      </c>
      <c r="AE32" t="str">
        <f t="shared" si="6"/>
        <v>Maintain current resource allocation</v>
      </c>
      <c r="AF32" t="str">
        <f t="shared" si="7"/>
        <v>Best for urgent/high priority orders</v>
      </c>
    </row>
    <row r="33" spans="1:32" ht="24" customHeight="1">
      <c r="A33" t="s">
        <v>118</v>
      </c>
      <c r="B33" t="s">
        <v>40</v>
      </c>
      <c r="C33" t="s">
        <v>41</v>
      </c>
      <c r="D33" t="s">
        <v>42</v>
      </c>
      <c r="E33" t="s">
        <v>119</v>
      </c>
      <c r="F33" t="s">
        <v>44</v>
      </c>
      <c r="G33">
        <v>11117</v>
      </c>
      <c r="H33">
        <v>45784</v>
      </c>
      <c r="I33">
        <v>45813</v>
      </c>
      <c r="J33">
        <v>37</v>
      </c>
      <c r="K33">
        <v>28</v>
      </c>
      <c r="L33">
        <f t="shared" si="0"/>
        <v>-9</v>
      </c>
      <c r="M33" t="str">
        <f t="shared" si="1"/>
        <v>Early</v>
      </c>
      <c r="N33">
        <v>16</v>
      </c>
      <c r="O33">
        <v>12</v>
      </c>
      <c r="P33">
        <f t="shared" si="2"/>
        <v>0.75</v>
      </c>
      <c r="Q33">
        <v>40</v>
      </c>
      <c r="R33">
        <v>397</v>
      </c>
      <c r="S33">
        <v>11117</v>
      </c>
      <c r="T33" t="s">
        <v>45</v>
      </c>
      <c r="U33">
        <v>0</v>
      </c>
      <c r="V33">
        <v>7</v>
      </c>
      <c r="W33">
        <v>2</v>
      </c>
      <c r="X33">
        <v>2</v>
      </c>
      <c r="Y33">
        <v>2.67</v>
      </c>
      <c r="Z33">
        <v>4.3</v>
      </c>
      <c r="AA33">
        <v>0.85</v>
      </c>
      <c r="AB33">
        <f t="shared" si="3"/>
        <v>5</v>
      </c>
      <c r="AC33">
        <f t="shared" si="4"/>
        <v>4.3899999999999997</v>
      </c>
      <c r="AD33" t="str">
        <f t="shared" si="5"/>
        <v>⭐⭐⭐⭐</v>
      </c>
      <c r="AE33" t="str">
        <f t="shared" si="6"/>
        <v>Maintain current resource allocation</v>
      </c>
      <c r="AF33" t="str">
        <f t="shared" si="7"/>
        <v>Recommended for medium-high orders</v>
      </c>
    </row>
    <row r="34" spans="1:32" ht="24" customHeight="1">
      <c r="A34" t="s">
        <v>120</v>
      </c>
      <c r="B34" t="s">
        <v>61</v>
      </c>
      <c r="C34" t="s">
        <v>62</v>
      </c>
      <c r="D34" t="s">
        <v>63</v>
      </c>
      <c r="E34" t="s">
        <v>121</v>
      </c>
      <c r="F34" t="s">
        <v>67</v>
      </c>
      <c r="G34">
        <v>44136</v>
      </c>
      <c r="H34">
        <v>45817</v>
      </c>
      <c r="I34">
        <v>45890</v>
      </c>
      <c r="J34">
        <v>70</v>
      </c>
      <c r="K34">
        <v>69</v>
      </c>
      <c r="L34">
        <f t="shared" si="0"/>
        <v>-1</v>
      </c>
      <c r="M34" t="str">
        <f t="shared" si="1"/>
        <v>Early</v>
      </c>
      <c r="N34">
        <v>11</v>
      </c>
      <c r="O34">
        <v>8</v>
      </c>
      <c r="P34">
        <f t="shared" si="2"/>
        <v>0.72727272727272729</v>
      </c>
      <c r="Q34">
        <v>33</v>
      </c>
      <c r="R34">
        <v>639.70000000000005</v>
      </c>
      <c r="S34">
        <v>45136</v>
      </c>
      <c r="T34" t="s">
        <v>45</v>
      </c>
      <c r="U34">
        <v>2</v>
      </c>
      <c r="V34">
        <v>5</v>
      </c>
      <c r="W34">
        <v>3</v>
      </c>
      <c r="X34">
        <v>2</v>
      </c>
      <c r="Y34">
        <v>3.38</v>
      </c>
      <c r="Z34">
        <v>4</v>
      </c>
      <c r="AA34">
        <v>0.8</v>
      </c>
      <c r="AB34">
        <f t="shared" si="3"/>
        <v>5</v>
      </c>
      <c r="AC34">
        <f t="shared" si="4"/>
        <v>4.22</v>
      </c>
      <c r="AD34" t="str">
        <f t="shared" si="5"/>
        <v>⭐⭐⭐⭐</v>
      </c>
      <c r="AE34" t="str">
        <f t="shared" si="6"/>
        <v>Maintain current resource allocation</v>
      </c>
      <c r="AF34" t="str">
        <f t="shared" si="7"/>
        <v>Recommended for medium-high orders</v>
      </c>
    </row>
    <row r="35" spans="1:32" ht="24" customHeight="1">
      <c r="A35" t="s">
        <v>122</v>
      </c>
      <c r="B35" t="s">
        <v>33</v>
      </c>
      <c r="C35" t="s">
        <v>34</v>
      </c>
      <c r="D35" t="s">
        <v>35</v>
      </c>
      <c r="E35" t="s">
        <v>123</v>
      </c>
      <c r="F35" t="s">
        <v>57</v>
      </c>
      <c r="G35">
        <v>16714</v>
      </c>
      <c r="H35">
        <v>45917</v>
      </c>
      <c r="I35">
        <v>45957</v>
      </c>
      <c r="J35">
        <v>30</v>
      </c>
      <c r="K35">
        <v>35</v>
      </c>
      <c r="L35">
        <f t="shared" si="0"/>
        <v>5</v>
      </c>
      <c r="M35" t="str">
        <f t="shared" si="1"/>
        <v>Delayed</v>
      </c>
      <c r="N35">
        <v>10</v>
      </c>
      <c r="O35">
        <v>7</v>
      </c>
      <c r="P35">
        <f t="shared" si="2"/>
        <v>0.7</v>
      </c>
      <c r="Q35">
        <v>47</v>
      </c>
      <c r="R35">
        <v>477.5</v>
      </c>
      <c r="S35">
        <v>18714</v>
      </c>
      <c r="T35" t="s">
        <v>38</v>
      </c>
      <c r="U35">
        <v>0</v>
      </c>
      <c r="V35">
        <v>8</v>
      </c>
      <c r="W35">
        <v>5</v>
      </c>
      <c r="X35">
        <v>5</v>
      </c>
      <c r="Y35">
        <v>2.71</v>
      </c>
      <c r="Z35">
        <v>4.2</v>
      </c>
      <c r="AA35">
        <v>0.83</v>
      </c>
      <c r="AB35">
        <f t="shared" si="3"/>
        <v>5</v>
      </c>
      <c r="AC35">
        <f t="shared" si="4"/>
        <v>4.1399999999999997</v>
      </c>
      <c r="AD35" t="str">
        <f t="shared" si="5"/>
        <v>⭐⭐⭐⭐</v>
      </c>
      <c r="AE35" t="str">
        <f t="shared" si="6"/>
        <v>Increase machine maintenance support</v>
      </c>
      <c r="AF35" t="str">
        <f t="shared" si="7"/>
        <v>Recommended for medium-high orders</v>
      </c>
    </row>
    <row r="36" spans="1:32" ht="24" customHeight="1">
      <c r="A36" t="s">
        <v>124</v>
      </c>
      <c r="B36" t="s">
        <v>53</v>
      </c>
      <c r="C36" t="s">
        <v>54</v>
      </c>
      <c r="D36" t="s">
        <v>55</v>
      </c>
      <c r="E36" t="s">
        <v>125</v>
      </c>
      <c r="F36" t="s">
        <v>57</v>
      </c>
      <c r="G36">
        <v>6729</v>
      </c>
      <c r="H36">
        <v>45795</v>
      </c>
      <c r="I36">
        <v>45817</v>
      </c>
      <c r="J36">
        <v>22</v>
      </c>
      <c r="K36">
        <v>20</v>
      </c>
      <c r="L36">
        <f t="shared" si="0"/>
        <v>-2</v>
      </c>
      <c r="M36" t="str">
        <f t="shared" si="1"/>
        <v>Early</v>
      </c>
      <c r="N36">
        <v>17</v>
      </c>
      <c r="O36">
        <v>14</v>
      </c>
      <c r="P36">
        <f t="shared" si="2"/>
        <v>0.82352941176470584</v>
      </c>
      <c r="Q36">
        <v>61</v>
      </c>
      <c r="R36">
        <v>336.4</v>
      </c>
      <c r="S36">
        <v>9729</v>
      </c>
      <c r="T36" t="s">
        <v>45</v>
      </c>
      <c r="U36">
        <v>3</v>
      </c>
      <c r="V36">
        <v>0</v>
      </c>
      <c r="W36">
        <v>0</v>
      </c>
      <c r="X36">
        <v>1</v>
      </c>
      <c r="Y36">
        <v>2.38</v>
      </c>
      <c r="Z36">
        <v>4.5</v>
      </c>
      <c r="AA36">
        <v>0.88</v>
      </c>
      <c r="AB36">
        <f t="shared" si="3"/>
        <v>5</v>
      </c>
      <c r="AC36">
        <f t="shared" si="4"/>
        <v>4.54</v>
      </c>
      <c r="AD36" t="str">
        <f t="shared" si="5"/>
        <v>⭐⭐⭐⭐⭐</v>
      </c>
      <c r="AE36" t="str">
        <f t="shared" si="6"/>
        <v>Maintain current resource allocation</v>
      </c>
      <c r="AF36" t="str">
        <f t="shared" si="7"/>
        <v>Best for urgent/high priority orders</v>
      </c>
    </row>
    <row r="37" spans="1:32" ht="24" customHeight="1">
      <c r="A37" t="s">
        <v>126</v>
      </c>
      <c r="B37" t="s">
        <v>61</v>
      </c>
      <c r="C37" t="s">
        <v>62</v>
      </c>
      <c r="D37" t="s">
        <v>63</v>
      </c>
      <c r="E37" t="s">
        <v>127</v>
      </c>
      <c r="F37" t="s">
        <v>37</v>
      </c>
      <c r="G37">
        <v>24771</v>
      </c>
      <c r="H37">
        <v>45832</v>
      </c>
      <c r="I37">
        <v>45866</v>
      </c>
      <c r="J37">
        <v>31</v>
      </c>
      <c r="K37">
        <v>32</v>
      </c>
      <c r="L37">
        <f t="shared" si="0"/>
        <v>1</v>
      </c>
      <c r="M37" t="str">
        <f t="shared" si="1"/>
        <v>Delayed</v>
      </c>
      <c r="N37">
        <v>14</v>
      </c>
      <c r="O37">
        <v>9</v>
      </c>
      <c r="P37">
        <f t="shared" si="2"/>
        <v>0.6428571428571429</v>
      </c>
      <c r="Q37">
        <v>36</v>
      </c>
      <c r="R37">
        <v>774.1</v>
      </c>
      <c r="S37">
        <v>26771</v>
      </c>
      <c r="T37" t="s">
        <v>45</v>
      </c>
      <c r="U37">
        <v>2</v>
      </c>
      <c r="V37">
        <v>8</v>
      </c>
      <c r="W37">
        <v>1</v>
      </c>
      <c r="X37">
        <v>2</v>
      </c>
      <c r="Y37">
        <v>3.75</v>
      </c>
      <c r="Z37">
        <v>4</v>
      </c>
      <c r="AA37">
        <v>0.8</v>
      </c>
      <c r="AB37">
        <f t="shared" si="3"/>
        <v>5</v>
      </c>
      <c r="AC37">
        <f t="shared" si="4"/>
        <v>4</v>
      </c>
      <c r="AD37" t="str">
        <f t="shared" si="5"/>
        <v>⭐⭐⭐⭐</v>
      </c>
      <c r="AE37" t="str">
        <f t="shared" si="6"/>
        <v>Increase daily output monitoring</v>
      </c>
      <c r="AF37" t="str">
        <f t="shared" si="7"/>
        <v>Recommended for medium-high orders</v>
      </c>
    </row>
    <row r="38" spans="1:32" ht="24" customHeight="1">
      <c r="A38" t="s">
        <v>128</v>
      </c>
      <c r="B38" t="s">
        <v>69</v>
      </c>
      <c r="C38" t="s">
        <v>70</v>
      </c>
      <c r="D38" t="s">
        <v>71</v>
      </c>
      <c r="E38" t="s">
        <v>129</v>
      </c>
      <c r="F38" t="s">
        <v>44</v>
      </c>
      <c r="G38">
        <v>18928</v>
      </c>
      <c r="H38">
        <v>45846</v>
      </c>
      <c r="I38">
        <v>45881</v>
      </c>
      <c r="J38">
        <v>30</v>
      </c>
      <c r="K38">
        <v>32</v>
      </c>
      <c r="L38">
        <f t="shared" si="0"/>
        <v>2</v>
      </c>
      <c r="M38" t="str">
        <f t="shared" si="1"/>
        <v>Delayed</v>
      </c>
      <c r="N38">
        <v>8</v>
      </c>
      <c r="O38">
        <v>5</v>
      </c>
      <c r="P38">
        <f t="shared" si="2"/>
        <v>0.625</v>
      </c>
      <c r="Q38">
        <v>34</v>
      </c>
      <c r="R38">
        <v>591.5</v>
      </c>
      <c r="S38">
        <v>21928</v>
      </c>
      <c r="T38" t="s">
        <v>38</v>
      </c>
      <c r="U38">
        <v>5</v>
      </c>
      <c r="V38">
        <v>9</v>
      </c>
      <c r="W38">
        <v>1</v>
      </c>
      <c r="X38">
        <v>2</v>
      </c>
      <c r="Y38">
        <v>3.43</v>
      </c>
      <c r="Z38">
        <v>3.8</v>
      </c>
      <c r="AA38">
        <v>0.78</v>
      </c>
      <c r="AB38">
        <f t="shared" si="3"/>
        <v>5</v>
      </c>
      <c r="AC38">
        <f t="shared" si="4"/>
        <v>3.9</v>
      </c>
      <c r="AD38" t="str">
        <f t="shared" si="5"/>
        <v>⭐⭐⭐</v>
      </c>
      <c r="AE38" t="str">
        <f t="shared" si="6"/>
        <v>Reduce risk days and add supervisor monitoring</v>
      </c>
      <c r="AF38" t="str">
        <f t="shared" si="7"/>
        <v>Use for normal priority orders</v>
      </c>
    </row>
    <row r="39" spans="1:32" ht="24" customHeight="1">
      <c r="A39" t="s">
        <v>130</v>
      </c>
      <c r="B39" t="s">
        <v>40</v>
      </c>
      <c r="C39" t="s">
        <v>41</v>
      </c>
      <c r="D39" t="s">
        <v>42</v>
      </c>
      <c r="E39" t="s">
        <v>131</v>
      </c>
      <c r="F39" t="s">
        <v>44</v>
      </c>
      <c r="G39">
        <v>12839</v>
      </c>
      <c r="H39">
        <v>45905</v>
      </c>
      <c r="I39">
        <v>45945</v>
      </c>
      <c r="J39">
        <v>35</v>
      </c>
      <c r="K39">
        <v>38</v>
      </c>
      <c r="L39">
        <f t="shared" si="0"/>
        <v>3</v>
      </c>
      <c r="M39" t="str">
        <f t="shared" si="1"/>
        <v>Delayed</v>
      </c>
      <c r="N39">
        <v>12</v>
      </c>
      <c r="O39">
        <v>10</v>
      </c>
      <c r="P39">
        <f t="shared" si="2"/>
        <v>0.83333333333333337</v>
      </c>
      <c r="Q39">
        <v>43</v>
      </c>
      <c r="R39">
        <v>337.9</v>
      </c>
      <c r="S39">
        <v>13839</v>
      </c>
      <c r="T39" t="s">
        <v>45</v>
      </c>
      <c r="U39">
        <v>1</v>
      </c>
      <c r="V39">
        <v>9</v>
      </c>
      <c r="W39">
        <v>2</v>
      </c>
      <c r="X39">
        <v>4</v>
      </c>
      <c r="Y39">
        <v>3.35</v>
      </c>
      <c r="Z39">
        <v>4.3</v>
      </c>
      <c r="AA39">
        <v>0.85</v>
      </c>
      <c r="AB39">
        <f t="shared" si="3"/>
        <v>5</v>
      </c>
      <c r="AC39">
        <f t="shared" si="4"/>
        <v>4.3</v>
      </c>
      <c r="AD39" t="str">
        <f t="shared" si="5"/>
        <v>⭐⭐⭐⭐</v>
      </c>
      <c r="AE39" t="str">
        <f t="shared" si="6"/>
        <v>Reduce risk days and add supervisor monitoring</v>
      </c>
      <c r="AF39" t="str">
        <f t="shared" si="7"/>
        <v>Recommended for medium-high orders</v>
      </c>
    </row>
    <row r="40" spans="1:32" ht="24" customHeight="1">
      <c r="A40" t="s">
        <v>132</v>
      </c>
      <c r="B40" t="s">
        <v>33</v>
      </c>
      <c r="C40" t="s">
        <v>34</v>
      </c>
      <c r="D40" t="s">
        <v>35</v>
      </c>
      <c r="E40" t="s">
        <v>133</v>
      </c>
      <c r="F40" t="s">
        <v>44</v>
      </c>
      <c r="G40">
        <v>8360</v>
      </c>
      <c r="H40">
        <v>45903</v>
      </c>
      <c r="I40">
        <v>45937</v>
      </c>
      <c r="J40">
        <v>20</v>
      </c>
      <c r="K40">
        <v>31</v>
      </c>
      <c r="L40">
        <f t="shared" si="0"/>
        <v>11</v>
      </c>
      <c r="M40" t="str">
        <f t="shared" si="1"/>
        <v>Delayed</v>
      </c>
      <c r="N40">
        <v>12</v>
      </c>
      <c r="O40">
        <v>9</v>
      </c>
      <c r="P40">
        <f t="shared" si="2"/>
        <v>0.75</v>
      </c>
      <c r="Q40">
        <v>49</v>
      </c>
      <c r="R40">
        <v>269.7</v>
      </c>
      <c r="S40">
        <v>8360</v>
      </c>
      <c r="T40" t="s">
        <v>38</v>
      </c>
      <c r="U40">
        <v>6</v>
      </c>
      <c r="V40">
        <v>8</v>
      </c>
      <c r="W40">
        <v>3</v>
      </c>
      <c r="X40">
        <v>2</v>
      </c>
      <c r="Y40">
        <v>3.57</v>
      </c>
      <c r="Z40">
        <v>4.2</v>
      </c>
      <c r="AA40">
        <v>0.83</v>
      </c>
      <c r="AB40">
        <f t="shared" si="3"/>
        <v>5</v>
      </c>
      <c r="AC40">
        <f t="shared" si="4"/>
        <v>4.18</v>
      </c>
      <c r="AD40" t="str">
        <f t="shared" si="5"/>
        <v>⭐⭐⭐⭐</v>
      </c>
      <c r="AE40" t="str">
        <f t="shared" si="6"/>
        <v>Increase daily output monitoring</v>
      </c>
      <c r="AF40" t="str">
        <f t="shared" si="7"/>
        <v>Recommended for medium-high orders</v>
      </c>
    </row>
    <row r="41" spans="1:32" ht="24" customHeight="1">
      <c r="A41" t="s">
        <v>134</v>
      </c>
      <c r="B41" t="s">
        <v>53</v>
      </c>
      <c r="C41" t="s">
        <v>54</v>
      </c>
      <c r="D41" t="s">
        <v>55</v>
      </c>
      <c r="E41" t="s">
        <v>135</v>
      </c>
      <c r="F41" t="s">
        <v>37</v>
      </c>
      <c r="G41">
        <v>25654</v>
      </c>
      <c r="H41">
        <v>45718</v>
      </c>
      <c r="I41">
        <v>45763</v>
      </c>
      <c r="J41">
        <v>41</v>
      </c>
      <c r="K41">
        <v>41</v>
      </c>
      <c r="L41">
        <f t="shared" si="0"/>
        <v>0</v>
      </c>
      <c r="M41" t="str">
        <f t="shared" si="1"/>
        <v>On Time</v>
      </c>
      <c r="N41">
        <v>15</v>
      </c>
      <c r="O41">
        <v>13</v>
      </c>
      <c r="P41">
        <f t="shared" si="2"/>
        <v>0.8666666666666667</v>
      </c>
      <c r="Q41">
        <v>53</v>
      </c>
      <c r="R41">
        <v>625.70000000000005</v>
      </c>
      <c r="S41">
        <v>25654</v>
      </c>
      <c r="T41" t="s">
        <v>45</v>
      </c>
      <c r="U41">
        <v>1</v>
      </c>
      <c r="V41">
        <v>4</v>
      </c>
      <c r="W41">
        <v>1</v>
      </c>
      <c r="X41">
        <v>2</v>
      </c>
      <c r="Y41">
        <v>2.94</v>
      </c>
      <c r="Z41">
        <v>4.5</v>
      </c>
      <c r="AA41">
        <v>0.88</v>
      </c>
      <c r="AB41">
        <f t="shared" si="3"/>
        <v>5</v>
      </c>
      <c r="AC41">
        <f t="shared" si="4"/>
        <v>4.53</v>
      </c>
      <c r="AD41" t="str">
        <f t="shared" si="5"/>
        <v>⭐⭐⭐⭐⭐</v>
      </c>
      <c r="AE41" t="str">
        <f t="shared" si="6"/>
        <v>Maintain current resource allocation</v>
      </c>
      <c r="AF41" t="str">
        <f t="shared" si="7"/>
        <v>Best for urgent/high priority orders</v>
      </c>
    </row>
    <row r="42" spans="1:32" ht="24" customHeight="1">
      <c r="A42" t="s">
        <v>136</v>
      </c>
      <c r="B42" t="s">
        <v>61</v>
      </c>
      <c r="C42" t="s">
        <v>62</v>
      </c>
      <c r="D42" t="s">
        <v>63</v>
      </c>
      <c r="E42" t="s">
        <v>137</v>
      </c>
      <c r="F42" t="s">
        <v>67</v>
      </c>
      <c r="G42">
        <v>52464</v>
      </c>
      <c r="H42">
        <v>45780</v>
      </c>
      <c r="I42">
        <v>45854</v>
      </c>
      <c r="J42">
        <v>69</v>
      </c>
      <c r="K42">
        <v>73</v>
      </c>
      <c r="L42">
        <f t="shared" si="0"/>
        <v>4</v>
      </c>
      <c r="M42" t="str">
        <f t="shared" si="1"/>
        <v>Delayed</v>
      </c>
      <c r="N42">
        <v>9</v>
      </c>
      <c r="O42">
        <v>6</v>
      </c>
      <c r="P42">
        <f t="shared" si="2"/>
        <v>0.66666666666666663</v>
      </c>
      <c r="Q42">
        <v>33</v>
      </c>
      <c r="R42">
        <v>718.7</v>
      </c>
      <c r="S42">
        <v>53464</v>
      </c>
      <c r="T42" t="s">
        <v>45</v>
      </c>
      <c r="U42">
        <v>1</v>
      </c>
      <c r="V42">
        <v>5</v>
      </c>
      <c r="W42">
        <v>5</v>
      </c>
      <c r="X42">
        <v>0</v>
      </c>
      <c r="Y42">
        <v>3.28</v>
      </c>
      <c r="Z42">
        <v>4</v>
      </c>
      <c r="AA42">
        <v>0.8</v>
      </c>
      <c r="AB42">
        <f t="shared" si="3"/>
        <v>5</v>
      </c>
      <c r="AC42">
        <f t="shared" si="4"/>
        <v>4.0199999999999996</v>
      </c>
      <c r="AD42" t="str">
        <f t="shared" si="5"/>
        <v>⭐⭐⭐⭐</v>
      </c>
      <c r="AE42" t="str">
        <f t="shared" si="6"/>
        <v>Increase machine maintenance support</v>
      </c>
      <c r="AF42" t="str">
        <f t="shared" si="7"/>
        <v>Recommended for medium-high orders</v>
      </c>
    </row>
    <row r="43" spans="1:32" ht="24" customHeight="1">
      <c r="A43" t="s">
        <v>138</v>
      </c>
      <c r="B43" t="s">
        <v>40</v>
      </c>
      <c r="C43" t="s">
        <v>41</v>
      </c>
      <c r="D43" t="s">
        <v>42</v>
      </c>
      <c r="E43" t="s">
        <v>139</v>
      </c>
      <c r="F43" t="s">
        <v>67</v>
      </c>
      <c r="G43">
        <v>53386</v>
      </c>
      <c r="H43">
        <v>45875</v>
      </c>
      <c r="I43">
        <v>45945</v>
      </c>
      <c r="J43">
        <v>69</v>
      </c>
      <c r="K43">
        <v>70</v>
      </c>
      <c r="L43">
        <f t="shared" si="0"/>
        <v>1</v>
      </c>
      <c r="M43" t="str">
        <f t="shared" si="1"/>
        <v>Delayed</v>
      </c>
      <c r="N43">
        <v>18</v>
      </c>
      <c r="O43">
        <v>13</v>
      </c>
      <c r="P43">
        <f t="shared" si="2"/>
        <v>0.72222222222222221</v>
      </c>
      <c r="Q43">
        <v>45</v>
      </c>
      <c r="R43">
        <v>762.7</v>
      </c>
      <c r="S43">
        <v>55386</v>
      </c>
      <c r="T43" t="s">
        <v>45</v>
      </c>
      <c r="U43">
        <v>1</v>
      </c>
      <c r="V43">
        <v>6</v>
      </c>
      <c r="W43">
        <v>2</v>
      </c>
      <c r="X43">
        <v>2</v>
      </c>
      <c r="Y43">
        <v>3.51</v>
      </c>
      <c r="Z43">
        <v>4.3</v>
      </c>
      <c r="AA43">
        <v>0.85</v>
      </c>
      <c r="AB43">
        <f t="shared" si="3"/>
        <v>5</v>
      </c>
      <c r="AC43">
        <f t="shared" si="4"/>
        <v>4.21</v>
      </c>
      <c r="AD43" t="str">
        <f t="shared" si="5"/>
        <v>⭐⭐⭐⭐</v>
      </c>
      <c r="AE43" t="str">
        <f t="shared" si="6"/>
        <v>Increase daily output monitoring</v>
      </c>
      <c r="AF43" t="str">
        <f t="shared" si="7"/>
        <v>Recommended for medium-high orders</v>
      </c>
    </row>
    <row r="44" spans="1:32" ht="24" customHeight="1">
      <c r="A44" t="s">
        <v>140</v>
      </c>
      <c r="B44" t="s">
        <v>40</v>
      </c>
      <c r="C44" t="s">
        <v>41</v>
      </c>
      <c r="D44" t="s">
        <v>42</v>
      </c>
      <c r="E44" t="s">
        <v>141</v>
      </c>
      <c r="F44" t="s">
        <v>67</v>
      </c>
      <c r="G44">
        <v>44660</v>
      </c>
      <c r="H44">
        <v>45879</v>
      </c>
      <c r="I44">
        <v>45945</v>
      </c>
      <c r="J44">
        <v>57</v>
      </c>
      <c r="K44">
        <v>61</v>
      </c>
      <c r="L44">
        <f t="shared" si="0"/>
        <v>4</v>
      </c>
      <c r="M44" t="str">
        <f t="shared" si="1"/>
        <v>Delayed</v>
      </c>
      <c r="N44">
        <v>17</v>
      </c>
      <c r="O44">
        <v>14</v>
      </c>
      <c r="P44">
        <f t="shared" si="2"/>
        <v>0.82352941176470584</v>
      </c>
      <c r="Q44">
        <v>54</v>
      </c>
      <c r="R44">
        <v>732.1</v>
      </c>
      <c r="S44">
        <v>48660</v>
      </c>
      <c r="T44" t="s">
        <v>38</v>
      </c>
      <c r="U44">
        <v>3</v>
      </c>
      <c r="V44">
        <v>9</v>
      </c>
      <c r="W44">
        <v>0</v>
      </c>
      <c r="X44">
        <v>0</v>
      </c>
      <c r="Y44">
        <v>2.59</v>
      </c>
      <c r="Z44">
        <v>4.3</v>
      </c>
      <c r="AA44">
        <v>0.85</v>
      </c>
      <c r="AB44">
        <f t="shared" si="3"/>
        <v>5</v>
      </c>
      <c r="AC44">
        <f t="shared" si="4"/>
        <v>4.29</v>
      </c>
      <c r="AD44" t="str">
        <f t="shared" si="5"/>
        <v>⭐⭐⭐⭐</v>
      </c>
      <c r="AE44" t="str">
        <f t="shared" si="6"/>
        <v>Reduce risk days and add supervisor monitoring</v>
      </c>
      <c r="AF44" t="str">
        <f t="shared" si="7"/>
        <v>Recommended for medium-high orders</v>
      </c>
    </row>
    <row r="45" spans="1:32" ht="24" customHeight="1">
      <c r="A45" t="s">
        <v>142</v>
      </c>
      <c r="B45" t="s">
        <v>53</v>
      </c>
      <c r="C45" t="s">
        <v>54</v>
      </c>
      <c r="D45" t="s">
        <v>55</v>
      </c>
      <c r="E45" t="s">
        <v>143</v>
      </c>
      <c r="F45" t="s">
        <v>44</v>
      </c>
      <c r="G45">
        <v>4992</v>
      </c>
      <c r="H45">
        <v>45800</v>
      </c>
      <c r="I45">
        <v>45830</v>
      </c>
      <c r="J45">
        <v>19</v>
      </c>
      <c r="K45">
        <v>29</v>
      </c>
      <c r="L45">
        <f t="shared" si="0"/>
        <v>10</v>
      </c>
      <c r="M45" t="str">
        <f t="shared" si="1"/>
        <v>Delayed</v>
      </c>
      <c r="N45">
        <v>17</v>
      </c>
      <c r="O45">
        <v>14</v>
      </c>
      <c r="P45">
        <f t="shared" si="2"/>
        <v>0.82352941176470584</v>
      </c>
      <c r="Q45">
        <v>49</v>
      </c>
      <c r="R45">
        <v>172.1</v>
      </c>
      <c r="S45">
        <v>7992</v>
      </c>
      <c r="T45" t="s">
        <v>45</v>
      </c>
      <c r="U45">
        <v>3</v>
      </c>
      <c r="V45">
        <v>5</v>
      </c>
      <c r="W45">
        <v>3</v>
      </c>
      <c r="X45">
        <v>0</v>
      </c>
      <c r="Y45">
        <v>2.5099999999999998</v>
      </c>
      <c r="Z45">
        <v>4.5</v>
      </c>
      <c r="AA45">
        <v>0.88</v>
      </c>
      <c r="AB45">
        <f t="shared" si="3"/>
        <v>5</v>
      </c>
      <c r="AC45">
        <f t="shared" si="4"/>
        <v>4.3899999999999997</v>
      </c>
      <c r="AD45" t="str">
        <f t="shared" si="5"/>
        <v>⭐⭐⭐⭐</v>
      </c>
      <c r="AE45" t="str">
        <f t="shared" si="6"/>
        <v>Increase daily output monitoring</v>
      </c>
      <c r="AF45" t="str">
        <f t="shared" si="7"/>
        <v>Recommended for medium-high orders</v>
      </c>
    </row>
    <row r="46" spans="1:32" ht="24" customHeight="1">
      <c r="A46" t="s">
        <v>144</v>
      </c>
      <c r="B46" t="s">
        <v>69</v>
      </c>
      <c r="C46" t="s">
        <v>70</v>
      </c>
      <c r="D46" t="s">
        <v>71</v>
      </c>
      <c r="E46" t="s">
        <v>145</v>
      </c>
      <c r="F46" t="s">
        <v>57</v>
      </c>
      <c r="G46">
        <v>6494</v>
      </c>
      <c r="H46">
        <v>45823</v>
      </c>
      <c r="I46">
        <v>45847</v>
      </c>
      <c r="J46">
        <v>23</v>
      </c>
      <c r="K46">
        <v>24</v>
      </c>
      <c r="L46">
        <f t="shared" si="0"/>
        <v>1</v>
      </c>
      <c r="M46" t="str">
        <f t="shared" si="1"/>
        <v>Delayed</v>
      </c>
      <c r="N46">
        <v>15</v>
      </c>
      <c r="O46">
        <v>10</v>
      </c>
      <c r="P46">
        <f t="shared" si="2"/>
        <v>0.66666666666666663</v>
      </c>
      <c r="Q46">
        <v>39</v>
      </c>
      <c r="R46">
        <v>270.60000000000002</v>
      </c>
      <c r="S46">
        <v>10494</v>
      </c>
      <c r="T46" t="s">
        <v>45</v>
      </c>
      <c r="U46">
        <v>0</v>
      </c>
      <c r="V46">
        <v>5</v>
      </c>
      <c r="W46">
        <v>5</v>
      </c>
      <c r="X46">
        <v>4</v>
      </c>
      <c r="Y46">
        <v>3.02</v>
      </c>
      <c r="Z46">
        <v>3.8</v>
      </c>
      <c r="AA46">
        <v>0.78</v>
      </c>
      <c r="AB46">
        <f t="shared" si="3"/>
        <v>5</v>
      </c>
      <c r="AC46">
        <f t="shared" si="4"/>
        <v>3.94</v>
      </c>
      <c r="AD46" t="str">
        <f t="shared" si="5"/>
        <v>⭐⭐⭐</v>
      </c>
      <c r="AE46" t="str">
        <f t="shared" si="6"/>
        <v>Increase machine maintenance support</v>
      </c>
      <c r="AF46" t="str">
        <f t="shared" si="7"/>
        <v>Use for normal priority orders</v>
      </c>
    </row>
    <row r="47" spans="1:32" ht="24" customHeight="1">
      <c r="A47" t="s">
        <v>146</v>
      </c>
      <c r="B47" t="s">
        <v>69</v>
      </c>
      <c r="C47" t="s">
        <v>70</v>
      </c>
      <c r="D47" t="s">
        <v>71</v>
      </c>
      <c r="E47" t="s">
        <v>147</v>
      </c>
      <c r="F47" t="s">
        <v>57</v>
      </c>
      <c r="G47">
        <v>18515</v>
      </c>
      <c r="H47">
        <v>45939</v>
      </c>
      <c r="I47">
        <v>45968</v>
      </c>
      <c r="J47">
        <v>24</v>
      </c>
      <c r="K47">
        <v>28</v>
      </c>
      <c r="L47">
        <f t="shared" si="0"/>
        <v>4</v>
      </c>
      <c r="M47" t="str">
        <f t="shared" si="1"/>
        <v>Delayed</v>
      </c>
      <c r="N47">
        <v>15</v>
      </c>
      <c r="O47">
        <v>11</v>
      </c>
      <c r="P47">
        <f t="shared" si="2"/>
        <v>0.73333333333333328</v>
      </c>
      <c r="Q47">
        <v>28</v>
      </c>
      <c r="R47">
        <v>661.2</v>
      </c>
      <c r="S47">
        <v>19515</v>
      </c>
      <c r="T47" t="s">
        <v>45</v>
      </c>
      <c r="U47">
        <v>2</v>
      </c>
      <c r="V47">
        <v>8</v>
      </c>
      <c r="W47">
        <v>1</v>
      </c>
      <c r="X47">
        <v>3</v>
      </c>
      <c r="Y47">
        <v>3.79</v>
      </c>
      <c r="Z47">
        <v>3.8</v>
      </c>
      <c r="AA47">
        <v>0.78</v>
      </c>
      <c r="AB47">
        <f t="shared" si="3"/>
        <v>5</v>
      </c>
      <c r="AC47">
        <f t="shared" si="4"/>
        <v>3.99</v>
      </c>
      <c r="AD47" t="str">
        <f t="shared" si="5"/>
        <v>⭐⭐⭐</v>
      </c>
      <c r="AE47" t="str">
        <f t="shared" si="6"/>
        <v>Increase daily output monitoring</v>
      </c>
      <c r="AF47" t="str">
        <f t="shared" si="7"/>
        <v>Use for normal priority orders</v>
      </c>
    </row>
    <row r="48" spans="1:32" ht="24" customHeight="1">
      <c r="A48" t="s">
        <v>148</v>
      </c>
      <c r="B48" t="s">
        <v>69</v>
      </c>
      <c r="C48" t="s">
        <v>70</v>
      </c>
      <c r="D48" t="s">
        <v>71</v>
      </c>
      <c r="E48" t="s">
        <v>149</v>
      </c>
      <c r="F48" t="s">
        <v>57</v>
      </c>
      <c r="G48">
        <v>6989</v>
      </c>
      <c r="H48">
        <v>45807</v>
      </c>
      <c r="I48">
        <v>45833</v>
      </c>
      <c r="J48">
        <v>16</v>
      </c>
      <c r="K48">
        <v>22</v>
      </c>
      <c r="L48">
        <f t="shared" si="0"/>
        <v>6</v>
      </c>
      <c r="M48" t="str">
        <f t="shared" si="1"/>
        <v>Delayed</v>
      </c>
      <c r="N48">
        <v>14</v>
      </c>
      <c r="O48">
        <v>9</v>
      </c>
      <c r="P48">
        <f t="shared" si="2"/>
        <v>0.6428571428571429</v>
      </c>
      <c r="Q48">
        <v>30</v>
      </c>
      <c r="R48">
        <v>317.7</v>
      </c>
      <c r="S48">
        <v>9989</v>
      </c>
      <c r="T48" t="s">
        <v>45</v>
      </c>
      <c r="U48">
        <v>0</v>
      </c>
      <c r="V48">
        <v>5</v>
      </c>
      <c r="W48">
        <v>2</v>
      </c>
      <c r="X48">
        <v>5</v>
      </c>
      <c r="Y48">
        <v>3.24</v>
      </c>
      <c r="Z48">
        <v>3.8</v>
      </c>
      <c r="AA48">
        <v>0.78</v>
      </c>
      <c r="AB48">
        <f t="shared" si="3"/>
        <v>5</v>
      </c>
      <c r="AC48">
        <f t="shared" si="4"/>
        <v>3.92</v>
      </c>
      <c r="AD48" t="str">
        <f t="shared" si="5"/>
        <v>⭐⭐⭐</v>
      </c>
      <c r="AE48" t="str">
        <f t="shared" si="6"/>
        <v>Improve workforce allocation</v>
      </c>
      <c r="AF48" t="str">
        <f t="shared" si="7"/>
        <v>Use for normal priority orders</v>
      </c>
    </row>
    <row r="49" spans="1:32" ht="24" customHeight="1">
      <c r="A49" t="s">
        <v>150</v>
      </c>
      <c r="B49" t="s">
        <v>33</v>
      </c>
      <c r="C49" t="s">
        <v>34</v>
      </c>
      <c r="D49" t="s">
        <v>35</v>
      </c>
      <c r="E49" t="s">
        <v>151</v>
      </c>
      <c r="F49" t="s">
        <v>57</v>
      </c>
      <c r="G49">
        <v>12736</v>
      </c>
      <c r="H49">
        <v>45917</v>
      </c>
      <c r="I49">
        <v>45949</v>
      </c>
      <c r="J49">
        <v>31</v>
      </c>
      <c r="K49">
        <v>30</v>
      </c>
      <c r="L49">
        <f t="shared" si="0"/>
        <v>-1</v>
      </c>
      <c r="M49" t="str">
        <f t="shared" si="1"/>
        <v>Early</v>
      </c>
      <c r="N49">
        <v>12</v>
      </c>
      <c r="O49">
        <v>10</v>
      </c>
      <c r="P49">
        <f t="shared" si="2"/>
        <v>0.83333333333333337</v>
      </c>
      <c r="Q49">
        <v>42</v>
      </c>
      <c r="R49">
        <v>424.5</v>
      </c>
      <c r="S49">
        <v>15736</v>
      </c>
      <c r="T49" t="s">
        <v>45</v>
      </c>
      <c r="U49">
        <v>2</v>
      </c>
      <c r="V49">
        <v>4</v>
      </c>
      <c r="W49">
        <v>3</v>
      </c>
      <c r="X49">
        <v>4</v>
      </c>
      <c r="Y49">
        <v>2.76</v>
      </c>
      <c r="Z49">
        <v>4.2</v>
      </c>
      <c r="AA49">
        <v>0.83</v>
      </c>
      <c r="AB49">
        <f t="shared" si="3"/>
        <v>5</v>
      </c>
      <c r="AC49">
        <f t="shared" si="4"/>
        <v>4.3899999999999997</v>
      </c>
      <c r="AD49" t="str">
        <f t="shared" si="5"/>
        <v>⭐⭐⭐⭐</v>
      </c>
      <c r="AE49" t="str">
        <f t="shared" si="6"/>
        <v>Maintain current resource allocation</v>
      </c>
      <c r="AF49" t="str">
        <f t="shared" si="7"/>
        <v>Recommended for medium-high orders</v>
      </c>
    </row>
    <row r="50" spans="1:32" ht="24" customHeight="1">
      <c r="A50" t="s">
        <v>152</v>
      </c>
      <c r="B50" t="s">
        <v>61</v>
      </c>
      <c r="C50" t="s">
        <v>62</v>
      </c>
      <c r="D50" t="s">
        <v>63</v>
      </c>
      <c r="E50" t="s">
        <v>153</v>
      </c>
      <c r="F50" t="s">
        <v>44</v>
      </c>
      <c r="G50">
        <v>18044</v>
      </c>
      <c r="H50">
        <v>45680</v>
      </c>
      <c r="I50">
        <v>45710</v>
      </c>
      <c r="J50">
        <v>28</v>
      </c>
      <c r="K50">
        <v>28</v>
      </c>
      <c r="L50">
        <f t="shared" si="0"/>
        <v>0</v>
      </c>
      <c r="M50" t="str">
        <f t="shared" si="1"/>
        <v>On Time</v>
      </c>
      <c r="N50">
        <v>14</v>
      </c>
      <c r="O50">
        <v>11</v>
      </c>
      <c r="P50">
        <f t="shared" si="2"/>
        <v>0.7857142857142857</v>
      </c>
      <c r="Q50">
        <v>37</v>
      </c>
      <c r="R50">
        <v>644.4</v>
      </c>
      <c r="S50">
        <v>22044</v>
      </c>
      <c r="T50" t="s">
        <v>45</v>
      </c>
      <c r="U50">
        <v>3</v>
      </c>
      <c r="V50">
        <v>4</v>
      </c>
      <c r="W50">
        <v>3</v>
      </c>
      <c r="X50">
        <v>3</v>
      </c>
      <c r="Y50">
        <v>3.38</v>
      </c>
      <c r="Z50">
        <v>4</v>
      </c>
      <c r="AA50">
        <v>0.8</v>
      </c>
      <c r="AB50">
        <f t="shared" si="3"/>
        <v>5</v>
      </c>
      <c r="AC50">
        <f t="shared" si="4"/>
        <v>4.22</v>
      </c>
      <c r="AD50" t="str">
        <f t="shared" si="5"/>
        <v>⭐⭐⭐⭐</v>
      </c>
      <c r="AE50" t="str">
        <f t="shared" si="6"/>
        <v>Maintain current resource allocation</v>
      </c>
      <c r="AF50" t="str">
        <f t="shared" si="7"/>
        <v>Recommended for medium-high orders</v>
      </c>
    </row>
    <row r="51" spans="1:32" ht="24" customHeight="1">
      <c r="A51" t="s">
        <v>154</v>
      </c>
      <c r="B51" t="s">
        <v>61</v>
      </c>
      <c r="C51" t="s">
        <v>62</v>
      </c>
      <c r="D51" t="s">
        <v>63</v>
      </c>
      <c r="E51" t="s">
        <v>155</v>
      </c>
      <c r="F51" t="s">
        <v>57</v>
      </c>
      <c r="G51">
        <v>15873</v>
      </c>
      <c r="H51">
        <v>45867</v>
      </c>
      <c r="I51">
        <v>45898</v>
      </c>
      <c r="J51">
        <v>28</v>
      </c>
      <c r="K51">
        <v>26</v>
      </c>
      <c r="L51">
        <f t="shared" si="0"/>
        <v>-2</v>
      </c>
      <c r="M51" t="str">
        <f t="shared" si="1"/>
        <v>Early</v>
      </c>
      <c r="N51">
        <v>16</v>
      </c>
      <c r="O51">
        <v>10</v>
      </c>
      <c r="P51">
        <f t="shared" si="2"/>
        <v>0.625</v>
      </c>
      <c r="Q51">
        <v>44</v>
      </c>
      <c r="R51">
        <v>610.5</v>
      </c>
      <c r="S51">
        <v>15873</v>
      </c>
      <c r="T51" t="s">
        <v>45</v>
      </c>
      <c r="U51">
        <v>1</v>
      </c>
      <c r="V51">
        <v>12</v>
      </c>
      <c r="W51">
        <v>5</v>
      </c>
      <c r="X51">
        <v>3</v>
      </c>
      <c r="Y51">
        <v>2.81</v>
      </c>
      <c r="Z51">
        <v>4</v>
      </c>
      <c r="AA51">
        <v>0.8</v>
      </c>
      <c r="AB51">
        <f t="shared" si="3"/>
        <v>5</v>
      </c>
      <c r="AC51">
        <f t="shared" si="4"/>
        <v>4.1399999999999997</v>
      </c>
      <c r="AD51" t="str">
        <f t="shared" si="5"/>
        <v>⭐⭐⭐⭐</v>
      </c>
      <c r="AE51" t="str">
        <f t="shared" si="6"/>
        <v>Maintain current resource allocation</v>
      </c>
      <c r="AF51" t="str">
        <f t="shared" si="7"/>
        <v>Recommended for medium-high orders</v>
      </c>
    </row>
    <row r="52" spans="1:32" ht="24" customHeight="1">
      <c r="A52" t="s">
        <v>156</v>
      </c>
      <c r="B52" t="s">
        <v>69</v>
      </c>
      <c r="C52" t="s">
        <v>70</v>
      </c>
      <c r="D52" t="s">
        <v>71</v>
      </c>
      <c r="E52" t="s">
        <v>157</v>
      </c>
      <c r="F52" t="s">
        <v>37</v>
      </c>
      <c r="G52">
        <v>18684</v>
      </c>
      <c r="H52">
        <v>45805</v>
      </c>
      <c r="I52">
        <v>45846</v>
      </c>
      <c r="J52">
        <v>34</v>
      </c>
      <c r="K52">
        <v>40</v>
      </c>
      <c r="L52">
        <f t="shared" si="0"/>
        <v>6</v>
      </c>
      <c r="M52" t="str">
        <f t="shared" si="1"/>
        <v>Delayed</v>
      </c>
      <c r="N52">
        <v>14</v>
      </c>
      <c r="O52">
        <v>11</v>
      </c>
      <c r="P52">
        <f t="shared" si="2"/>
        <v>0.7857142857142857</v>
      </c>
      <c r="Q52">
        <v>42</v>
      </c>
      <c r="R52">
        <v>467.1</v>
      </c>
      <c r="S52">
        <v>22684</v>
      </c>
      <c r="T52" t="s">
        <v>45</v>
      </c>
      <c r="U52">
        <v>0</v>
      </c>
      <c r="V52">
        <v>6</v>
      </c>
      <c r="W52">
        <v>3</v>
      </c>
      <c r="X52">
        <v>2</v>
      </c>
      <c r="Y52">
        <v>3.16</v>
      </c>
      <c r="Z52">
        <v>3.8</v>
      </c>
      <c r="AA52">
        <v>0.78</v>
      </c>
      <c r="AB52">
        <f t="shared" si="3"/>
        <v>5</v>
      </c>
      <c r="AC52">
        <f t="shared" si="4"/>
        <v>4.0199999999999996</v>
      </c>
      <c r="AD52" t="str">
        <f t="shared" si="5"/>
        <v>⭐⭐⭐⭐</v>
      </c>
      <c r="AE52" t="str">
        <f t="shared" si="6"/>
        <v>Increase daily output monitoring</v>
      </c>
      <c r="AF52" t="str">
        <f t="shared" si="7"/>
        <v>Recommended for medium-high orders</v>
      </c>
    </row>
    <row r="53" spans="1:32" ht="24" customHeight="1">
      <c r="A53" t="s">
        <v>158</v>
      </c>
      <c r="B53" t="s">
        <v>61</v>
      </c>
      <c r="C53" t="s">
        <v>62</v>
      </c>
      <c r="D53" t="s">
        <v>63</v>
      </c>
      <c r="E53" t="s">
        <v>159</v>
      </c>
      <c r="F53" t="s">
        <v>57</v>
      </c>
      <c r="G53">
        <v>17457</v>
      </c>
      <c r="H53">
        <v>45929</v>
      </c>
      <c r="I53">
        <v>45966</v>
      </c>
      <c r="J53">
        <v>27</v>
      </c>
      <c r="K53">
        <v>34</v>
      </c>
      <c r="L53">
        <f t="shared" si="0"/>
        <v>7</v>
      </c>
      <c r="M53" t="str">
        <f t="shared" si="1"/>
        <v>Delayed</v>
      </c>
      <c r="N53">
        <v>13</v>
      </c>
      <c r="O53">
        <v>9</v>
      </c>
      <c r="P53">
        <f t="shared" si="2"/>
        <v>0.69230769230769229</v>
      </c>
      <c r="Q53">
        <v>43</v>
      </c>
      <c r="R53">
        <v>513.4</v>
      </c>
      <c r="S53">
        <v>18457</v>
      </c>
      <c r="T53" t="s">
        <v>45</v>
      </c>
      <c r="U53">
        <v>1</v>
      </c>
      <c r="V53">
        <v>5</v>
      </c>
      <c r="W53">
        <v>2</v>
      </c>
      <c r="X53">
        <v>0</v>
      </c>
      <c r="Y53">
        <v>3.53</v>
      </c>
      <c r="Z53">
        <v>4</v>
      </c>
      <c r="AA53">
        <v>0.8</v>
      </c>
      <c r="AB53">
        <f t="shared" si="3"/>
        <v>5</v>
      </c>
      <c r="AC53">
        <f t="shared" si="4"/>
        <v>4.04</v>
      </c>
      <c r="AD53" t="str">
        <f t="shared" si="5"/>
        <v>⭐⭐⭐⭐</v>
      </c>
      <c r="AE53" t="str">
        <f t="shared" si="6"/>
        <v>Increase daily output monitoring</v>
      </c>
      <c r="AF53" t="str">
        <f t="shared" si="7"/>
        <v>Recommended for medium-high orders</v>
      </c>
    </row>
    <row r="54" spans="1:32" ht="24" customHeight="1">
      <c r="A54" t="s">
        <v>160</v>
      </c>
      <c r="B54" t="s">
        <v>40</v>
      </c>
      <c r="C54" t="s">
        <v>41</v>
      </c>
      <c r="D54" t="s">
        <v>42</v>
      </c>
      <c r="E54" t="s">
        <v>161</v>
      </c>
      <c r="F54" t="s">
        <v>67</v>
      </c>
      <c r="G54">
        <v>45736</v>
      </c>
      <c r="H54">
        <v>45896</v>
      </c>
      <c r="I54">
        <v>45957</v>
      </c>
      <c r="J54">
        <v>57</v>
      </c>
      <c r="K54">
        <v>59</v>
      </c>
      <c r="L54">
        <f t="shared" si="0"/>
        <v>2</v>
      </c>
      <c r="M54" t="str">
        <f t="shared" si="1"/>
        <v>Delayed</v>
      </c>
      <c r="N54">
        <v>14</v>
      </c>
      <c r="O54">
        <v>11</v>
      </c>
      <c r="P54">
        <f t="shared" si="2"/>
        <v>0.7857142857142857</v>
      </c>
      <c r="Q54">
        <v>46</v>
      </c>
      <c r="R54">
        <v>775.2</v>
      </c>
      <c r="S54">
        <v>48736</v>
      </c>
      <c r="T54" t="s">
        <v>45</v>
      </c>
      <c r="U54">
        <v>2</v>
      </c>
      <c r="V54">
        <v>1</v>
      </c>
      <c r="W54">
        <v>4</v>
      </c>
      <c r="X54">
        <v>0</v>
      </c>
      <c r="Y54">
        <v>2.67</v>
      </c>
      <c r="Z54">
        <v>4.3</v>
      </c>
      <c r="AA54">
        <v>0.85</v>
      </c>
      <c r="AB54">
        <f t="shared" si="3"/>
        <v>5</v>
      </c>
      <c r="AC54">
        <f t="shared" si="4"/>
        <v>4.26</v>
      </c>
      <c r="AD54" t="str">
        <f t="shared" si="5"/>
        <v>⭐⭐⭐⭐</v>
      </c>
      <c r="AE54" t="str">
        <f t="shared" si="6"/>
        <v>Increase machine maintenance support</v>
      </c>
      <c r="AF54" t="str">
        <f t="shared" si="7"/>
        <v>Recommended for medium-high orders</v>
      </c>
    </row>
    <row r="55" spans="1:32" ht="24" customHeight="1">
      <c r="A55" t="s">
        <v>162</v>
      </c>
      <c r="B55" t="s">
        <v>33</v>
      </c>
      <c r="C55" t="s">
        <v>34</v>
      </c>
      <c r="D55" t="s">
        <v>35</v>
      </c>
      <c r="E55" t="s">
        <v>163</v>
      </c>
      <c r="F55" t="s">
        <v>67</v>
      </c>
      <c r="G55">
        <v>54474</v>
      </c>
      <c r="H55">
        <v>45779</v>
      </c>
      <c r="I55">
        <v>45849</v>
      </c>
      <c r="J55">
        <v>66</v>
      </c>
      <c r="K55">
        <v>67</v>
      </c>
      <c r="L55">
        <f t="shared" si="0"/>
        <v>1</v>
      </c>
      <c r="M55" t="str">
        <f t="shared" si="1"/>
        <v>Delayed</v>
      </c>
      <c r="N55">
        <v>14</v>
      </c>
      <c r="O55">
        <v>10</v>
      </c>
      <c r="P55">
        <f t="shared" si="2"/>
        <v>0.7142857142857143</v>
      </c>
      <c r="Q55">
        <v>46</v>
      </c>
      <c r="R55">
        <v>813</v>
      </c>
      <c r="S55">
        <v>57474</v>
      </c>
      <c r="T55" t="s">
        <v>45</v>
      </c>
      <c r="U55">
        <v>0</v>
      </c>
      <c r="V55">
        <v>0</v>
      </c>
      <c r="W55">
        <v>1</v>
      </c>
      <c r="X55">
        <v>7</v>
      </c>
      <c r="Y55">
        <v>2.74</v>
      </c>
      <c r="Z55">
        <v>4.2</v>
      </c>
      <c r="AA55">
        <v>0.83</v>
      </c>
      <c r="AB55">
        <f t="shared" si="3"/>
        <v>5</v>
      </c>
      <c r="AC55">
        <f t="shared" si="4"/>
        <v>4.1500000000000004</v>
      </c>
      <c r="AD55" t="str">
        <f t="shared" si="5"/>
        <v>⭐⭐⭐⭐</v>
      </c>
      <c r="AE55" t="str">
        <f t="shared" si="6"/>
        <v>Improve workforce allocation</v>
      </c>
      <c r="AF55" t="str">
        <f t="shared" si="7"/>
        <v>Recommended for medium-high orders</v>
      </c>
    </row>
    <row r="56" spans="1:32" ht="24" customHeight="1">
      <c r="A56" t="s">
        <v>164</v>
      </c>
      <c r="B56" t="s">
        <v>33</v>
      </c>
      <c r="C56" t="s">
        <v>34</v>
      </c>
      <c r="D56" t="s">
        <v>35</v>
      </c>
      <c r="E56" t="s">
        <v>165</v>
      </c>
      <c r="F56" t="s">
        <v>44</v>
      </c>
      <c r="G56">
        <v>2718</v>
      </c>
      <c r="H56">
        <v>45983</v>
      </c>
      <c r="I56">
        <v>46011</v>
      </c>
      <c r="J56">
        <v>29</v>
      </c>
      <c r="K56">
        <v>27</v>
      </c>
      <c r="L56">
        <f t="shared" si="0"/>
        <v>-2</v>
      </c>
      <c r="M56" t="str">
        <f t="shared" si="1"/>
        <v>Early</v>
      </c>
      <c r="N56">
        <v>10</v>
      </c>
      <c r="O56">
        <v>8</v>
      </c>
      <c r="P56">
        <f t="shared" si="2"/>
        <v>0.8</v>
      </c>
      <c r="Q56">
        <v>49</v>
      </c>
      <c r="R56">
        <v>100.7</v>
      </c>
      <c r="S56">
        <v>4718</v>
      </c>
      <c r="T56" t="s">
        <v>45</v>
      </c>
      <c r="U56">
        <v>1</v>
      </c>
      <c r="V56">
        <v>5</v>
      </c>
      <c r="W56">
        <v>4</v>
      </c>
      <c r="X56">
        <v>1</v>
      </c>
      <c r="Y56">
        <v>2.87</v>
      </c>
      <c r="Z56">
        <v>4.2</v>
      </c>
      <c r="AA56">
        <v>0.83</v>
      </c>
      <c r="AB56">
        <f t="shared" si="3"/>
        <v>5</v>
      </c>
      <c r="AC56">
        <f t="shared" si="4"/>
        <v>4.37</v>
      </c>
      <c r="AD56" t="str">
        <f t="shared" si="5"/>
        <v>⭐⭐⭐⭐</v>
      </c>
      <c r="AE56" t="str">
        <f t="shared" si="6"/>
        <v>Maintain current resource allocation</v>
      </c>
      <c r="AF56" t="str">
        <f t="shared" si="7"/>
        <v>Recommended for medium-high orders</v>
      </c>
    </row>
    <row r="57" spans="1:32" ht="24" customHeight="1">
      <c r="A57" t="s">
        <v>166</v>
      </c>
      <c r="B57" t="s">
        <v>33</v>
      </c>
      <c r="C57" t="s">
        <v>34</v>
      </c>
      <c r="D57" t="s">
        <v>35</v>
      </c>
      <c r="E57" t="s">
        <v>167</v>
      </c>
      <c r="F57" t="s">
        <v>67</v>
      </c>
      <c r="G57">
        <v>41291</v>
      </c>
      <c r="H57">
        <v>45934</v>
      </c>
      <c r="I57">
        <v>46006</v>
      </c>
      <c r="J57">
        <v>64</v>
      </c>
      <c r="K57">
        <v>70</v>
      </c>
      <c r="L57">
        <f t="shared" si="0"/>
        <v>6</v>
      </c>
      <c r="M57" t="str">
        <f t="shared" si="1"/>
        <v>Delayed</v>
      </c>
      <c r="N57">
        <v>15</v>
      </c>
      <c r="O57">
        <v>12</v>
      </c>
      <c r="P57">
        <f t="shared" si="2"/>
        <v>0.8</v>
      </c>
      <c r="Q57">
        <v>39</v>
      </c>
      <c r="R57">
        <v>589.9</v>
      </c>
      <c r="S57">
        <v>42291</v>
      </c>
      <c r="T57" t="s">
        <v>45</v>
      </c>
      <c r="U57">
        <v>1</v>
      </c>
      <c r="V57">
        <v>4</v>
      </c>
      <c r="W57">
        <v>4</v>
      </c>
      <c r="X57">
        <v>3</v>
      </c>
      <c r="Y57">
        <v>3.93</v>
      </c>
      <c r="Z57">
        <v>4.2</v>
      </c>
      <c r="AA57">
        <v>0.83</v>
      </c>
      <c r="AB57">
        <f t="shared" si="3"/>
        <v>5</v>
      </c>
      <c r="AC57">
        <f t="shared" si="4"/>
        <v>4.22</v>
      </c>
      <c r="AD57" t="str">
        <f t="shared" si="5"/>
        <v>⭐⭐⭐⭐</v>
      </c>
      <c r="AE57" t="str">
        <f t="shared" si="6"/>
        <v>Increase machine maintenance support</v>
      </c>
      <c r="AF57" t="str">
        <f t="shared" si="7"/>
        <v>Recommended for medium-high orders</v>
      </c>
    </row>
    <row r="58" spans="1:32" ht="24" customHeight="1">
      <c r="A58" t="s">
        <v>168</v>
      </c>
      <c r="B58" t="s">
        <v>40</v>
      </c>
      <c r="C58" t="s">
        <v>41</v>
      </c>
      <c r="D58" t="s">
        <v>42</v>
      </c>
      <c r="E58" t="s">
        <v>169</v>
      </c>
      <c r="F58" t="s">
        <v>44</v>
      </c>
      <c r="G58">
        <v>10420</v>
      </c>
      <c r="H58">
        <v>45793</v>
      </c>
      <c r="I58">
        <v>45835</v>
      </c>
      <c r="J58">
        <v>39</v>
      </c>
      <c r="K58">
        <v>38</v>
      </c>
      <c r="L58">
        <f t="shared" si="0"/>
        <v>-1</v>
      </c>
      <c r="M58" t="str">
        <f t="shared" si="1"/>
        <v>Early</v>
      </c>
      <c r="N58">
        <v>12</v>
      </c>
      <c r="O58">
        <v>9</v>
      </c>
      <c r="P58">
        <f t="shared" si="2"/>
        <v>0.75</v>
      </c>
      <c r="Q58">
        <v>45</v>
      </c>
      <c r="R58">
        <v>274.2</v>
      </c>
      <c r="S58">
        <v>13420</v>
      </c>
      <c r="T58" t="s">
        <v>45</v>
      </c>
      <c r="U58">
        <v>2</v>
      </c>
      <c r="V58">
        <v>3</v>
      </c>
      <c r="W58">
        <v>5</v>
      </c>
      <c r="X58">
        <v>3</v>
      </c>
      <c r="Y58">
        <v>3.53</v>
      </c>
      <c r="Z58">
        <v>4.3</v>
      </c>
      <c r="AA58">
        <v>0.85</v>
      </c>
      <c r="AB58">
        <f t="shared" si="3"/>
        <v>5</v>
      </c>
      <c r="AC58">
        <f t="shared" si="4"/>
        <v>4.3899999999999997</v>
      </c>
      <c r="AD58" t="str">
        <f t="shared" si="5"/>
        <v>⭐⭐⭐⭐</v>
      </c>
      <c r="AE58" t="str">
        <f t="shared" si="6"/>
        <v>Maintain current resource allocation</v>
      </c>
      <c r="AF58" t="str">
        <f t="shared" si="7"/>
        <v>Recommended for medium-high orders</v>
      </c>
    </row>
    <row r="59" spans="1:32" ht="24" customHeight="1">
      <c r="A59" t="s">
        <v>170</v>
      </c>
      <c r="B59" t="s">
        <v>78</v>
      </c>
      <c r="C59" t="s">
        <v>79</v>
      </c>
      <c r="D59" t="s">
        <v>80</v>
      </c>
      <c r="E59" t="s">
        <v>171</v>
      </c>
      <c r="F59" t="s">
        <v>44</v>
      </c>
      <c r="G59">
        <v>14485</v>
      </c>
      <c r="H59">
        <v>45867</v>
      </c>
      <c r="I59">
        <v>45906</v>
      </c>
      <c r="J59">
        <v>35</v>
      </c>
      <c r="K59">
        <v>39</v>
      </c>
      <c r="L59">
        <f t="shared" si="0"/>
        <v>4</v>
      </c>
      <c r="M59" t="str">
        <f t="shared" si="1"/>
        <v>Delayed</v>
      </c>
      <c r="N59">
        <v>16</v>
      </c>
      <c r="O59">
        <v>14</v>
      </c>
      <c r="P59">
        <f t="shared" si="2"/>
        <v>0.875</v>
      </c>
      <c r="Q59">
        <v>64</v>
      </c>
      <c r="R59">
        <v>371.4</v>
      </c>
      <c r="S59">
        <v>16485</v>
      </c>
      <c r="T59" t="s">
        <v>38</v>
      </c>
      <c r="U59">
        <v>5</v>
      </c>
      <c r="V59">
        <v>6</v>
      </c>
      <c r="W59">
        <v>0</v>
      </c>
      <c r="X59">
        <v>1</v>
      </c>
      <c r="Y59">
        <v>2.76</v>
      </c>
      <c r="Z59">
        <v>4.8</v>
      </c>
      <c r="AA59">
        <v>0.92</v>
      </c>
      <c r="AB59">
        <f t="shared" si="3"/>
        <v>5</v>
      </c>
      <c r="AC59">
        <f t="shared" si="4"/>
        <v>4.57</v>
      </c>
      <c r="AD59" t="str">
        <f t="shared" si="5"/>
        <v>⭐⭐⭐⭐⭐</v>
      </c>
      <c r="AE59" t="str">
        <f t="shared" si="6"/>
        <v>Increase daily output monitoring</v>
      </c>
      <c r="AF59" t="str">
        <f t="shared" si="7"/>
        <v>Best for urgent/high priority orders</v>
      </c>
    </row>
    <row r="60" spans="1:32" ht="24" customHeight="1">
      <c r="A60" t="s">
        <v>172</v>
      </c>
      <c r="B60" t="s">
        <v>78</v>
      </c>
      <c r="C60" t="s">
        <v>79</v>
      </c>
      <c r="D60" t="s">
        <v>80</v>
      </c>
      <c r="E60" t="s">
        <v>173</v>
      </c>
      <c r="F60" t="s">
        <v>37</v>
      </c>
      <c r="G60">
        <v>26142</v>
      </c>
      <c r="H60">
        <v>45866</v>
      </c>
      <c r="I60">
        <v>45916</v>
      </c>
      <c r="J60">
        <v>41</v>
      </c>
      <c r="K60">
        <v>48</v>
      </c>
      <c r="L60">
        <f t="shared" si="0"/>
        <v>7</v>
      </c>
      <c r="M60" t="str">
        <f t="shared" si="1"/>
        <v>Delayed</v>
      </c>
      <c r="N60">
        <v>21</v>
      </c>
      <c r="O60">
        <v>18</v>
      </c>
      <c r="P60">
        <f t="shared" si="2"/>
        <v>0.8571428571428571</v>
      </c>
      <c r="Q60">
        <v>54</v>
      </c>
      <c r="R60">
        <v>544.6</v>
      </c>
      <c r="S60">
        <v>29142</v>
      </c>
      <c r="T60" t="s">
        <v>38</v>
      </c>
      <c r="U60">
        <v>5</v>
      </c>
      <c r="V60">
        <v>8</v>
      </c>
      <c r="W60">
        <v>1</v>
      </c>
      <c r="X60">
        <v>0</v>
      </c>
      <c r="Y60">
        <v>3.32</v>
      </c>
      <c r="Z60">
        <v>4.8</v>
      </c>
      <c r="AA60">
        <v>0.92</v>
      </c>
      <c r="AB60">
        <f t="shared" si="3"/>
        <v>5</v>
      </c>
      <c r="AC60">
        <f t="shared" si="4"/>
        <v>4.55</v>
      </c>
      <c r="AD60" t="str">
        <f t="shared" si="5"/>
        <v>⭐⭐⭐⭐⭐</v>
      </c>
      <c r="AE60" t="str">
        <f t="shared" si="6"/>
        <v>Increase daily output monitoring</v>
      </c>
      <c r="AF60" t="str">
        <f t="shared" si="7"/>
        <v>Best for urgent/high priority orders</v>
      </c>
    </row>
    <row r="61" spans="1:32" ht="24" customHeight="1">
      <c r="A61" t="s">
        <v>174</v>
      </c>
      <c r="B61" t="s">
        <v>78</v>
      </c>
      <c r="C61" t="s">
        <v>79</v>
      </c>
      <c r="D61" t="s">
        <v>80</v>
      </c>
      <c r="E61" t="s">
        <v>175</v>
      </c>
      <c r="F61" t="s">
        <v>44</v>
      </c>
      <c r="G61">
        <v>16528</v>
      </c>
      <c r="H61">
        <v>45890</v>
      </c>
      <c r="I61">
        <v>45927</v>
      </c>
      <c r="J61">
        <v>38</v>
      </c>
      <c r="K61">
        <v>37</v>
      </c>
      <c r="L61">
        <f t="shared" si="0"/>
        <v>-1</v>
      </c>
      <c r="M61" t="str">
        <f t="shared" si="1"/>
        <v>Early</v>
      </c>
      <c r="N61">
        <v>20</v>
      </c>
      <c r="O61">
        <v>16</v>
      </c>
      <c r="P61">
        <f t="shared" si="2"/>
        <v>0.8</v>
      </c>
      <c r="Q61">
        <v>58</v>
      </c>
      <c r="R61">
        <v>446.7</v>
      </c>
      <c r="S61">
        <v>17528</v>
      </c>
      <c r="T61" t="s">
        <v>45</v>
      </c>
      <c r="U61">
        <v>0</v>
      </c>
      <c r="V61">
        <v>4</v>
      </c>
      <c r="W61">
        <v>2</v>
      </c>
      <c r="X61">
        <v>0</v>
      </c>
      <c r="Y61">
        <v>2.38</v>
      </c>
      <c r="Z61">
        <v>4.8</v>
      </c>
      <c r="AA61">
        <v>0.92</v>
      </c>
      <c r="AB61">
        <f t="shared" si="3"/>
        <v>5</v>
      </c>
      <c r="AC61">
        <f t="shared" si="4"/>
        <v>4.66</v>
      </c>
      <c r="AD61" t="str">
        <f t="shared" si="5"/>
        <v>⭐⭐⭐⭐⭐</v>
      </c>
      <c r="AE61" t="str">
        <f t="shared" si="6"/>
        <v>Maintain current resource allocation</v>
      </c>
      <c r="AF61" t="str">
        <f t="shared" si="7"/>
        <v>Best for urgent/high priority orders</v>
      </c>
    </row>
    <row r="62" spans="1:32" ht="24" customHeight="1">
      <c r="A62" t="s">
        <v>176</v>
      </c>
      <c r="B62" t="s">
        <v>33</v>
      </c>
      <c r="C62" t="s">
        <v>34</v>
      </c>
      <c r="D62" t="s">
        <v>35</v>
      </c>
      <c r="E62" t="s">
        <v>177</v>
      </c>
      <c r="F62" t="s">
        <v>37</v>
      </c>
      <c r="G62">
        <v>20928</v>
      </c>
      <c r="H62">
        <v>45799</v>
      </c>
      <c r="I62">
        <v>45830</v>
      </c>
      <c r="J62">
        <v>31</v>
      </c>
      <c r="K62">
        <v>30</v>
      </c>
      <c r="L62">
        <f t="shared" si="0"/>
        <v>-1</v>
      </c>
      <c r="M62" t="str">
        <f t="shared" si="1"/>
        <v>Early</v>
      </c>
      <c r="N62">
        <v>13</v>
      </c>
      <c r="O62">
        <v>10</v>
      </c>
      <c r="P62">
        <f t="shared" si="2"/>
        <v>0.76923076923076927</v>
      </c>
      <c r="Q62">
        <v>41</v>
      </c>
      <c r="R62">
        <v>697.6</v>
      </c>
      <c r="S62">
        <v>22928</v>
      </c>
      <c r="T62" t="s">
        <v>45</v>
      </c>
      <c r="U62">
        <v>1</v>
      </c>
      <c r="V62">
        <v>6</v>
      </c>
      <c r="W62">
        <v>2</v>
      </c>
      <c r="X62">
        <v>4</v>
      </c>
      <c r="Y62">
        <v>3.35</v>
      </c>
      <c r="Z62">
        <v>4.2</v>
      </c>
      <c r="AA62">
        <v>0.83</v>
      </c>
      <c r="AB62">
        <f t="shared" si="3"/>
        <v>5</v>
      </c>
      <c r="AC62">
        <f t="shared" si="4"/>
        <v>4.34</v>
      </c>
      <c r="AD62" t="str">
        <f t="shared" si="5"/>
        <v>⭐⭐⭐⭐</v>
      </c>
      <c r="AE62" t="str">
        <f t="shared" si="6"/>
        <v>Maintain current resource allocation</v>
      </c>
      <c r="AF62" t="str">
        <f t="shared" si="7"/>
        <v>Recommended for medium-high orders</v>
      </c>
    </row>
    <row r="63" spans="1:32" ht="24" customHeight="1">
      <c r="A63" t="s">
        <v>178</v>
      </c>
      <c r="B63" t="s">
        <v>69</v>
      </c>
      <c r="C63" t="s">
        <v>70</v>
      </c>
      <c r="D63" t="s">
        <v>71</v>
      </c>
      <c r="E63" t="s">
        <v>179</v>
      </c>
      <c r="F63" t="s">
        <v>44</v>
      </c>
      <c r="G63">
        <v>5602</v>
      </c>
      <c r="H63">
        <v>45927</v>
      </c>
      <c r="I63">
        <v>45957</v>
      </c>
      <c r="J63">
        <v>26</v>
      </c>
      <c r="K63">
        <v>30</v>
      </c>
      <c r="L63">
        <f t="shared" si="0"/>
        <v>4</v>
      </c>
      <c r="M63" t="str">
        <f t="shared" si="1"/>
        <v>Delayed</v>
      </c>
      <c r="N63">
        <v>8</v>
      </c>
      <c r="O63">
        <v>5</v>
      </c>
      <c r="P63">
        <f t="shared" si="2"/>
        <v>0.625</v>
      </c>
      <c r="Q63">
        <v>28</v>
      </c>
      <c r="R63">
        <v>186.7</v>
      </c>
      <c r="S63">
        <v>6602</v>
      </c>
      <c r="T63" t="s">
        <v>45</v>
      </c>
      <c r="U63">
        <v>3</v>
      </c>
      <c r="V63">
        <v>3</v>
      </c>
      <c r="W63">
        <v>4</v>
      </c>
      <c r="X63">
        <v>5</v>
      </c>
      <c r="Y63">
        <v>2.82</v>
      </c>
      <c r="Z63">
        <v>3.8</v>
      </c>
      <c r="AA63">
        <v>0.78</v>
      </c>
      <c r="AB63">
        <f t="shared" si="3"/>
        <v>5</v>
      </c>
      <c r="AC63">
        <f t="shared" si="4"/>
        <v>3.9</v>
      </c>
      <c r="AD63" t="str">
        <f t="shared" si="5"/>
        <v>⭐⭐⭐</v>
      </c>
      <c r="AE63" t="str">
        <f t="shared" si="6"/>
        <v>Increase machine maintenance support</v>
      </c>
      <c r="AF63" t="str">
        <f t="shared" si="7"/>
        <v>Use for normal priority orders</v>
      </c>
    </row>
    <row r="64" spans="1:32" ht="24" customHeight="1">
      <c r="A64" t="s">
        <v>180</v>
      </c>
      <c r="B64" t="s">
        <v>61</v>
      </c>
      <c r="C64" t="s">
        <v>62</v>
      </c>
      <c r="D64" t="s">
        <v>63</v>
      </c>
      <c r="E64" t="s">
        <v>181</v>
      </c>
      <c r="F64" t="s">
        <v>57</v>
      </c>
      <c r="G64">
        <v>17747</v>
      </c>
      <c r="H64">
        <v>45713</v>
      </c>
      <c r="I64">
        <v>45753</v>
      </c>
      <c r="J64">
        <v>35</v>
      </c>
      <c r="K64">
        <v>37</v>
      </c>
      <c r="L64">
        <f t="shared" si="0"/>
        <v>2</v>
      </c>
      <c r="M64" t="str">
        <f t="shared" si="1"/>
        <v>Delayed</v>
      </c>
      <c r="N64">
        <v>13</v>
      </c>
      <c r="O64">
        <v>9</v>
      </c>
      <c r="P64">
        <f t="shared" si="2"/>
        <v>0.69230769230769229</v>
      </c>
      <c r="Q64">
        <v>30</v>
      </c>
      <c r="R64">
        <v>479.6</v>
      </c>
      <c r="S64">
        <v>17747</v>
      </c>
      <c r="T64" t="s">
        <v>45</v>
      </c>
      <c r="U64">
        <v>3</v>
      </c>
      <c r="V64">
        <v>9</v>
      </c>
      <c r="W64">
        <v>4</v>
      </c>
      <c r="X64">
        <v>3</v>
      </c>
      <c r="Y64">
        <v>3.57</v>
      </c>
      <c r="Z64">
        <v>4</v>
      </c>
      <c r="AA64">
        <v>0.8</v>
      </c>
      <c r="AB64">
        <f t="shared" si="3"/>
        <v>5</v>
      </c>
      <c r="AC64">
        <f t="shared" si="4"/>
        <v>4.04</v>
      </c>
      <c r="AD64" t="str">
        <f t="shared" si="5"/>
        <v>⭐⭐⭐⭐</v>
      </c>
      <c r="AE64" t="str">
        <f t="shared" si="6"/>
        <v>Reduce risk days and add supervisor monitoring</v>
      </c>
      <c r="AF64" t="str">
        <f t="shared" si="7"/>
        <v>Recommended for medium-high orders</v>
      </c>
    </row>
    <row r="65" spans="1:32" ht="24" customHeight="1">
      <c r="A65" t="s">
        <v>182</v>
      </c>
      <c r="B65" t="s">
        <v>33</v>
      </c>
      <c r="C65" t="s">
        <v>34</v>
      </c>
      <c r="D65" t="s">
        <v>35</v>
      </c>
      <c r="E65" t="s">
        <v>183</v>
      </c>
      <c r="F65" t="s">
        <v>57</v>
      </c>
      <c r="G65">
        <v>19733</v>
      </c>
      <c r="H65">
        <v>45916</v>
      </c>
      <c r="I65">
        <v>45946</v>
      </c>
      <c r="J65">
        <v>26</v>
      </c>
      <c r="K65">
        <v>26</v>
      </c>
      <c r="L65">
        <f t="shared" si="0"/>
        <v>0</v>
      </c>
      <c r="M65" t="str">
        <f t="shared" si="1"/>
        <v>On Time</v>
      </c>
      <c r="N65">
        <v>15</v>
      </c>
      <c r="O65">
        <v>11</v>
      </c>
      <c r="P65">
        <f t="shared" si="2"/>
        <v>0.73333333333333328</v>
      </c>
      <c r="Q65">
        <v>50</v>
      </c>
      <c r="R65">
        <v>759</v>
      </c>
      <c r="S65">
        <v>21733</v>
      </c>
      <c r="T65" t="s">
        <v>45</v>
      </c>
      <c r="U65">
        <v>3</v>
      </c>
      <c r="V65">
        <v>3</v>
      </c>
      <c r="W65">
        <v>3</v>
      </c>
      <c r="X65">
        <v>3</v>
      </c>
      <c r="Y65">
        <v>2.78</v>
      </c>
      <c r="Z65">
        <v>4.2</v>
      </c>
      <c r="AA65">
        <v>0.83</v>
      </c>
      <c r="AB65">
        <f t="shared" si="3"/>
        <v>5</v>
      </c>
      <c r="AC65">
        <f t="shared" si="4"/>
        <v>4.28</v>
      </c>
      <c r="AD65" t="str">
        <f t="shared" si="5"/>
        <v>⭐⭐⭐⭐</v>
      </c>
      <c r="AE65" t="str">
        <f t="shared" si="6"/>
        <v>Maintain current resource allocation</v>
      </c>
      <c r="AF65" t="str">
        <f t="shared" si="7"/>
        <v>Recommended for medium-high orders</v>
      </c>
    </row>
    <row r="66" spans="1:32" ht="24" customHeight="1">
      <c r="A66" t="s">
        <v>184</v>
      </c>
      <c r="B66" t="s">
        <v>40</v>
      </c>
      <c r="C66" t="s">
        <v>41</v>
      </c>
      <c r="D66" t="s">
        <v>42</v>
      </c>
      <c r="E66" t="s">
        <v>185</v>
      </c>
      <c r="F66" t="s">
        <v>37</v>
      </c>
      <c r="G66">
        <v>28066</v>
      </c>
      <c r="H66">
        <v>45900</v>
      </c>
      <c r="I66">
        <v>45943</v>
      </c>
      <c r="J66">
        <v>44</v>
      </c>
      <c r="K66">
        <v>43</v>
      </c>
      <c r="L66">
        <f t="shared" ref="L66:L129" si="8">K66-J66</f>
        <v>-1</v>
      </c>
      <c r="M66" t="str">
        <f t="shared" ref="M66:M129" si="9">IF(L66&gt;0,"Delayed",IF(L66&lt;0,"Early","On Time"))</f>
        <v>Early</v>
      </c>
      <c r="N66">
        <v>12</v>
      </c>
      <c r="O66">
        <v>9</v>
      </c>
      <c r="P66">
        <f t="shared" ref="P66:P129" si="10">O66/N66</f>
        <v>0.75</v>
      </c>
      <c r="Q66">
        <v>48</v>
      </c>
      <c r="R66">
        <v>652.70000000000005</v>
      </c>
      <c r="S66">
        <v>30066</v>
      </c>
      <c r="T66" t="s">
        <v>45</v>
      </c>
      <c r="U66">
        <v>2</v>
      </c>
      <c r="V66">
        <v>7</v>
      </c>
      <c r="W66">
        <v>1</v>
      </c>
      <c r="X66">
        <v>3</v>
      </c>
      <c r="Y66">
        <v>3.81</v>
      </c>
      <c r="Z66">
        <v>4.3</v>
      </c>
      <c r="AA66">
        <v>0.85</v>
      </c>
      <c r="AB66">
        <f t="shared" ref="AB66:AB129" si="11">MIN(5,MAX(1,(R66/MAX(1,Q66))*0.08 + (1-Y66/100)*2.2 + Z66*0.35 + AA66*2))</f>
        <v>5</v>
      </c>
      <c r="AC66">
        <f t="shared" ref="AC66:AC129" si="12">ROUND((0.3*Z66)+(0.25*(AA66*5))+(0.2*AB66)+(0.15*(P66*5))+(0.1*IF(M66="Delayed",3.2,IF(M66="On Time",4.3,4.7))),2)</f>
        <v>4.3899999999999997</v>
      </c>
      <c r="AD66" t="str">
        <f t="shared" ref="AD66:AD129" si="13">IF(AC66&gt;=4.5,"⭐⭐⭐⭐⭐",IF(AC66&gt;=4,"⭐⭐⭐⭐",IF(AC66&gt;=3.5,"⭐⭐⭐",IF(AC66&gt;=3,"⭐⭐","⭐"))))</f>
        <v>⭐⭐⭐⭐</v>
      </c>
      <c r="AE66" t="str">
        <f t="shared" ref="AE66:AE129" si="14">IF(M66="Delayed",IF(V66&gt;8,"Reduce risk days and add supervisor monitoring",IF(W66&gt;3,"Increase machine maintenance support",IF(X66&gt;3,"Improve workforce allocation","Increase daily output monitoring"))),IF(T66="Yes","Suitable for urgent style handling","Maintain current resource allocation"))</f>
        <v>Maintain current resource allocation</v>
      </c>
      <c r="AF66" t="str">
        <f t="shared" ref="AF66:AF129" si="15">IF(AC66&gt;=4.5,"Best for urgent/high priority orders",IF(AC66&gt;=4,"Recommended for medium-high orders",IF(AC66&gt;=3.5,"Use for normal priority orders","Use only with management support")))</f>
        <v>Recommended for medium-high orders</v>
      </c>
    </row>
    <row r="67" spans="1:32" ht="24" customHeight="1">
      <c r="A67" t="s">
        <v>186</v>
      </c>
      <c r="B67" t="s">
        <v>78</v>
      </c>
      <c r="C67" t="s">
        <v>79</v>
      </c>
      <c r="D67" t="s">
        <v>80</v>
      </c>
      <c r="E67" t="s">
        <v>187</v>
      </c>
      <c r="F67" t="s">
        <v>37</v>
      </c>
      <c r="G67">
        <v>24151</v>
      </c>
      <c r="H67">
        <v>45684</v>
      </c>
      <c r="I67">
        <v>45719</v>
      </c>
      <c r="J67">
        <v>27</v>
      </c>
      <c r="K67">
        <v>33</v>
      </c>
      <c r="L67">
        <f t="shared" si="8"/>
        <v>6</v>
      </c>
      <c r="M67" t="str">
        <f t="shared" si="9"/>
        <v>Delayed</v>
      </c>
      <c r="N67">
        <v>20</v>
      </c>
      <c r="O67">
        <v>18</v>
      </c>
      <c r="P67">
        <f t="shared" si="10"/>
        <v>0.9</v>
      </c>
      <c r="Q67">
        <v>63</v>
      </c>
      <c r="R67">
        <v>731.8</v>
      </c>
      <c r="S67">
        <v>26151</v>
      </c>
      <c r="T67" t="s">
        <v>45</v>
      </c>
      <c r="U67">
        <v>3</v>
      </c>
      <c r="V67">
        <v>1</v>
      </c>
      <c r="W67">
        <v>1</v>
      </c>
      <c r="X67">
        <v>2</v>
      </c>
      <c r="Y67">
        <v>3.31</v>
      </c>
      <c r="Z67">
        <v>4.8</v>
      </c>
      <c r="AA67">
        <v>0.92</v>
      </c>
      <c r="AB67">
        <f t="shared" si="11"/>
        <v>5</v>
      </c>
      <c r="AC67">
        <f t="shared" si="12"/>
        <v>4.59</v>
      </c>
      <c r="AD67" t="str">
        <f t="shared" si="13"/>
        <v>⭐⭐⭐⭐⭐</v>
      </c>
      <c r="AE67" t="str">
        <f t="shared" si="14"/>
        <v>Increase daily output monitoring</v>
      </c>
      <c r="AF67" t="str">
        <f t="shared" si="15"/>
        <v>Best for urgent/high priority orders</v>
      </c>
    </row>
    <row r="68" spans="1:32" ht="24" customHeight="1">
      <c r="A68" t="s">
        <v>188</v>
      </c>
      <c r="B68" t="s">
        <v>33</v>
      </c>
      <c r="C68" t="s">
        <v>34</v>
      </c>
      <c r="D68" t="s">
        <v>35</v>
      </c>
      <c r="E68" t="s">
        <v>189</v>
      </c>
      <c r="F68" t="s">
        <v>44</v>
      </c>
      <c r="G68">
        <v>18626</v>
      </c>
      <c r="H68">
        <v>45987</v>
      </c>
      <c r="I68">
        <v>46021</v>
      </c>
      <c r="J68">
        <v>30</v>
      </c>
      <c r="K68">
        <v>30</v>
      </c>
      <c r="L68">
        <f t="shared" si="8"/>
        <v>0</v>
      </c>
      <c r="M68" t="str">
        <f t="shared" si="9"/>
        <v>On Time</v>
      </c>
      <c r="N68">
        <v>14</v>
      </c>
      <c r="O68">
        <v>11</v>
      </c>
      <c r="P68">
        <f t="shared" si="10"/>
        <v>0.7857142857142857</v>
      </c>
      <c r="Q68">
        <v>47</v>
      </c>
      <c r="R68">
        <v>620.9</v>
      </c>
      <c r="S68">
        <v>22626</v>
      </c>
      <c r="T68" t="s">
        <v>38</v>
      </c>
      <c r="U68">
        <v>6</v>
      </c>
      <c r="V68">
        <v>3</v>
      </c>
      <c r="W68">
        <v>3</v>
      </c>
      <c r="X68">
        <v>4</v>
      </c>
      <c r="Y68">
        <v>3.46</v>
      </c>
      <c r="Z68">
        <v>4.2</v>
      </c>
      <c r="AA68">
        <v>0.83</v>
      </c>
      <c r="AB68">
        <f t="shared" si="11"/>
        <v>5</v>
      </c>
      <c r="AC68">
        <f t="shared" si="12"/>
        <v>4.32</v>
      </c>
      <c r="AD68" t="str">
        <f t="shared" si="13"/>
        <v>⭐⭐⭐⭐</v>
      </c>
      <c r="AE68" t="str">
        <f t="shared" si="14"/>
        <v>Suitable for urgent style handling</v>
      </c>
      <c r="AF68" t="str">
        <f t="shared" si="15"/>
        <v>Recommended for medium-high orders</v>
      </c>
    </row>
    <row r="69" spans="1:32" ht="24" customHeight="1">
      <c r="A69" t="s">
        <v>190</v>
      </c>
      <c r="B69" t="s">
        <v>78</v>
      </c>
      <c r="C69" t="s">
        <v>79</v>
      </c>
      <c r="D69" t="s">
        <v>80</v>
      </c>
      <c r="E69" t="s">
        <v>191</v>
      </c>
      <c r="F69" t="s">
        <v>44</v>
      </c>
      <c r="G69">
        <v>7911</v>
      </c>
      <c r="H69">
        <v>45850</v>
      </c>
      <c r="I69">
        <v>45878</v>
      </c>
      <c r="J69">
        <v>20</v>
      </c>
      <c r="K69">
        <v>25</v>
      </c>
      <c r="L69">
        <f t="shared" si="8"/>
        <v>5</v>
      </c>
      <c r="M69" t="str">
        <f t="shared" si="9"/>
        <v>Delayed</v>
      </c>
      <c r="N69">
        <v>21</v>
      </c>
      <c r="O69">
        <v>16</v>
      </c>
      <c r="P69">
        <f t="shared" si="10"/>
        <v>0.76190476190476186</v>
      </c>
      <c r="Q69">
        <v>50</v>
      </c>
      <c r="R69">
        <v>316.39999999999998</v>
      </c>
      <c r="S69">
        <v>7911</v>
      </c>
      <c r="T69" t="s">
        <v>45</v>
      </c>
      <c r="U69">
        <v>1</v>
      </c>
      <c r="V69">
        <v>0</v>
      </c>
      <c r="W69">
        <v>1</v>
      </c>
      <c r="X69">
        <v>3</v>
      </c>
      <c r="Y69">
        <v>2.93</v>
      </c>
      <c r="Z69">
        <v>4.8</v>
      </c>
      <c r="AA69">
        <v>0.92</v>
      </c>
      <c r="AB69">
        <f t="shared" si="11"/>
        <v>5</v>
      </c>
      <c r="AC69">
        <f t="shared" si="12"/>
        <v>4.4800000000000004</v>
      </c>
      <c r="AD69" t="str">
        <f t="shared" si="13"/>
        <v>⭐⭐⭐⭐</v>
      </c>
      <c r="AE69" t="str">
        <f t="shared" si="14"/>
        <v>Increase daily output monitoring</v>
      </c>
      <c r="AF69" t="str">
        <f t="shared" si="15"/>
        <v>Recommended for medium-high orders</v>
      </c>
    </row>
    <row r="70" spans="1:32" ht="24" customHeight="1">
      <c r="A70" t="s">
        <v>192</v>
      </c>
      <c r="B70" t="s">
        <v>40</v>
      </c>
      <c r="C70" t="s">
        <v>41</v>
      </c>
      <c r="D70" t="s">
        <v>42</v>
      </c>
      <c r="E70" t="s">
        <v>193</v>
      </c>
      <c r="F70" t="s">
        <v>67</v>
      </c>
      <c r="G70">
        <v>50211</v>
      </c>
      <c r="H70">
        <v>45797</v>
      </c>
      <c r="I70">
        <v>45865</v>
      </c>
      <c r="J70">
        <v>65</v>
      </c>
      <c r="K70">
        <v>67</v>
      </c>
      <c r="L70">
        <f t="shared" si="8"/>
        <v>2</v>
      </c>
      <c r="M70" t="str">
        <f t="shared" si="9"/>
        <v>Delayed</v>
      </c>
      <c r="N70">
        <v>11</v>
      </c>
      <c r="O70">
        <v>9</v>
      </c>
      <c r="P70">
        <f t="shared" si="10"/>
        <v>0.81818181818181823</v>
      </c>
      <c r="Q70">
        <v>46</v>
      </c>
      <c r="R70">
        <v>749.4</v>
      </c>
      <c r="S70">
        <v>53211</v>
      </c>
      <c r="T70" t="s">
        <v>45</v>
      </c>
      <c r="U70">
        <v>3</v>
      </c>
      <c r="V70">
        <v>4</v>
      </c>
      <c r="W70">
        <v>2</v>
      </c>
      <c r="X70">
        <v>3</v>
      </c>
      <c r="Y70">
        <v>2.67</v>
      </c>
      <c r="Z70">
        <v>4.3</v>
      </c>
      <c r="AA70">
        <v>0.85</v>
      </c>
      <c r="AB70">
        <f t="shared" si="11"/>
        <v>5</v>
      </c>
      <c r="AC70">
        <f t="shared" si="12"/>
        <v>4.29</v>
      </c>
      <c r="AD70" t="str">
        <f t="shared" si="13"/>
        <v>⭐⭐⭐⭐</v>
      </c>
      <c r="AE70" t="str">
        <f t="shared" si="14"/>
        <v>Increase daily output monitoring</v>
      </c>
      <c r="AF70" t="str">
        <f t="shared" si="15"/>
        <v>Recommended for medium-high orders</v>
      </c>
    </row>
    <row r="71" spans="1:32" ht="24" customHeight="1">
      <c r="A71" t="s">
        <v>194</v>
      </c>
      <c r="B71" t="s">
        <v>61</v>
      </c>
      <c r="C71" t="s">
        <v>62</v>
      </c>
      <c r="D71" t="s">
        <v>63</v>
      </c>
      <c r="E71" t="s">
        <v>195</v>
      </c>
      <c r="F71" t="s">
        <v>37</v>
      </c>
      <c r="G71">
        <v>24087</v>
      </c>
      <c r="H71">
        <v>45812</v>
      </c>
      <c r="I71">
        <v>45842</v>
      </c>
      <c r="J71">
        <v>27</v>
      </c>
      <c r="K71">
        <v>29</v>
      </c>
      <c r="L71">
        <f t="shared" si="8"/>
        <v>2</v>
      </c>
      <c r="M71" t="str">
        <f t="shared" si="9"/>
        <v>Delayed</v>
      </c>
      <c r="N71">
        <v>15</v>
      </c>
      <c r="O71">
        <v>12</v>
      </c>
      <c r="P71">
        <f t="shared" si="10"/>
        <v>0.8</v>
      </c>
      <c r="Q71">
        <v>31</v>
      </c>
      <c r="R71">
        <v>830.6</v>
      </c>
      <c r="S71">
        <v>24087</v>
      </c>
      <c r="T71" t="s">
        <v>45</v>
      </c>
      <c r="U71">
        <v>1</v>
      </c>
      <c r="V71">
        <v>7</v>
      </c>
      <c r="W71">
        <v>2</v>
      </c>
      <c r="X71">
        <v>1</v>
      </c>
      <c r="Y71">
        <v>3.18</v>
      </c>
      <c r="Z71">
        <v>4</v>
      </c>
      <c r="AA71">
        <v>0.8</v>
      </c>
      <c r="AB71">
        <f t="shared" si="11"/>
        <v>5</v>
      </c>
      <c r="AC71">
        <f t="shared" si="12"/>
        <v>4.12</v>
      </c>
      <c r="AD71" t="str">
        <f t="shared" si="13"/>
        <v>⭐⭐⭐⭐</v>
      </c>
      <c r="AE71" t="str">
        <f t="shared" si="14"/>
        <v>Increase daily output monitoring</v>
      </c>
      <c r="AF71" t="str">
        <f t="shared" si="15"/>
        <v>Recommended for medium-high orders</v>
      </c>
    </row>
    <row r="72" spans="1:32" ht="24" customHeight="1">
      <c r="A72" t="s">
        <v>196</v>
      </c>
      <c r="B72" t="s">
        <v>61</v>
      </c>
      <c r="C72" t="s">
        <v>62</v>
      </c>
      <c r="D72" t="s">
        <v>63</v>
      </c>
      <c r="E72" t="s">
        <v>197</v>
      </c>
      <c r="F72" t="s">
        <v>44</v>
      </c>
      <c r="G72">
        <v>12751</v>
      </c>
      <c r="H72">
        <v>45818</v>
      </c>
      <c r="I72">
        <v>45853</v>
      </c>
      <c r="J72">
        <v>27</v>
      </c>
      <c r="K72">
        <v>31</v>
      </c>
      <c r="L72">
        <f t="shared" si="8"/>
        <v>4</v>
      </c>
      <c r="M72" t="str">
        <f t="shared" si="9"/>
        <v>Delayed</v>
      </c>
      <c r="N72">
        <v>14</v>
      </c>
      <c r="O72">
        <v>9</v>
      </c>
      <c r="P72">
        <f t="shared" si="10"/>
        <v>0.6428571428571429</v>
      </c>
      <c r="Q72">
        <v>31</v>
      </c>
      <c r="R72">
        <v>411.3</v>
      </c>
      <c r="S72">
        <v>15751</v>
      </c>
      <c r="T72" t="s">
        <v>38</v>
      </c>
      <c r="U72">
        <v>0</v>
      </c>
      <c r="V72">
        <v>10</v>
      </c>
      <c r="W72">
        <v>2</v>
      </c>
      <c r="X72">
        <v>1</v>
      </c>
      <c r="Y72">
        <v>3.12</v>
      </c>
      <c r="Z72">
        <v>4</v>
      </c>
      <c r="AA72">
        <v>0.8</v>
      </c>
      <c r="AB72">
        <f t="shared" si="11"/>
        <v>5</v>
      </c>
      <c r="AC72">
        <f t="shared" si="12"/>
        <v>4</v>
      </c>
      <c r="AD72" t="str">
        <f t="shared" si="13"/>
        <v>⭐⭐⭐⭐</v>
      </c>
      <c r="AE72" t="str">
        <f t="shared" si="14"/>
        <v>Reduce risk days and add supervisor monitoring</v>
      </c>
      <c r="AF72" t="str">
        <f t="shared" si="15"/>
        <v>Recommended for medium-high orders</v>
      </c>
    </row>
    <row r="73" spans="1:32" ht="24" customHeight="1">
      <c r="A73" t="s">
        <v>198</v>
      </c>
      <c r="B73" t="s">
        <v>40</v>
      </c>
      <c r="C73" t="s">
        <v>41</v>
      </c>
      <c r="D73" t="s">
        <v>42</v>
      </c>
      <c r="E73" t="s">
        <v>199</v>
      </c>
      <c r="F73" t="s">
        <v>57</v>
      </c>
      <c r="G73">
        <v>9743</v>
      </c>
      <c r="H73">
        <v>45959</v>
      </c>
      <c r="I73">
        <v>45983</v>
      </c>
      <c r="J73">
        <v>17</v>
      </c>
      <c r="K73">
        <v>21</v>
      </c>
      <c r="L73">
        <f t="shared" si="8"/>
        <v>4</v>
      </c>
      <c r="M73" t="str">
        <f t="shared" si="9"/>
        <v>Delayed</v>
      </c>
      <c r="N73">
        <v>16</v>
      </c>
      <c r="O73">
        <v>11</v>
      </c>
      <c r="P73">
        <f t="shared" si="10"/>
        <v>0.6875</v>
      </c>
      <c r="Q73">
        <v>41</v>
      </c>
      <c r="R73">
        <v>464</v>
      </c>
      <c r="S73">
        <v>10743</v>
      </c>
      <c r="T73" t="s">
        <v>45</v>
      </c>
      <c r="U73">
        <v>3</v>
      </c>
      <c r="V73">
        <v>5</v>
      </c>
      <c r="W73">
        <v>3</v>
      </c>
      <c r="X73">
        <v>2</v>
      </c>
      <c r="Y73">
        <v>2.99</v>
      </c>
      <c r="Z73">
        <v>4.3</v>
      </c>
      <c r="AA73">
        <v>0.85</v>
      </c>
      <c r="AB73">
        <f t="shared" si="11"/>
        <v>5</v>
      </c>
      <c r="AC73">
        <f t="shared" si="12"/>
        <v>4.1900000000000004</v>
      </c>
      <c r="AD73" t="str">
        <f t="shared" si="13"/>
        <v>⭐⭐⭐⭐</v>
      </c>
      <c r="AE73" t="str">
        <f t="shared" si="14"/>
        <v>Increase daily output monitoring</v>
      </c>
      <c r="AF73" t="str">
        <f t="shared" si="15"/>
        <v>Recommended for medium-high orders</v>
      </c>
    </row>
    <row r="74" spans="1:32" ht="24" customHeight="1">
      <c r="A74" t="s">
        <v>200</v>
      </c>
      <c r="B74" t="s">
        <v>40</v>
      </c>
      <c r="C74" t="s">
        <v>41</v>
      </c>
      <c r="D74" t="s">
        <v>42</v>
      </c>
      <c r="E74" t="s">
        <v>201</v>
      </c>
      <c r="F74" t="s">
        <v>57</v>
      </c>
      <c r="G74">
        <v>17219</v>
      </c>
      <c r="H74">
        <v>45966</v>
      </c>
      <c r="I74">
        <v>46005</v>
      </c>
      <c r="J74">
        <v>34</v>
      </c>
      <c r="K74">
        <v>38</v>
      </c>
      <c r="L74">
        <f t="shared" si="8"/>
        <v>4</v>
      </c>
      <c r="M74" t="str">
        <f t="shared" si="9"/>
        <v>Delayed</v>
      </c>
      <c r="N74">
        <v>16</v>
      </c>
      <c r="O74">
        <v>13</v>
      </c>
      <c r="P74">
        <f t="shared" si="10"/>
        <v>0.8125</v>
      </c>
      <c r="Q74">
        <v>42</v>
      </c>
      <c r="R74">
        <v>453.1</v>
      </c>
      <c r="S74">
        <v>18219</v>
      </c>
      <c r="T74" t="s">
        <v>38</v>
      </c>
      <c r="U74">
        <v>0</v>
      </c>
      <c r="V74">
        <v>6</v>
      </c>
      <c r="W74">
        <v>2</v>
      </c>
      <c r="X74">
        <v>1</v>
      </c>
      <c r="Y74">
        <v>3.33</v>
      </c>
      <c r="Z74">
        <v>4.3</v>
      </c>
      <c r="AA74">
        <v>0.85</v>
      </c>
      <c r="AB74">
        <f t="shared" si="11"/>
        <v>5</v>
      </c>
      <c r="AC74">
        <f t="shared" si="12"/>
        <v>4.28</v>
      </c>
      <c r="AD74" t="str">
        <f t="shared" si="13"/>
        <v>⭐⭐⭐⭐</v>
      </c>
      <c r="AE74" t="str">
        <f t="shared" si="14"/>
        <v>Increase daily output monitoring</v>
      </c>
      <c r="AF74" t="str">
        <f t="shared" si="15"/>
        <v>Recommended for medium-high orders</v>
      </c>
    </row>
    <row r="75" spans="1:32" ht="24" customHeight="1">
      <c r="A75" t="s">
        <v>202</v>
      </c>
      <c r="B75" t="s">
        <v>61</v>
      </c>
      <c r="C75" t="s">
        <v>62</v>
      </c>
      <c r="D75" t="s">
        <v>63</v>
      </c>
      <c r="E75" t="s">
        <v>203</v>
      </c>
      <c r="F75" t="s">
        <v>37</v>
      </c>
      <c r="G75">
        <v>26191</v>
      </c>
      <c r="H75">
        <v>45692</v>
      </c>
      <c r="I75">
        <v>45752</v>
      </c>
      <c r="J75">
        <v>52</v>
      </c>
      <c r="K75">
        <v>57</v>
      </c>
      <c r="L75">
        <f t="shared" si="8"/>
        <v>5</v>
      </c>
      <c r="M75" t="str">
        <f t="shared" si="9"/>
        <v>Delayed</v>
      </c>
      <c r="N75">
        <v>14</v>
      </c>
      <c r="O75">
        <v>11</v>
      </c>
      <c r="P75">
        <f t="shared" si="10"/>
        <v>0.7857142857142857</v>
      </c>
      <c r="Q75">
        <v>40</v>
      </c>
      <c r="R75">
        <v>459.5</v>
      </c>
      <c r="S75">
        <v>27191</v>
      </c>
      <c r="T75" t="s">
        <v>45</v>
      </c>
      <c r="U75">
        <v>3</v>
      </c>
      <c r="V75">
        <v>8</v>
      </c>
      <c r="W75">
        <v>3</v>
      </c>
      <c r="X75">
        <v>1</v>
      </c>
      <c r="Y75">
        <v>3.03</v>
      </c>
      <c r="Z75">
        <v>4</v>
      </c>
      <c r="AA75">
        <v>0.8</v>
      </c>
      <c r="AB75">
        <f t="shared" si="11"/>
        <v>5</v>
      </c>
      <c r="AC75">
        <f t="shared" si="12"/>
        <v>4.1100000000000003</v>
      </c>
      <c r="AD75" t="str">
        <f t="shared" si="13"/>
        <v>⭐⭐⭐⭐</v>
      </c>
      <c r="AE75" t="str">
        <f t="shared" si="14"/>
        <v>Increase daily output monitoring</v>
      </c>
      <c r="AF75" t="str">
        <f t="shared" si="15"/>
        <v>Recommended for medium-high orders</v>
      </c>
    </row>
    <row r="76" spans="1:32" ht="24" customHeight="1">
      <c r="A76" t="s">
        <v>204</v>
      </c>
      <c r="B76" t="s">
        <v>40</v>
      </c>
      <c r="C76" t="s">
        <v>41</v>
      </c>
      <c r="D76" t="s">
        <v>42</v>
      </c>
      <c r="E76" t="s">
        <v>205</v>
      </c>
      <c r="F76" t="s">
        <v>44</v>
      </c>
      <c r="G76">
        <v>3840</v>
      </c>
      <c r="H76">
        <v>45679</v>
      </c>
      <c r="I76">
        <v>45706</v>
      </c>
      <c r="J76">
        <v>21</v>
      </c>
      <c r="K76">
        <v>24</v>
      </c>
      <c r="L76">
        <f t="shared" si="8"/>
        <v>3</v>
      </c>
      <c r="M76" t="str">
        <f t="shared" si="9"/>
        <v>Delayed</v>
      </c>
      <c r="N76">
        <v>12</v>
      </c>
      <c r="O76">
        <v>10</v>
      </c>
      <c r="P76">
        <f t="shared" si="10"/>
        <v>0.83333333333333337</v>
      </c>
      <c r="Q76">
        <v>40</v>
      </c>
      <c r="R76">
        <v>160</v>
      </c>
      <c r="S76">
        <v>7840</v>
      </c>
      <c r="T76" t="s">
        <v>45</v>
      </c>
      <c r="U76">
        <v>3</v>
      </c>
      <c r="V76">
        <v>4</v>
      </c>
      <c r="W76">
        <v>4</v>
      </c>
      <c r="X76">
        <v>6</v>
      </c>
      <c r="Y76">
        <v>2.59</v>
      </c>
      <c r="Z76">
        <v>4.3</v>
      </c>
      <c r="AA76">
        <v>0.85</v>
      </c>
      <c r="AB76">
        <f t="shared" si="11"/>
        <v>5</v>
      </c>
      <c r="AC76">
        <f t="shared" si="12"/>
        <v>4.3</v>
      </c>
      <c r="AD76" t="str">
        <f t="shared" si="13"/>
        <v>⭐⭐⭐⭐</v>
      </c>
      <c r="AE76" t="str">
        <f t="shared" si="14"/>
        <v>Increase machine maintenance support</v>
      </c>
      <c r="AF76" t="str">
        <f t="shared" si="15"/>
        <v>Recommended for medium-high orders</v>
      </c>
    </row>
    <row r="77" spans="1:32" ht="24" customHeight="1">
      <c r="A77" t="s">
        <v>206</v>
      </c>
      <c r="B77" t="s">
        <v>69</v>
      </c>
      <c r="C77" t="s">
        <v>70</v>
      </c>
      <c r="D77" t="s">
        <v>71</v>
      </c>
      <c r="E77" t="s">
        <v>207</v>
      </c>
      <c r="F77" t="s">
        <v>67</v>
      </c>
      <c r="G77">
        <v>59824</v>
      </c>
      <c r="H77">
        <v>45882</v>
      </c>
      <c r="I77">
        <v>45960</v>
      </c>
      <c r="J77">
        <v>70</v>
      </c>
      <c r="K77">
        <v>75</v>
      </c>
      <c r="L77">
        <f t="shared" si="8"/>
        <v>5</v>
      </c>
      <c r="M77" t="str">
        <f t="shared" si="9"/>
        <v>Delayed</v>
      </c>
      <c r="N77">
        <v>9</v>
      </c>
      <c r="O77">
        <v>6</v>
      </c>
      <c r="P77">
        <f t="shared" si="10"/>
        <v>0.66666666666666663</v>
      </c>
      <c r="Q77">
        <v>32</v>
      </c>
      <c r="R77">
        <v>797.7</v>
      </c>
      <c r="S77">
        <v>59824</v>
      </c>
      <c r="T77" t="s">
        <v>45</v>
      </c>
      <c r="U77">
        <v>1</v>
      </c>
      <c r="V77">
        <v>8</v>
      </c>
      <c r="W77">
        <v>4</v>
      </c>
      <c r="X77">
        <v>3</v>
      </c>
      <c r="Y77">
        <v>2.6</v>
      </c>
      <c r="Z77">
        <v>3.8</v>
      </c>
      <c r="AA77">
        <v>0.78</v>
      </c>
      <c r="AB77">
        <f t="shared" si="11"/>
        <v>5</v>
      </c>
      <c r="AC77">
        <f t="shared" si="12"/>
        <v>3.94</v>
      </c>
      <c r="AD77" t="str">
        <f t="shared" si="13"/>
        <v>⭐⭐⭐</v>
      </c>
      <c r="AE77" t="str">
        <f t="shared" si="14"/>
        <v>Increase machine maintenance support</v>
      </c>
      <c r="AF77" t="str">
        <f t="shared" si="15"/>
        <v>Use for normal priority orders</v>
      </c>
    </row>
    <row r="78" spans="1:32" ht="24" customHeight="1">
      <c r="A78" t="s">
        <v>208</v>
      </c>
      <c r="B78" t="s">
        <v>40</v>
      </c>
      <c r="C78" t="s">
        <v>41</v>
      </c>
      <c r="D78" t="s">
        <v>42</v>
      </c>
      <c r="E78" t="s">
        <v>209</v>
      </c>
      <c r="F78" t="s">
        <v>67</v>
      </c>
      <c r="G78">
        <v>52217</v>
      </c>
      <c r="H78">
        <v>45966</v>
      </c>
      <c r="I78">
        <v>46034</v>
      </c>
      <c r="J78">
        <v>64</v>
      </c>
      <c r="K78">
        <v>67</v>
      </c>
      <c r="L78">
        <f t="shared" si="8"/>
        <v>3</v>
      </c>
      <c r="M78" t="str">
        <f t="shared" si="9"/>
        <v>Delayed</v>
      </c>
      <c r="N78">
        <v>16</v>
      </c>
      <c r="O78">
        <v>11</v>
      </c>
      <c r="P78">
        <f t="shared" si="10"/>
        <v>0.6875</v>
      </c>
      <c r="Q78">
        <v>41</v>
      </c>
      <c r="R78">
        <v>779.4</v>
      </c>
      <c r="S78">
        <v>56217</v>
      </c>
      <c r="T78" t="s">
        <v>45</v>
      </c>
      <c r="U78">
        <v>3</v>
      </c>
      <c r="V78">
        <v>5</v>
      </c>
      <c r="W78">
        <v>0</v>
      </c>
      <c r="X78">
        <v>5</v>
      </c>
      <c r="Y78">
        <v>3</v>
      </c>
      <c r="Z78">
        <v>4.3</v>
      </c>
      <c r="AA78">
        <v>0.85</v>
      </c>
      <c r="AB78">
        <f t="shared" si="11"/>
        <v>5</v>
      </c>
      <c r="AC78">
        <f t="shared" si="12"/>
        <v>4.1900000000000004</v>
      </c>
      <c r="AD78" t="str">
        <f t="shared" si="13"/>
        <v>⭐⭐⭐⭐</v>
      </c>
      <c r="AE78" t="str">
        <f t="shared" si="14"/>
        <v>Improve workforce allocation</v>
      </c>
      <c r="AF78" t="str">
        <f t="shared" si="15"/>
        <v>Recommended for medium-high orders</v>
      </c>
    </row>
    <row r="79" spans="1:32" ht="24" customHeight="1">
      <c r="A79" t="s">
        <v>210</v>
      </c>
      <c r="B79" t="s">
        <v>53</v>
      </c>
      <c r="C79" t="s">
        <v>54</v>
      </c>
      <c r="D79" t="s">
        <v>55</v>
      </c>
      <c r="E79" t="s">
        <v>211</v>
      </c>
      <c r="F79" t="s">
        <v>67</v>
      </c>
      <c r="G79">
        <v>50165</v>
      </c>
      <c r="H79">
        <v>45988</v>
      </c>
      <c r="I79">
        <v>46071</v>
      </c>
      <c r="J79">
        <v>75</v>
      </c>
      <c r="K79">
        <v>78</v>
      </c>
      <c r="L79">
        <f t="shared" si="8"/>
        <v>3</v>
      </c>
      <c r="M79" t="str">
        <f t="shared" si="9"/>
        <v>Delayed</v>
      </c>
      <c r="N79">
        <v>19</v>
      </c>
      <c r="O79">
        <v>16</v>
      </c>
      <c r="P79">
        <f t="shared" si="10"/>
        <v>0.84210526315789469</v>
      </c>
      <c r="Q79">
        <v>54</v>
      </c>
      <c r="R79">
        <v>643.1</v>
      </c>
      <c r="S79">
        <v>51165</v>
      </c>
      <c r="T79" t="s">
        <v>45</v>
      </c>
      <c r="U79">
        <v>0</v>
      </c>
      <c r="V79">
        <v>8</v>
      </c>
      <c r="W79">
        <v>0</v>
      </c>
      <c r="X79">
        <v>3</v>
      </c>
      <c r="Y79">
        <v>2.9</v>
      </c>
      <c r="Z79">
        <v>4.5</v>
      </c>
      <c r="AA79">
        <v>0.88</v>
      </c>
      <c r="AB79">
        <f t="shared" si="11"/>
        <v>5</v>
      </c>
      <c r="AC79">
        <f t="shared" si="12"/>
        <v>4.4000000000000004</v>
      </c>
      <c r="AD79" t="str">
        <f t="shared" si="13"/>
        <v>⭐⭐⭐⭐</v>
      </c>
      <c r="AE79" t="str">
        <f t="shared" si="14"/>
        <v>Increase daily output monitoring</v>
      </c>
      <c r="AF79" t="str">
        <f t="shared" si="15"/>
        <v>Recommended for medium-high orders</v>
      </c>
    </row>
    <row r="80" spans="1:32" ht="24" customHeight="1">
      <c r="A80" t="s">
        <v>212</v>
      </c>
      <c r="B80" t="s">
        <v>40</v>
      </c>
      <c r="C80" t="s">
        <v>41</v>
      </c>
      <c r="D80" t="s">
        <v>42</v>
      </c>
      <c r="E80" t="s">
        <v>213</v>
      </c>
      <c r="F80" t="s">
        <v>44</v>
      </c>
      <c r="G80">
        <v>13881</v>
      </c>
      <c r="H80">
        <v>45927</v>
      </c>
      <c r="I80">
        <v>45974</v>
      </c>
      <c r="J80">
        <v>33</v>
      </c>
      <c r="K80">
        <v>47</v>
      </c>
      <c r="L80">
        <f t="shared" si="8"/>
        <v>14</v>
      </c>
      <c r="M80" t="str">
        <f t="shared" si="9"/>
        <v>Delayed</v>
      </c>
      <c r="N80">
        <v>15</v>
      </c>
      <c r="O80">
        <v>13</v>
      </c>
      <c r="P80">
        <f t="shared" si="10"/>
        <v>0.8666666666666667</v>
      </c>
      <c r="Q80">
        <v>41</v>
      </c>
      <c r="R80">
        <v>295.3</v>
      </c>
      <c r="S80">
        <v>17881</v>
      </c>
      <c r="T80" t="s">
        <v>38</v>
      </c>
      <c r="U80">
        <v>6</v>
      </c>
      <c r="V80">
        <v>10</v>
      </c>
      <c r="W80">
        <v>6</v>
      </c>
      <c r="X80">
        <v>5</v>
      </c>
      <c r="Y80">
        <v>2.44</v>
      </c>
      <c r="Z80">
        <v>4.3</v>
      </c>
      <c r="AA80">
        <v>0.85</v>
      </c>
      <c r="AB80">
        <f t="shared" si="11"/>
        <v>5</v>
      </c>
      <c r="AC80">
        <f t="shared" si="12"/>
        <v>4.32</v>
      </c>
      <c r="AD80" t="str">
        <f t="shared" si="13"/>
        <v>⭐⭐⭐⭐</v>
      </c>
      <c r="AE80" t="str">
        <f t="shared" si="14"/>
        <v>Reduce risk days and add supervisor monitoring</v>
      </c>
      <c r="AF80" t="str">
        <f t="shared" si="15"/>
        <v>Recommended for medium-high orders</v>
      </c>
    </row>
    <row r="81" spans="1:32" ht="24" customHeight="1">
      <c r="A81" t="s">
        <v>214</v>
      </c>
      <c r="B81" t="s">
        <v>33</v>
      </c>
      <c r="C81" t="s">
        <v>34</v>
      </c>
      <c r="D81" t="s">
        <v>35</v>
      </c>
      <c r="E81" t="s">
        <v>215</v>
      </c>
      <c r="F81" t="s">
        <v>67</v>
      </c>
      <c r="G81">
        <v>45054</v>
      </c>
      <c r="H81">
        <v>45780</v>
      </c>
      <c r="I81">
        <v>45844</v>
      </c>
      <c r="J81">
        <v>60</v>
      </c>
      <c r="K81">
        <v>62</v>
      </c>
      <c r="L81">
        <f t="shared" si="8"/>
        <v>2</v>
      </c>
      <c r="M81" t="str">
        <f t="shared" si="9"/>
        <v>Delayed</v>
      </c>
      <c r="N81">
        <v>14</v>
      </c>
      <c r="O81">
        <v>11</v>
      </c>
      <c r="P81">
        <f t="shared" si="10"/>
        <v>0.7857142857142857</v>
      </c>
      <c r="Q81">
        <v>48</v>
      </c>
      <c r="R81">
        <v>726.7</v>
      </c>
      <c r="S81">
        <v>46054</v>
      </c>
      <c r="T81" t="s">
        <v>38</v>
      </c>
      <c r="U81">
        <v>4</v>
      </c>
      <c r="V81">
        <v>6</v>
      </c>
      <c r="W81">
        <v>2</v>
      </c>
      <c r="X81">
        <v>2</v>
      </c>
      <c r="Y81">
        <v>3.74</v>
      </c>
      <c r="Z81">
        <v>4.2</v>
      </c>
      <c r="AA81">
        <v>0.83</v>
      </c>
      <c r="AB81">
        <f t="shared" si="11"/>
        <v>5</v>
      </c>
      <c r="AC81">
        <f t="shared" si="12"/>
        <v>4.21</v>
      </c>
      <c r="AD81" t="str">
        <f t="shared" si="13"/>
        <v>⭐⭐⭐⭐</v>
      </c>
      <c r="AE81" t="str">
        <f t="shared" si="14"/>
        <v>Increase daily output monitoring</v>
      </c>
      <c r="AF81" t="str">
        <f t="shared" si="15"/>
        <v>Recommended for medium-high orders</v>
      </c>
    </row>
    <row r="82" spans="1:32" ht="24" customHeight="1">
      <c r="A82" t="s">
        <v>216</v>
      </c>
      <c r="B82" t="s">
        <v>69</v>
      </c>
      <c r="C82" t="s">
        <v>70</v>
      </c>
      <c r="D82" t="s">
        <v>71</v>
      </c>
      <c r="E82" t="s">
        <v>217</v>
      </c>
      <c r="F82" t="s">
        <v>57</v>
      </c>
      <c r="G82">
        <v>11026</v>
      </c>
      <c r="H82">
        <v>45941</v>
      </c>
      <c r="I82">
        <v>45988</v>
      </c>
      <c r="J82">
        <v>42</v>
      </c>
      <c r="K82">
        <v>47</v>
      </c>
      <c r="L82">
        <f t="shared" si="8"/>
        <v>5</v>
      </c>
      <c r="M82" t="str">
        <f t="shared" si="9"/>
        <v>Delayed</v>
      </c>
      <c r="N82">
        <v>10</v>
      </c>
      <c r="O82">
        <v>8</v>
      </c>
      <c r="P82">
        <f t="shared" si="10"/>
        <v>0.8</v>
      </c>
      <c r="Q82">
        <v>31</v>
      </c>
      <c r="R82">
        <v>234.6</v>
      </c>
      <c r="S82">
        <v>13026</v>
      </c>
      <c r="T82" t="s">
        <v>45</v>
      </c>
      <c r="U82">
        <v>0</v>
      </c>
      <c r="V82">
        <v>5</v>
      </c>
      <c r="W82">
        <v>3</v>
      </c>
      <c r="X82">
        <v>1</v>
      </c>
      <c r="Y82">
        <v>2.82</v>
      </c>
      <c r="Z82">
        <v>3.8</v>
      </c>
      <c r="AA82">
        <v>0.78</v>
      </c>
      <c r="AB82">
        <f t="shared" si="11"/>
        <v>5</v>
      </c>
      <c r="AC82">
        <f t="shared" si="12"/>
        <v>4.04</v>
      </c>
      <c r="AD82" t="str">
        <f t="shared" si="13"/>
        <v>⭐⭐⭐⭐</v>
      </c>
      <c r="AE82" t="str">
        <f t="shared" si="14"/>
        <v>Increase daily output monitoring</v>
      </c>
      <c r="AF82" t="str">
        <f t="shared" si="15"/>
        <v>Recommended for medium-high orders</v>
      </c>
    </row>
    <row r="83" spans="1:32" ht="24" customHeight="1">
      <c r="A83" t="s">
        <v>218</v>
      </c>
      <c r="B83" t="s">
        <v>33</v>
      </c>
      <c r="C83" t="s">
        <v>34</v>
      </c>
      <c r="D83" t="s">
        <v>35</v>
      </c>
      <c r="E83" t="s">
        <v>219</v>
      </c>
      <c r="F83" t="s">
        <v>37</v>
      </c>
      <c r="G83">
        <v>12748</v>
      </c>
      <c r="H83">
        <v>45685</v>
      </c>
      <c r="I83">
        <v>45713</v>
      </c>
      <c r="J83">
        <v>29</v>
      </c>
      <c r="K83">
        <v>25</v>
      </c>
      <c r="L83">
        <f t="shared" si="8"/>
        <v>-4</v>
      </c>
      <c r="M83" t="str">
        <f t="shared" si="9"/>
        <v>Early</v>
      </c>
      <c r="N83">
        <v>13</v>
      </c>
      <c r="O83">
        <v>10</v>
      </c>
      <c r="P83">
        <f t="shared" si="10"/>
        <v>0.76923076923076927</v>
      </c>
      <c r="Q83">
        <v>45</v>
      </c>
      <c r="R83">
        <v>509.9</v>
      </c>
      <c r="S83">
        <v>12748</v>
      </c>
      <c r="T83" t="s">
        <v>45</v>
      </c>
      <c r="U83">
        <v>3</v>
      </c>
      <c r="V83">
        <v>1</v>
      </c>
      <c r="W83">
        <v>3</v>
      </c>
      <c r="X83">
        <v>2</v>
      </c>
      <c r="Y83">
        <v>3.62</v>
      </c>
      <c r="Z83">
        <v>4.2</v>
      </c>
      <c r="AA83">
        <v>0.83</v>
      </c>
      <c r="AB83">
        <f t="shared" si="11"/>
        <v>5</v>
      </c>
      <c r="AC83">
        <f t="shared" si="12"/>
        <v>4.34</v>
      </c>
      <c r="AD83" t="str">
        <f t="shared" si="13"/>
        <v>⭐⭐⭐⭐</v>
      </c>
      <c r="AE83" t="str">
        <f t="shared" si="14"/>
        <v>Maintain current resource allocation</v>
      </c>
      <c r="AF83" t="str">
        <f t="shared" si="15"/>
        <v>Recommended for medium-high orders</v>
      </c>
    </row>
    <row r="84" spans="1:32" ht="24" customHeight="1">
      <c r="A84" t="s">
        <v>220</v>
      </c>
      <c r="B84" t="s">
        <v>40</v>
      </c>
      <c r="C84" t="s">
        <v>41</v>
      </c>
      <c r="D84" t="s">
        <v>42</v>
      </c>
      <c r="E84" t="s">
        <v>221</v>
      </c>
      <c r="F84" t="s">
        <v>67</v>
      </c>
      <c r="G84">
        <v>42674</v>
      </c>
      <c r="H84">
        <v>45667</v>
      </c>
      <c r="I84">
        <v>45737</v>
      </c>
      <c r="J84">
        <v>66</v>
      </c>
      <c r="K84">
        <v>68</v>
      </c>
      <c r="L84">
        <f t="shared" si="8"/>
        <v>2</v>
      </c>
      <c r="M84" t="str">
        <f t="shared" si="9"/>
        <v>Delayed</v>
      </c>
      <c r="N84">
        <v>18</v>
      </c>
      <c r="O84">
        <v>15</v>
      </c>
      <c r="P84">
        <f t="shared" si="10"/>
        <v>0.83333333333333337</v>
      </c>
      <c r="Q84">
        <v>42</v>
      </c>
      <c r="R84">
        <v>627.6</v>
      </c>
      <c r="S84">
        <v>45674</v>
      </c>
      <c r="T84" t="s">
        <v>38</v>
      </c>
      <c r="U84">
        <v>3</v>
      </c>
      <c r="V84">
        <v>7</v>
      </c>
      <c r="W84">
        <v>3</v>
      </c>
      <c r="X84">
        <v>2</v>
      </c>
      <c r="Y84">
        <v>2.42</v>
      </c>
      <c r="Z84">
        <v>4.3</v>
      </c>
      <c r="AA84">
        <v>0.85</v>
      </c>
      <c r="AB84">
        <f t="shared" si="11"/>
        <v>5</v>
      </c>
      <c r="AC84">
        <f t="shared" si="12"/>
        <v>4.3</v>
      </c>
      <c r="AD84" t="str">
        <f t="shared" si="13"/>
        <v>⭐⭐⭐⭐</v>
      </c>
      <c r="AE84" t="str">
        <f t="shared" si="14"/>
        <v>Increase daily output monitoring</v>
      </c>
      <c r="AF84" t="str">
        <f t="shared" si="15"/>
        <v>Recommended for medium-high orders</v>
      </c>
    </row>
    <row r="85" spans="1:32" ht="24" customHeight="1">
      <c r="A85" t="s">
        <v>222</v>
      </c>
      <c r="B85" t="s">
        <v>78</v>
      </c>
      <c r="C85" t="s">
        <v>79</v>
      </c>
      <c r="D85" t="s">
        <v>80</v>
      </c>
      <c r="E85" t="s">
        <v>223</v>
      </c>
      <c r="F85" t="s">
        <v>67</v>
      </c>
      <c r="G85">
        <v>59951</v>
      </c>
      <c r="H85">
        <v>45981</v>
      </c>
      <c r="I85">
        <v>46057</v>
      </c>
      <c r="J85">
        <v>71</v>
      </c>
      <c r="K85">
        <v>72</v>
      </c>
      <c r="L85">
        <f t="shared" si="8"/>
        <v>1</v>
      </c>
      <c r="M85" t="str">
        <f t="shared" si="9"/>
        <v>Delayed</v>
      </c>
      <c r="N85">
        <v>22</v>
      </c>
      <c r="O85">
        <v>17</v>
      </c>
      <c r="P85">
        <f t="shared" si="10"/>
        <v>0.77272727272727271</v>
      </c>
      <c r="Q85">
        <v>65</v>
      </c>
      <c r="R85">
        <v>832.7</v>
      </c>
      <c r="S85">
        <v>63951</v>
      </c>
      <c r="T85" t="s">
        <v>45</v>
      </c>
      <c r="U85">
        <v>0</v>
      </c>
      <c r="V85">
        <v>0</v>
      </c>
      <c r="W85">
        <v>1</v>
      </c>
      <c r="X85">
        <v>0</v>
      </c>
      <c r="Y85">
        <v>3.13</v>
      </c>
      <c r="Z85">
        <v>4.8</v>
      </c>
      <c r="AA85">
        <v>0.92</v>
      </c>
      <c r="AB85">
        <f t="shared" si="11"/>
        <v>5</v>
      </c>
      <c r="AC85">
        <f t="shared" si="12"/>
        <v>4.49</v>
      </c>
      <c r="AD85" t="str">
        <f t="shared" si="13"/>
        <v>⭐⭐⭐⭐</v>
      </c>
      <c r="AE85" t="str">
        <f t="shared" si="14"/>
        <v>Increase daily output monitoring</v>
      </c>
      <c r="AF85" t="str">
        <f t="shared" si="15"/>
        <v>Recommended for medium-high orders</v>
      </c>
    </row>
    <row r="86" spans="1:32" ht="24" customHeight="1">
      <c r="A86" t="s">
        <v>224</v>
      </c>
      <c r="B86" t="s">
        <v>33</v>
      </c>
      <c r="C86" t="s">
        <v>34</v>
      </c>
      <c r="D86" t="s">
        <v>35</v>
      </c>
      <c r="E86" t="s">
        <v>225</v>
      </c>
      <c r="F86" t="s">
        <v>67</v>
      </c>
      <c r="G86">
        <v>54065</v>
      </c>
      <c r="H86">
        <v>45983</v>
      </c>
      <c r="I86">
        <v>46042</v>
      </c>
      <c r="J86">
        <v>55</v>
      </c>
      <c r="K86">
        <v>56</v>
      </c>
      <c r="L86">
        <f t="shared" si="8"/>
        <v>1</v>
      </c>
      <c r="M86" t="str">
        <f t="shared" si="9"/>
        <v>Delayed</v>
      </c>
      <c r="N86">
        <v>15</v>
      </c>
      <c r="O86">
        <v>10</v>
      </c>
      <c r="P86">
        <f t="shared" si="10"/>
        <v>0.66666666666666663</v>
      </c>
      <c r="Q86">
        <v>50</v>
      </c>
      <c r="R86">
        <v>965.4</v>
      </c>
      <c r="S86">
        <v>58065</v>
      </c>
      <c r="T86" t="s">
        <v>45</v>
      </c>
      <c r="U86">
        <v>0</v>
      </c>
      <c r="V86">
        <v>6</v>
      </c>
      <c r="W86">
        <v>4</v>
      </c>
      <c r="X86">
        <v>2</v>
      </c>
      <c r="Y86">
        <v>2.81</v>
      </c>
      <c r="Z86">
        <v>4.2</v>
      </c>
      <c r="AA86">
        <v>0.83</v>
      </c>
      <c r="AB86">
        <f t="shared" si="11"/>
        <v>5</v>
      </c>
      <c r="AC86">
        <f t="shared" si="12"/>
        <v>4.12</v>
      </c>
      <c r="AD86" t="str">
        <f t="shared" si="13"/>
        <v>⭐⭐⭐⭐</v>
      </c>
      <c r="AE86" t="str">
        <f t="shared" si="14"/>
        <v>Increase machine maintenance support</v>
      </c>
      <c r="AF86" t="str">
        <f t="shared" si="15"/>
        <v>Recommended for medium-high orders</v>
      </c>
    </row>
    <row r="87" spans="1:32" ht="24" customHeight="1">
      <c r="A87" t="s">
        <v>226</v>
      </c>
      <c r="B87" t="s">
        <v>69</v>
      </c>
      <c r="C87" t="s">
        <v>70</v>
      </c>
      <c r="D87" t="s">
        <v>71</v>
      </c>
      <c r="E87" t="s">
        <v>227</v>
      </c>
      <c r="F87" t="s">
        <v>44</v>
      </c>
      <c r="G87">
        <v>13701</v>
      </c>
      <c r="H87">
        <v>45987</v>
      </c>
      <c r="I87">
        <v>46018</v>
      </c>
      <c r="J87">
        <v>26</v>
      </c>
      <c r="K87">
        <v>30</v>
      </c>
      <c r="L87">
        <f t="shared" si="8"/>
        <v>4</v>
      </c>
      <c r="M87" t="str">
        <f t="shared" si="9"/>
        <v>Delayed</v>
      </c>
      <c r="N87">
        <v>13</v>
      </c>
      <c r="O87">
        <v>9</v>
      </c>
      <c r="P87">
        <f t="shared" si="10"/>
        <v>0.69230769230769229</v>
      </c>
      <c r="Q87">
        <v>38</v>
      </c>
      <c r="R87">
        <v>456.7</v>
      </c>
      <c r="S87">
        <v>17701</v>
      </c>
      <c r="T87" t="s">
        <v>45</v>
      </c>
      <c r="U87">
        <v>2</v>
      </c>
      <c r="V87">
        <v>9</v>
      </c>
      <c r="W87">
        <v>3</v>
      </c>
      <c r="X87">
        <v>0</v>
      </c>
      <c r="Y87">
        <v>2.67</v>
      </c>
      <c r="Z87">
        <v>3.8</v>
      </c>
      <c r="AA87">
        <v>0.78</v>
      </c>
      <c r="AB87">
        <f t="shared" si="11"/>
        <v>5</v>
      </c>
      <c r="AC87">
        <f t="shared" si="12"/>
        <v>3.95</v>
      </c>
      <c r="AD87" t="str">
        <f t="shared" si="13"/>
        <v>⭐⭐⭐</v>
      </c>
      <c r="AE87" t="str">
        <f t="shared" si="14"/>
        <v>Reduce risk days and add supervisor monitoring</v>
      </c>
      <c r="AF87" t="str">
        <f t="shared" si="15"/>
        <v>Use for normal priority orders</v>
      </c>
    </row>
    <row r="88" spans="1:32" ht="24" customHeight="1">
      <c r="A88" t="s">
        <v>228</v>
      </c>
      <c r="B88" t="s">
        <v>61</v>
      </c>
      <c r="C88" t="s">
        <v>62</v>
      </c>
      <c r="D88" t="s">
        <v>63</v>
      </c>
      <c r="E88" t="s">
        <v>229</v>
      </c>
      <c r="F88" t="s">
        <v>57</v>
      </c>
      <c r="G88">
        <v>15350</v>
      </c>
      <c r="H88">
        <v>45936</v>
      </c>
      <c r="I88">
        <v>45971</v>
      </c>
      <c r="J88">
        <v>29</v>
      </c>
      <c r="K88">
        <v>32</v>
      </c>
      <c r="L88">
        <f t="shared" si="8"/>
        <v>3</v>
      </c>
      <c r="M88" t="str">
        <f t="shared" si="9"/>
        <v>Delayed</v>
      </c>
      <c r="N88">
        <v>9</v>
      </c>
      <c r="O88">
        <v>7</v>
      </c>
      <c r="P88">
        <f t="shared" si="10"/>
        <v>0.77777777777777779</v>
      </c>
      <c r="Q88">
        <v>31</v>
      </c>
      <c r="R88">
        <v>479.7</v>
      </c>
      <c r="S88">
        <v>17350</v>
      </c>
      <c r="T88" t="s">
        <v>45</v>
      </c>
      <c r="U88">
        <v>2</v>
      </c>
      <c r="V88">
        <v>11</v>
      </c>
      <c r="W88">
        <v>4</v>
      </c>
      <c r="X88">
        <v>1</v>
      </c>
      <c r="Y88">
        <v>1.95</v>
      </c>
      <c r="Z88">
        <v>4</v>
      </c>
      <c r="AA88">
        <v>0.8</v>
      </c>
      <c r="AB88">
        <f t="shared" si="11"/>
        <v>5</v>
      </c>
      <c r="AC88">
        <f t="shared" si="12"/>
        <v>4.0999999999999996</v>
      </c>
      <c r="AD88" t="str">
        <f t="shared" si="13"/>
        <v>⭐⭐⭐⭐</v>
      </c>
      <c r="AE88" t="str">
        <f t="shared" si="14"/>
        <v>Reduce risk days and add supervisor monitoring</v>
      </c>
      <c r="AF88" t="str">
        <f t="shared" si="15"/>
        <v>Recommended for medium-high orders</v>
      </c>
    </row>
    <row r="89" spans="1:32" ht="24" customHeight="1">
      <c r="A89" t="s">
        <v>230</v>
      </c>
      <c r="B89" t="s">
        <v>53</v>
      </c>
      <c r="C89" t="s">
        <v>54</v>
      </c>
      <c r="D89" t="s">
        <v>55</v>
      </c>
      <c r="E89" t="s">
        <v>231</v>
      </c>
      <c r="F89" t="s">
        <v>67</v>
      </c>
      <c r="G89">
        <v>51697</v>
      </c>
      <c r="H89">
        <v>45912</v>
      </c>
      <c r="I89">
        <v>45970</v>
      </c>
      <c r="J89">
        <v>56</v>
      </c>
      <c r="K89">
        <v>53</v>
      </c>
      <c r="L89">
        <f t="shared" si="8"/>
        <v>-3</v>
      </c>
      <c r="M89" t="str">
        <f t="shared" si="9"/>
        <v>Early</v>
      </c>
      <c r="N89">
        <v>20</v>
      </c>
      <c r="O89">
        <v>17</v>
      </c>
      <c r="P89">
        <f t="shared" si="10"/>
        <v>0.85</v>
      </c>
      <c r="Q89">
        <v>56</v>
      </c>
      <c r="R89">
        <v>975.4</v>
      </c>
      <c r="S89">
        <v>53697</v>
      </c>
      <c r="T89" t="s">
        <v>45</v>
      </c>
      <c r="U89">
        <v>1</v>
      </c>
      <c r="V89">
        <v>3</v>
      </c>
      <c r="W89">
        <v>2</v>
      </c>
      <c r="X89">
        <v>2</v>
      </c>
      <c r="Y89">
        <v>3.75</v>
      </c>
      <c r="Z89">
        <v>4.5</v>
      </c>
      <c r="AA89">
        <v>0.88</v>
      </c>
      <c r="AB89">
        <f t="shared" si="11"/>
        <v>5</v>
      </c>
      <c r="AC89">
        <f t="shared" si="12"/>
        <v>4.5599999999999996</v>
      </c>
      <c r="AD89" t="str">
        <f t="shared" si="13"/>
        <v>⭐⭐⭐⭐⭐</v>
      </c>
      <c r="AE89" t="str">
        <f t="shared" si="14"/>
        <v>Maintain current resource allocation</v>
      </c>
      <c r="AF89" t="str">
        <f t="shared" si="15"/>
        <v>Best for urgent/high priority orders</v>
      </c>
    </row>
    <row r="90" spans="1:32" ht="24" customHeight="1">
      <c r="A90" t="s">
        <v>232</v>
      </c>
      <c r="B90" t="s">
        <v>40</v>
      </c>
      <c r="C90" t="s">
        <v>41</v>
      </c>
      <c r="D90" t="s">
        <v>42</v>
      </c>
      <c r="E90" t="s">
        <v>233</v>
      </c>
      <c r="F90" t="s">
        <v>44</v>
      </c>
      <c r="G90">
        <v>15910</v>
      </c>
      <c r="H90">
        <v>45886</v>
      </c>
      <c r="I90">
        <v>45915</v>
      </c>
      <c r="J90">
        <v>26</v>
      </c>
      <c r="K90">
        <v>29</v>
      </c>
      <c r="L90">
        <f t="shared" si="8"/>
        <v>3</v>
      </c>
      <c r="M90" t="str">
        <f t="shared" si="9"/>
        <v>Delayed</v>
      </c>
      <c r="N90">
        <v>16</v>
      </c>
      <c r="O90">
        <v>13</v>
      </c>
      <c r="P90">
        <f t="shared" si="10"/>
        <v>0.8125</v>
      </c>
      <c r="Q90">
        <v>47</v>
      </c>
      <c r="R90">
        <v>548.6</v>
      </c>
      <c r="S90">
        <v>18910</v>
      </c>
      <c r="T90" t="s">
        <v>45</v>
      </c>
      <c r="U90">
        <v>3</v>
      </c>
      <c r="V90">
        <v>7</v>
      </c>
      <c r="W90">
        <v>2</v>
      </c>
      <c r="X90">
        <v>2</v>
      </c>
      <c r="Y90">
        <v>3.39</v>
      </c>
      <c r="Z90">
        <v>4.3</v>
      </c>
      <c r="AA90">
        <v>0.85</v>
      </c>
      <c r="AB90">
        <f t="shared" si="11"/>
        <v>5</v>
      </c>
      <c r="AC90">
        <f t="shared" si="12"/>
        <v>4.28</v>
      </c>
      <c r="AD90" t="str">
        <f t="shared" si="13"/>
        <v>⭐⭐⭐⭐</v>
      </c>
      <c r="AE90" t="str">
        <f t="shared" si="14"/>
        <v>Increase daily output monitoring</v>
      </c>
      <c r="AF90" t="str">
        <f t="shared" si="15"/>
        <v>Recommended for medium-high orders</v>
      </c>
    </row>
    <row r="91" spans="1:32" ht="24" customHeight="1">
      <c r="A91" t="s">
        <v>234</v>
      </c>
      <c r="B91" t="s">
        <v>33</v>
      </c>
      <c r="C91" t="s">
        <v>34</v>
      </c>
      <c r="D91" t="s">
        <v>35</v>
      </c>
      <c r="E91" t="s">
        <v>235</v>
      </c>
      <c r="F91" t="s">
        <v>44</v>
      </c>
      <c r="G91">
        <v>10996</v>
      </c>
      <c r="H91">
        <v>45988</v>
      </c>
      <c r="I91">
        <v>46016</v>
      </c>
      <c r="J91">
        <v>25</v>
      </c>
      <c r="K91">
        <v>26</v>
      </c>
      <c r="L91">
        <f t="shared" si="8"/>
        <v>1</v>
      </c>
      <c r="M91" t="str">
        <f t="shared" si="9"/>
        <v>Delayed</v>
      </c>
      <c r="N91">
        <v>17</v>
      </c>
      <c r="O91">
        <v>11</v>
      </c>
      <c r="P91">
        <f t="shared" si="10"/>
        <v>0.6470588235294118</v>
      </c>
      <c r="Q91">
        <v>36</v>
      </c>
      <c r="R91">
        <v>422.9</v>
      </c>
      <c r="S91">
        <v>11996</v>
      </c>
      <c r="T91" t="s">
        <v>38</v>
      </c>
      <c r="U91">
        <v>6</v>
      </c>
      <c r="V91">
        <v>12</v>
      </c>
      <c r="W91">
        <v>1</v>
      </c>
      <c r="X91">
        <v>5</v>
      </c>
      <c r="Y91">
        <v>2.2000000000000002</v>
      </c>
      <c r="Z91">
        <v>4.2</v>
      </c>
      <c r="AA91">
        <v>0.83</v>
      </c>
      <c r="AB91">
        <f t="shared" si="11"/>
        <v>5</v>
      </c>
      <c r="AC91">
        <f t="shared" si="12"/>
        <v>4.0999999999999996</v>
      </c>
      <c r="AD91" t="str">
        <f t="shared" si="13"/>
        <v>⭐⭐⭐⭐</v>
      </c>
      <c r="AE91" t="str">
        <f t="shared" si="14"/>
        <v>Reduce risk days and add supervisor monitoring</v>
      </c>
      <c r="AF91" t="str">
        <f t="shared" si="15"/>
        <v>Recommended for medium-high orders</v>
      </c>
    </row>
    <row r="92" spans="1:32" ht="24" customHeight="1">
      <c r="A92" t="s">
        <v>236</v>
      </c>
      <c r="B92" t="s">
        <v>53</v>
      </c>
      <c r="C92" t="s">
        <v>54</v>
      </c>
      <c r="D92" t="s">
        <v>55</v>
      </c>
      <c r="E92" t="s">
        <v>237</v>
      </c>
      <c r="F92" t="s">
        <v>37</v>
      </c>
      <c r="G92">
        <v>15027</v>
      </c>
      <c r="H92">
        <v>45923</v>
      </c>
      <c r="I92">
        <v>45964</v>
      </c>
      <c r="J92">
        <v>38</v>
      </c>
      <c r="K92">
        <v>38</v>
      </c>
      <c r="L92">
        <f t="shared" si="8"/>
        <v>0</v>
      </c>
      <c r="M92" t="str">
        <f t="shared" si="9"/>
        <v>On Time</v>
      </c>
      <c r="N92">
        <v>19</v>
      </c>
      <c r="O92">
        <v>15</v>
      </c>
      <c r="P92">
        <f t="shared" si="10"/>
        <v>0.78947368421052633</v>
      </c>
      <c r="Q92">
        <v>52</v>
      </c>
      <c r="R92">
        <v>395.4</v>
      </c>
      <c r="S92">
        <v>16027</v>
      </c>
      <c r="T92" t="s">
        <v>45</v>
      </c>
      <c r="U92">
        <v>0</v>
      </c>
      <c r="V92">
        <v>0</v>
      </c>
      <c r="W92">
        <v>4</v>
      </c>
      <c r="X92">
        <v>0</v>
      </c>
      <c r="Y92">
        <v>3.33</v>
      </c>
      <c r="Z92">
        <v>4.5</v>
      </c>
      <c r="AA92">
        <v>0.88</v>
      </c>
      <c r="AB92">
        <f t="shared" si="11"/>
        <v>5</v>
      </c>
      <c r="AC92">
        <f t="shared" si="12"/>
        <v>4.47</v>
      </c>
      <c r="AD92" t="str">
        <f t="shared" si="13"/>
        <v>⭐⭐⭐⭐</v>
      </c>
      <c r="AE92" t="str">
        <f t="shared" si="14"/>
        <v>Maintain current resource allocation</v>
      </c>
      <c r="AF92" t="str">
        <f t="shared" si="15"/>
        <v>Recommended for medium-high orders</v>
      </c>
    </row>
    <row r="93" spans="1:32" ht="24" customHeight="1">
      <c r="A93" t="s">
        <v>238</v>
      </c>
      <c r="B93" t="s">
        <v>69</v>
      </c>
      <c r="C93" t="s">
        <v>70</v>
      </c>
      <c r="D93" t="s">
        <v>71</v>
      </c>
      <c r="E93" t="s">
        <v>239</v>
      </c>
      <c r="F93" t="s">
        <v>37</v>
      </c>
      <c r="G93">
        <v>18529</v>
      </c>
      <c r="H93">
        <v>45821</v>
      </c>
      <c r="I93">
        <v>45869</v>
      </c>
      <c r="J93">
        <v>38</v>
      </c>
      <c r="K93">
        <v>43</v>
      </c>
      <c r="L93">
        <f t="shared" si="8"/>
        <v>5</v>
      </c>
      <c r="M93" t="str">
        <f t="shared" si="9"/>
        <v>Delayed</v>
      </c>
      <c r="N93">
        <v>10</v>
      </c>
      <c r="O93">
        <v>8</v>
      </c>
      <c r="P93">
        <f t="shared" si="10"/>
        <v>0.8</v>
      </c>
      <c r="Q93">
        <v>41</v>
      </c>
      <c r="R93">
        <v>430.9</v>
      </c>
      <c r="S93">
        <v>18529</v>
      </c>
      <c r="T93" t="s">
        <v>38</v>
      </c>
      <c r="U93">
        <v>6</v>
      </c>
      <c r="V93">
        <v>11</v>
      </c>
      <c r="W93">
        <v>1</v>
      </c>
      <c r="X93">
        <v>0</v>
      </c>
      <c r="Y93">
        <v>3.63</v>
      </c>
      <c r="Z93">
        <v>3.8</v>
      </c>
      <c r="AA93">
        <v>0.78</v>
      </c>
      <c r="AB93">
        <f t="shared" si="11"/>
        <v>5</v>
      </c>
      <c r="AC93">
        <f t="shared" si="12"/>
        <v>4.04</v>
      </c>
      <c r="AD93" t="str">
        <f t="shared" si="13"/>
        <v>⭐⭐⭐⭐</v>
      </c>
      <c r="AE93" t="str">
        <f t="shared" si="14"/>
        <v>Reduce risk days and add supervisor monitoring</v>
      </c>
      <c r="AF93" t="str">
        <f t="shared" si="15"/>
        <v>Recommended for medium-high orders</v>
      </c>
    </row>
    <row r="94" spans="1:32" ht="24" customHeight="1">
      <c r="A94" t="s">
        <v>240</v>
      </c>
      <c r="B94" t="s">
        <v>53</v>
      </c>
      <c r="C94" t="s">
        <v>54</v>
      </c>
      <c r="D94" t="s">
        <v>55</v>
      </c>
      <c r="E94" t="s">
        <v>241</v>
      </c>
      <c r="F94" t="s">
        <v>37</v>
      </c>
      <c r="G94">
        <v>27765</v>
      </c>
      <c r="H94">
        <v>45842</v>
      </c>
      <c r="I94">
        <v>45892</v>
      </c>
      <c r="J94">
        <v>47</v>
      </c>
      <c r="K94">
        <v>46</v>
      </c>
      <c r="L94">
        <f t="shared" si="8"/>
        <v>-1</v>
      </c>
      <c r="M94" t="str">
        <f t="shared" si="9"/>
        <v>Early</v>
      </c>
      <c r="N94">
        <v>18</v>
      </c>
      <c r="O94">
        <v>14</v>
      </c>
      <c r="P94">
        <f t="shared" si="10"/>
        <v>0.77777777777777779</v>
      </c>
      <c r="Q94">
        <v>47</v>
      </c>
      <c r="R94">
        <v>603.6</v>
      </c>
      <c r="S94">
        <v>28765</v>
      </c>
      <c r="T94" t="s">
        <v>45</v>
      </c>
      <c r="U94">
        <v>1</v>
      </c>
      <c r="V94">
        <v>7</v>
      </c>
      <c r="W94">
        <v>0</v>
      </c>
      <c r="X94">
        <v>4</v>
      </c>
      <c r="Y94">
        <v>3.09</v>
      </c>
      <c r="Z94">
        <v>4.5</v>
      </c>
      <c r="AA94">
        <v>0.88</v>
      </c>
      <c r="AB94">
        <f t="shared" si="11"/>
        <v>5</v>
      </c>
      <c r="AC94">
        <f t="shared" si="12"/>
        <v>4.5</v>
      </c>
      <c r="AD94" t="str">
        <f t="shared" si="13"/>
        <v>⭐⭐⭐⭐⭐</v>
      </c>
      <c r="AE94" t="str">
        <f t="shared" si="14"/>
        <v>Maintain current resource allocation</v>
      </c>
      <c r="AF94" t="str">
        <f t="shared" si="15"/>
        <v>Best for urgent/high priority orders</v>
      </c>
    </row>
    <row r="95" spans="1:32" ht="24" customHeight="1">
      <c r="A95" t="s">
        <v>242</v>
      </c>
      <c r="B95" t="s">
        <v>33</v>
      </c>
      <c r="C95" t="s">
        <v>34</v>
      </c>
      <c r="D95" t="s">
        <v>35</v>
      </c>
      <c r="E95" t="s">
        <v>243</v>
      </c>
      <c r="F95" t="s">
        <v>57</v>
      </c>
      <c r="G95">
        <v>15026</v>
      </c>
      <c r="H95">
        <v>45896</v>
      </c>
      <c r="I95">
        <v>45927</v>
      </c>
      <c r="J95">
        <v>26</v>
      </c>
      <c r="K95">
        <v>26</v>
      </c>
      <c r="L95">
        <f t="shared" si="8"/>
        <v>0</v>
      </c>
      <c r="M95" t="str">
        <f t="shared" si="9"/>
        <v>On Time</v>
      </c>
      <c r="N95">
        <v>11</v>
      </c>
      <c r="O95">
        <v>8</v>
      </c>
      <c r="P95">
        <f t="shared" si="10"/>
        <v>0.72727272727272729</v>
      </c>
      <c r="Q95">
        <v>44</v>
      </c>
      <c r="R95">
        <v>577.9</v>
      </c>
      <c r="S95">
        <v>15026</v>
      </c>
      <c r="T95" t="s">
        <v>38</v>
      </c>
      <c r="U95">
        <v>3</v>
      </c>
      <c r="V95">
        <v>13</v>
      </c>
      <c r="W95">
        <v>5</v>
      </c>
      <c r="X95">
        <v>2</v>
      </c>
      <c r="Y95">
        <v>3.08</v>
      </c>
      <c r="Z95">
        <v>4.2</v>
      </c>
      <c r="AA95">
        <v>0.83</v>
      </c>
      <c r="AB95">
        <f t="shared" si="11"/>
        <v>5</v>
      </c>
      <c r="AC95">
        <f t="shared" si="12"/>
        <v>4.2699999999999996</v>
      </c>
      <c r="AD95" t="str">
        <f t="shared" si="13"/>
        <v>⭐⭐⭐⭐</v>
      </c>
      <c r="AE95" t="str">
        <f t="shared" si="14"/>
        <v>Suitable for urgent style handling</v>
      </c>
      <c r="AF95" t="str">
        <f t="shared" si="15"/>
        <v>Recommended for medium-high orders</v>
      </c>
    </row>
    <row r="96" spans="1:32" ht="24" customHeight="1">
      <c r="A96" t="s">
        <v>244</v>
      </c>
      <c r="B96" t="s">
        <v>40</v>
      </c>
      <c r="C96" t="s">
        <v>41</v>
      </c>
      <c r="D96" t="s">
        <v>42</v>
      </c>
      <c r="E96" t="s">
        <v>245</v>
      </c>
      <c r="F96" t="s">
        <v>67</v>
      </c>
      <c r="G96">
        <v>44228</v>
      </c>
      <c r="H96">
        <v>45983</v>
      </c>
      <c r="I96">
        <v>46056</v>
      </c>
      <c r="J96">
        <v>68</v>
      </c>
      <c r="K96">
        <v>69</v>
      </c>
      <c r="L96">
        <f t="shared" si="8"/>
        <v>1</v>
      </c>
      <c r="M96" t="str">
        <f t="shared" si="9"/>
        <v>Delayed</v>
      </c>
      <c r="N96">
        <v>13</v>
      </c>
      <c r="O96">
        <v>10</v>
      </c>
      <c r="P96">
        <f t="shared" si="10"/>
        <v>0.76923076923076927</v>
      </c>
      <c r="Q96">
        <v>45</v>
      </c>
      <c r="R96">
        <v>641</v>
      </c>
      <c r="S96">
        <v>46228</v>
      </c>
      <c r="T96" t="s">
        <v>45</v>
      </c>
      <c r="U96">
        <v>2</v>
      </c>
      <c r="V96">
        <v>9</v>
      </c>
      <c r="W96">
        <v>0</v>
      </c>
      <c r="X96">
        <v>1</v>
      </c>
      <c r="Y96">
        <v>3.34</v>
      </c>
      <c r="Z96">
        <v>4.3</v>
      </c>
      <c r="AA96">
        <v>0.85</v>
      </c>
      <c r="AB96">
        <f t="shared" si="11"/>
        <v>5</v>
      </c>
      <c r="AC96">
        <f t="shared" si="12"/>
        <v>4.25</v>
      </c>
      <c r="AD96" t="str">
        <f t="shared" si="13"/>
        <v>⭐⭐⭐⭐</v>
      </c>
      <c r="AE96" t="str">
        <f t="shared" si="14"/>
        <v>Reduce risk days and add supervisor monitoring</v>
      </c>
      <c r="AF96" t="str">
        <f t="shared" si="15"/>
        <v>Recommended for medium-high orders</v>
      </c>
    </row>
    <row r="97" spans="1:32" ht="24" customHeight="1">
      <c r="A97" t="s">
        <v>246</v>
      </c>
      <c r="B97" t="s">
        <v>53</v>
      </c>
      <c r="C97" t="s">
        <v>54</v>
      </c>
      <c r="D97" t="s">
        <v>55</v>
      </c>
      <c r="E97" t="s">
        <v>247</v>
      </c>
      <c r="F97" t="s">
        <v>44</v>
      </c>
      <c r="G97">
        <v>5061</v>
      </c>
      <c r="H97">
        <v>45699</v>
      </c>
      <c r="I97">
        <v>45726</v>
      </c>
      <c r="J97">
        <v>24</v>
      </c>
      <c r="K97">
        <v>27</v>
      </c>
      <c r="L97">
        <f t="shared" si="8"/>
        <v>3</v>
      </c>
      <c r="M97" t="str">
        <f t="shared" si="9"/>
        <v>Delayed</v>
      </c>
      <c r="N97">
        <v>18</v>
      </c>
      <c r="O97">
        <v>15</v>
      </c>
      <c r="P97">
        <f t="shared" si="10"/>
        <v>0.83333333333333337</v>
      </c>
      <c r="Q97">
        <v>62</v>
      </c>
      <c r="R97">
        <v>187.4</v>
      </c>
      <c r="S97">
        <v>5061</v>
      </c>
      <c r="T97" t="s">
        <v>45</v>
      </c>
      <c r="U97">
        <v>0</v>
      </c>
      <c r="V97">
        <v>2</v>
      </c>
      <c r="W97">
        <v>0</v>
      </c>
      <c r="X97">
        <v>0</v>
      </c>
      <c r="Y97">
        <v>3.6</v>
      </c>
      <c r="Z97">
        <v>4.5</v>
      </c>
      <c r="AA97">
        <v>0.88</v>
      </c>
      <c r="AB97">
        <f t="shared" si="11"/>
        <v>5</v>
      </c>
      <c r="AC97">
        <f t="shared" si="12"/>
        <v>4.4000000000000004</v>
      </c>
      <c r="AD97" t="str">
        <f t="shared" si="13"/>
        <v>⭐⭐⭐⭐</v>
      </c>
      <c r="AE97" t="str">
        <f t="shared" si="14"/>
        <v>Increase daily output monitoring</v>
      </c>
      <c r="AF97" t="str">
        <f t="shared" si="15"/>
        <v>Recommended for medium-high orders</v>
      </c>
    </row>
    <row r="98" spans="1:32" ht="24" customHeight="1">
      <c r="A98" t="s">
        <v>248</v>
      </c>
      <c r="B98" t="s">
        <v>69</v>
      </c>
      <c r="C98" t="s">
        <v>70</v>
      </c>
      <c r="D98" t="s">
        <v>71</v>
      </c>
      <c r="E98" t="s">
        <v>249</v>
      </c>
      <c r="F98" t="s">
        <v>44</v>
      </c>
      <c r="G98">
        <v>15650</v>
      </c>
      <c r="H98">
        <v>45762</v>
      </c>
      <c r="I98">
        <v>45790</v>
      </c>
      <c r="J98">
        <v>24</v>
      </c>
      <c r="K98">
        <v>26</v>
      </c>
      <c r="L98">
        <f t="shared" si="8"/>
        <v>2</v>
      </c>
      <c r="M98" t="str">
        <f t="shared" si="9"/>
        <v>Delayed</v>
      </c>
      <c r="N98">
        <v>14</v>
      </c>
      <c r="O98">
        <v>10</v>
      </c>
      <c r="P98">
        <f t="shared" si="10"/>
        <v>0.7142857142857143</v>
      </c>
      <c r="Q98">
        <v>29</v>
      </c>
      <c r="R98">
        <v>601.9</v>
      </c>
      <c r="S98">
        <v>15650</v>
      </c>
      <c r="T98" t="s">
        <v>45</v>
      </c>
      <c r="U98">
        <v>1</v>
      </c>
      <c r="V98">
        <v>5</v>
      </c>
      <c r="W98">
        <v>2</v>
      </c>
      <c r="X98">
        <v>5</v>
      </c>
      <c r="Y98">
        <v>2.92</v>
      </c>
      <c r="Z98">
        <v>3.8</v>
      </c>
      <c r="AA98">
        <v>0.78</v>
      </c>
      <c r="AB98">
        <f t="shared" si="11"/>
        <v>5</v>
      </c>
      <c r="AC98">
        <f t="shared" si="12"/>
        <v>3.97</v>
      </c>
      <c r="AD98" t="str">
        <f t="shared" si="13"/>
        <v>⭐⭐⭐</v>
      </c>
      <c r="AE98" t="str">
        <f t="shared" si="14"/>
        <v>Improve workforce allocation</v>
      </c>
      <c r="AF98" t="str">
        <f t="shared" si="15"/>
        <v>Use for normal priority orders</v>
      </c>
    </row>
    <row r="99" spans="1:32" ht="24" customHeight="1">
      <c r="A99" t="s">
        <v>250</v>
      </c>
      <c r="B99" t="s">
        <v>33</v>
      </c>
      <c r="C99" t="s">
        <v>34</v>
      </c>
      <c r="D99" t="s">
        <v>35</v>
      </c>
      <c r="E99" t="s">
        <v>251</v>
      </c>
      <c r="F99" t="s">
        <v>44</v>
      </c>
      <c r="G99">
        <v>13317</v>
      </c>
      <c r="H99">
        <v>45973</v>
      </c>
      <c r="I99">
        <v>46016</v>
      </c>
      <c r="J99">
        <v>36</v>
      </c>
      <c r="K99">
        <v>40</v>
      </c>
      <c r="L99">
        <f t="shared" si="8"/>
        <v>4</v>
      </c>
      <c r="M99" t="str">
        <f t="shared" si="9"/>
        <v>Delayed</v>
      </c>
      <c r="N99">
        <v>12</v>
      </c>
      <c r="O99">
        <v>8</v>
      </c>
      <c r="P99">
        <f t="shared" si="10"/>
        <v>0.66666666666666663</v>
      </c>
      <c r="Q99">
        <v>43</v>
      </c>
      <c r="R99">
        <v>332.9</v>
      </c>
      <c r="S99">
        <v>16317</v>
      </c>
      <c r="T99" t="s">
        <v>38</v>
      </c>
      <c r="U99">
        <v>6</v>
      </c>
      <c r="V99">
        <v>10</v>
      </c>
      <c r="W99">
        <v>2</v>
      </c>
      <c r="X99">
        <v>2</v>
      </c>
      <c r="Y99">
        <v>3.43</v>
      </c>
      <c r="Z99">
        <v>4.2</v>
      </c>
      <c r="AA99">
        <v>0.83</v>
      </c>
      <c r="AB99">
        <f t="shared" si="11"/>
        <v>5</v>
      </c>
      <c r="AC99">
        <f t="shared" si="12"/>
        <v>4.12</v>
      </c>
      <c r="AD99" t="str">
        <f t="shared" si="13"/>
        <v>⭐⭐⭐⭐</v>
      </c>
      <c r="AE99" t="str">
        <f t="shared" si="14"/>
        <v>Reduce risk days and add supervisor monitoring</v>
      </c>
      <c r="AF99" t="str">
        <f t="shared" si="15"/>
        <v>Recommended for medium-high orders</v>
      </c>
    </row>
    <row r="100" spans="1:32" ht="24" customHeight="1">
      <c r="A100" t="s">
        <v>252</v>
      </c>
      <c r="B100" t="s">
        <v>53</v>
      </c>
      <c r="C100" t="s">
        <v>54</v>
      </c>
      <c r="D100" t="s">
        <v>55</v>
      </c>
      <c r="E100" t="s">
        <v>253</v>
      </c>
      <c r="F100" t="s">
        <v>67</v>
      </c>
      <c r="G100">
        <v>58929</v>
      </c>
      <c r="H100">
        <v>45911</v>
      </c>
      <c r="I100">
        <v>45982</v>
      </c>
      <c r="J100">
        <v>65</v>
      </c>
      <c r="K100">
        <v>67</v>
      </c>
      <c r="L100">
        <f t="shared" si="8"/>
        <v>2</v>
      </c>
      <c r="M100" t="str">
        <f t="shared" si="9"/>
        <v>Delayed</v>
      </c>
      <c r="N100">
        <v>19</v>
      </c>
      <c r="O100">
        <v>15</v>
      </c>
      <c r="P100">
        <f t="shared" si="10"/>
        <v>0.78947368421052633</v>
      </c>
      <c r="Q100">
        <v>51</v>
      </c>
      <c r="R100">
        <v>879.5</v>
      </c>
      <c r="S100">
        <v>59929</v>
      </c>
      <c r="T100" t="s">
        <v>38</v>
      </c>
      <c r="U100">
        <v>4</v>
      </c>
      <c r="V100">
        <v>13</v>
      </c>
      <c r="W100">
        <v>6</v>
      </c>
      <c r="X100">
        <v>0</v>
      </c>
      <c r="Y100">
        <v>2.96</v>
      </c>
      <c r="Z100">
        <v>4.5</v>
      </c>
      <c r="AA100">
        <v>0.88</v>
      </c>
      <c r="AB100">
        <f t="shared" si="11"/>
        <v>5</v>
      </c>
      <c r="AC100">
        <f t="shared" si="12"/>
        <v>4.3600000000000003</v>
      </c>
      <c r="AD100" t="str">
        <f t="shared" si="13"/>
        <v>⭐⭐⭐⭐</v>
      </c>
      <c r="AE100" t="str">
        <f t="shared" si="14"/>
        <v>Reduce risk days and add supervisor monitoring</v>
      </c>
      <c r="AF100" t="str">
        <f t="shared" si="15"/>
        <v>Recommended for medium-high orders</v>
      </c>
    </row>
    <row r="101" spans="1:32" ht="24" customHeight="1">
      <c r="A101" t="s">
        <v>254</v>
      </c>
      <c r="B101" t="s">
        <v>69</v>
      </c>
      <c r="C101" t="s">
        <v>70</v>
      </c>
      <c r="D101" t="s">
        <v>71</v>
      </c>
      <c r="E101" t="s">
        <v>255</v>
      </c>
      <c r="F101" t="s">
        <v>57</v>
      </c>
      <c r="G101">
        <v>13793</v>
      </c>
      <c r="H101">
        <v>45843</v>
      </c>
      <c r="I101">
        <v>45873</v>
      </c>
      <c r="J101">
        <v>24</v>
      </c>
      <c r="K101">
        <v>26</v>
      </c>
      <c r="L101">
        <f t="shared" si="8"/>
        <v>2</v>
      </c>
      <c r="M101" t="str">
        <f t="shared" si="9"/>
        <v>Delayed</v>
      </c>
      <c r="N101">
        <v>13</v>
      </c>
      <c r="O101">
        <v>8</v>
      </c>
      <c r="P101">
        <f t="shared" si="10"/>
        <v>0.61538461538461542</v>
      </c>
      <c r="Q101">
        <v>28</v>
      </c>
      <c r="R101">
        <v>530.5</v>
      </c>
      <c r="S101">
        <v>17793</v>
      </c>
      <c r="T101" t="s">
        <v>45</v>
      </c>
      <c r="U101">
        <v>1</v>
      </c>
      <c r="V101">
        <v>8</v>
      </c>
      <c r="W101">
        <v>0</v>
      </c>
      <c r="X101">
        <v>5</v>
      </c>
      <c r="Y101">
        <v>2.64</v>
      </c>
      <c r="Z101">
        <v>3.8</v>
      </c>
      <c r="AA101">
        <v>0.78</v>
      </c>
      <c r="AB101">
        <f t="shared" si="11"/>
        <v>5</v>
      </c>
      <c r="AC101">
        <f t="shared" si="12"/>
        <v>3.9</v>
      </c>
      <c r="AD101" t="str">
        <f t="shared" si="13"/>
        <v>⭐⭐⭐</v>
      </c>
      <c r="AE101" t="str">
        <f t="shared" si="14"/>
        <v>Improve workforce allocation</v>
      </c>
      <c r="AF101" t="str">
        <f t="shared" si="15"/>
        <v>Use for normal priority orders</v>
      </c>
    </row>
    <row r="102" spans="1:32" ht="24" customHeight="1">
      <c r="A102" t="s">
        <v>256</v>
      </c>
      <c r="B102" t="s">
        <v>53</v>
      </c>
      <c r="C102" t="s">
        <v>54</v>
      </c>
      <c r="D102" t="s">
        <v>55</v>
      </c>
      <c r="E102" t="s">
        <v>257</v>
      </c>
      <c r="F102" t="s">
        <v>57</v>
      </c>
      <c r="G102">
        <v>12378</v>
      </c>
      <c r="H102">
        <v>45918</v>
      </c>
      <c r="I102">
        <v>45968</v>
      </c>
      <c r="J102">
        <v>41</v>
      </c>
      <c r="K102">
        <v>47</v>
      </c>
      <c r="L102">
        <f t="shared" si="8"/>
        <v>6</v>
      </c>
      <c r="M102" t="str">
        <f t="shared" si="9"/>
        <v>Delayed</v>
      </c>
      <c r="N102">
        <v>19</v>
      </c>
      <c r="O102">
        <v>15</v>
      </c>
      <c r="P102">
        <f t="shared" si="10"/>
        <v>0.78947368421052633</v>
      </c>
      <c r="Q102">
        <v>54</v>
      </c>
      <c r="R102">
        <v>263.39999999999998</v>
      </c>
      <c r="S102">
        <v>16378</v>
      </c>
      <c r="T102" t="s">
        <v>45</v>
      </c>
      <c r="U102">
        <v>2</v>
      </c>
      <c r="V102">
        <v>8</v>
      </c>
      <c r="W102">
        <v>2</v>
      </c>
      <c r="X102">
        <v>5</v>
      </c>
      <c r="Y102">
        <v>3.06</v>
      </c>
      <c r="Z102">
        <v>4.5</v>
      </c>
      <c r="AA102">
        <v>0.88</v>
      </c>
      <c r="AB102">
        <f t="shared" si="11"/>
        <v>5</v>
      </c>
      <c r="AC102">
        <f t="shared" si="12"/>
        <v>4.3600000000000003</v>
      </c>
      <c r="AD102" t="str">
        <f t="shared" si="13"/>
        <v>⭐⭐⭐⭐</v>
      </c>
      <c r="AE102" t="str">
        <f t="shared" si="14"/>
        <v>Improve workforce allocation</v>
      </c>
      <c r="AF102" t="str">
        <f t="shared" si="15"/>
        <v>Recommended for medium-high orders</v>
      </c>
    </row>
    <row r="103" spans="1:32" ht="24" customHeight="1">
      <c r="A103" t="s">
        <v>258</v>
      </c>
      <c r="B103" t="s">
        <v>40</v>
      </c>
      <c r="C103" t="s">
        <v>41</v>
      </c>
      <c r="D103" t="s">
        <v>42</v>
      </c>
      <c r="E103" t="s">
        <v>259</v>
      </c>
      <c r="F103" t="s">
        <v>37</v>
      </c>
      <c r="G103">
        <v>14490</v>
      </c>
      <c r="H103">
        <v>45917</v>
      </c>
      <c r="I103">
        <v>45958</v>
      </c>
      <c r="J103">
        <v>34</v>
      </c>
      <c r="K103">
        <v>37</v>
      </c>
      <c r="L103">
        <f t="shared" si="8"/>
        <v>3</v>
      </c>
      <c r="M103" t="str">
        <f t="shared" si="9"/>
        <v>Delayed</v>
      </c>
      <c r="N103">
        <v>16</v>
      </c>
      <c r="O103">
        <v>12</v>
      </c>
      <c r="P103">
        <f t="shared" si="10"/>
        <v>0.75</v>
      </c>
      <c r="Q103">
        <v>47</v>
      </c>
      <c r="R103">
        <v>391.6</v>
      </c>
      <c r="S103">
        <v>18490</v>
      </c>
      <c r="T103" t="s">
        <v>45</v>
      </c>
      <c r="U103">
        <v>2</v>
      </c>
      <c r="V103">
        <v>3</v>
      </c>
      <c r="W103">
        <v>1</v>
      </c>
      <c r="X103">
        <v>2</v>
      </c>
      <c r="Y103">
        <v>3</v>
      </c>
      <c r="Z103">
        <v>4.3</v>
      </c>
      <c r="AA103">
        <v>0.85</v>
      </c>
      <c r="AB103">
        <f t="shared" si="11"/>
        <v>5</v>
      </c>
      <c r="AC103">
        <f t="shared" si="12"/>
        <v>4.24</v>
      </c>
      <c r="AD103" t="str">
        <f t="shared" si="13"/>
        <v>⭐⭐⭐⭐</v>
      </c>
      <c r="AE103" t="str">
        <f t="shared" si="14"/>
        <v>Increase daily output monitoring</v>
      </c>
      <c r="AF103" t="str">
        <f t="shared" si="15"/>
        <v>Recommended for medium-high orders</v>
      </c>
    </row>
    <row r="104" spans="1:32" ht="24" customHeight="1">
      <c r="A104" t="s">
        <v>260</v>
      </c>
      <c r="B104" t="s">
        <v>40</v>
      </c>
      <c r="C104" t="s">
        <v>41</v>
      </c>
      <c r="D104" t="s">
        <v>42</v>
      </c>
      <c r="E104" t="s">
        <v>261</v>
      </c>
      <c r="F104" t="s">
        <v>44</v>
      </c>
      <c r="G104">
        <v>2545</v>
      </c>
      <c r="H104">
        <v>45745</v>
      </c>
      <c r="I104">
        <v>45777</v>
      </c>
      <c r="J104">
        <v>21</v>
      </c>
      <c r="K104">
        <v>28</v>
      </c>
      <c r="L104">
        <f t="shared" si="8"/>
        <v>7</v>
      </c>
      <c r="M104" t="str">
        <f t="shared" si="9"/>
        <v>Delayed</v>
      </c>
      <c r="N104">
        <v>11</v>
      </c>
      <c r="O104">
        <v>9</v>
      </c>
      <c r="P104">
        <f t="shared" si="10"/>
        <v>0.81818181818181823</v>
      </c>
      <c r="Q104">
        <v>46</v>
      </c>
      <c r="R104">
        <v>90.9</v>
      </c>
      <c r="S104">
        <v>6545</v>
      </c>
      <c r="T104" t="s">
        <v>45</v>
      </c>
      <c r="U104">
        <v>1</v>
      </c>
      <c r="V104">
        <v>7</v>
      </c>
      <c r="W104">
        <v>3</v>
      </c>
      <c r="X104">
        <v>1</v>
      </c>
      <c r="Y104">
        <v>3.04</v>
      </c>
      <c r="Z104">
        <v>4.3</v>
      </c>
      <c r="AA104">
        <v>0.85</v>
      </c>
      <c r="AB104">
        <f t="shared" si="11"/>
        <v>5</v>
      </c>
      <c r="AC104">
        <f t="shared" si="12"/>
        <v>4.29</v>
      </c>
      <c r="AD104" t="str">
        <f t="shared" si="13"/>
        <v>⭐⭐⭐⭐</v>
      </c>
      <c r="AE104" t="str">
        <f t="shared" si="14"/>
        <v>Increase daily output monitoring</v>
      </c>
      <c r="AF104" t="str">
        <f t="shared" si="15"/>
        <v>Recommended for medium-high orders</v>
      </c>
    </row>
    <row r="105" spans="1:32" ht="24" customHeight="1">
      <c r="A105" t="s">
        <v>262</v>
      </c>
      <c r="B105" t="s">
        <v>33</v>
      </c>
      <c r="C105" t="s">
        <v>34</v>
      </c>
      <c r="D105" t="s">
        <v>35</v>
      </c>
      <c r="E105" t="s">
        <v>263</v>
      </c>
      <c r="F105" t="s">
        <v>57</v>
      </c>
      <c r="G105">
        <v>18462</v>
      </c>
      <c r="H105">
        <v>45728</v>
      </c>
      <c r="I105">
        <v>45763</v>
      </c>
      <c r="J105">
        <v>31</v>
      </c>
      <c r="K105">
        <v>31</v>
      </c>
      <c r="L105">
        <f t="shared" si="8"/>
        <v>0</v>
      </c>
      <c r="M105" t="str">
        <f t="shared" si="9"/>
        <v>On Time</v>
      </c>
      <c r="N105">
        <v>13</v>
      </c>
      <c r="O105">
        <v>10</v>
      </c>
      <c r="P105">
        <f t="shared" si="10"/>
        <v>0.76923076923076927</v>
      </c>
      <c r="Q105">
        <v>49</v>
      </c>
      <c r="R105">
        <v>595.5</v>
      </c>
      <c r="S105">
        <v>18462</v>
      </c>
      <c r="T105" t="s">
        <v>38</v>
      </c>
      <c r="U105">
        <v>5</v>
      </c>
      <c r="V105">
        <v>3</v>
      </c>
      <c r="W105">
        <v>3</v>
      </c>
      <c r="X105">
        <v>5</v>
      </c>
      <c r="Y105">
        <v>3.43</v>
      </c>
      <c r="Z105">
        <v>4.2</v>
      </c>
      <c r="AA105">
        <v>0.83</v>
      </c>
      <c r="AB105">
        <f t="shared" si="11"/>
        <v>5</v>
      </c>
      <c r="AC105">
        <f t="shared" si="12"/>
        <v>4.3</v>
      </c>
      <c r="AD105" t="str">
        <f t="shared" si="13"/>
        <v>⭐⭐⭐⭐</v>
      </c>
      <c r="AE105" t="str">
        <f t="shared" si="14"/>
        <v>Suitable for urgent style handling</v>
      </c>
      <c r="AF105" t="str">
        <f t="shared" si="15"/>
        <v>Recommended for medium-high orders</v>
      </c>
    </row>
    <row r="106" spans="1:32" ht="24" customHeight="1">
      <c r="A106" t="s">
        <v>264</v>
      </c>
      <c r="B106" t="s">
        <v>78</v>
      </c>
      <c r="C106" t="s">
        <v>79</v>
      </c>
      <c r="D106" t="s">
        <v>80</v>
      </c>
      <c r="E106" t="s">
        <v>265</v>
      </c>
      <c r="F106" t="s">
        <v>44</v>
      </c>
      <c r="G106">
        <v>19218</v>
      </c>
      <c r="H106">
        <v>45810</v>
      </c>
      <c r="I106">
        <v>45850</v>
      </c>
      <c r="J106">
        <v>36</v>
      </c>
      <c r="K106">
        <v>38</v>
      </c>
      <c r="L106">
        <f t="shared" si="8"/>
        <v>2</v>
      </c>
      <c r="M106" t="str">
        <f t="shared" si="9"/>
        <v>Delayed</v>
      </c>
      <c r="N106">
        <v>19</v>
      </c>
      <c r="O106">
        <v>16</v>
      </c>
      <c r="P106">
        <f t="shared" si="10"/>
        <v>0.84210526315789469</v>
      </c>
      <c r="Q106">
        <v>56</v>
      </c>
      <c r="R106">
        <v>505.7</v>
      </c>
      <c r="S106">
        <v>20218</v>
      </c>
      <c r="T106" t="s">
        <v>45</v>
      </c>
      <c r="U106">
        <v>2</v>
      </c>
      <c r="V106">
        <v>5</v>
      </c>
      <c r="W106">
        <v>4</v>
      </c>
      <c r="X106">
        <v>0</v>
      </c>
      <c r="Y106">
        <v>2.6</v>
      </c>
      <c r="Z106">
        <v>4.8</v>
      </c>
      <c r="AA106">
        <v>0.92</v>
      </c>
      <c r="AB106">
        <f t="shared" si="11"/>
        <v>5</v>
      </c>
      <c r="AC106">
        <f t="shared" si="12"/>
        <v>4.54</v>
      </c>
      <c r="AD106" t="str">
        <f t="shared" si="13"/>
        <v>⭐⭐⭐⭐⭐</v>
      </c>
      <c r="AE106" t="str">
        <f t="shared" si="14"/>
        <v>Increase machine maintenance support</v>
      </c>
      <c r="AF106" t="str">
        <f t="shared" si="15"/>
        <v>Best for urgent/high priority orders</v>
      </c>
    </row>
    <row r="107" spans="1:32" ht="24" customHeight="1">
      <c r="A107" t="s">
        <v>266</v>
      </c>
      <c r="B107" t="s">
        <v>33</v>
      </c>
      <c r="C107" t="s">
        <v>34</v>
      </c>
      <c r="D107" t="s">
        <v>35</v>
      </c>
      <c r="E107" t="s">
        <v>267</v>
      </c>
      <c r="F107" t="s">
        <v>57</v>
      </c>
      <c r="G107">
        <v>12861</v>
      </c>
      <c r="H107">
        <v>45806</v>
      </c>
      <c r="I107">
        <v>45842</v>
      </c>
      <c r="J107">
        <v>35</v>
      </c>
      <c r="K107">
        <v>36</v>
      </c>
      <c r="L107">
        <f t="shared" si="8"/>
        <v>1</v>
      </c>
      <c r="M107" t="str">
        <f t="shared" si="9"/>
        <v>Delayed</v>
      </c>
      <c r="N107">
        <v>16</v>
      </c>
      <c r="O107">
        <v>13</v>
      </c>
      <c r="P107">
        <f t="shared" si="10"/>
        <v>0.8125</v>
      </c>
      <c r="Q107">
        <v>46</v>
      </c>
      <c r="R107">
        <v>357.2</v>
      </c>
      <c r="S107">
        <v>14861</v>
      </c>
      <c r="T107" t="s">
        <v>45</v>
      </c>
      <c r="U107">
        <v>1</v>
      </c>
      <c r="V107">
        <v>5</v>
      </c>
      <c r="W107">
        <v>5</v>
      </c>
      <c r="X107">
        <v>1</v>
      </c>
      <c r="Y107">
        <v>3.77</v>
      </c>
      <c r="Z107">
        <v>4.2</v>
      </c>
      <c r="AA107">
        <v>0.83</v>
      </c>
      <c r="AB107">
        <f t="shared" si="11"/>
        <v>5</v>
      </c>
      <c r="AC107">
        <f t="shared" si="12"/>
        <v>4.2300000000000004</v>
      </c>
      <c r="AD107" t="str">
        <f t="shared" si="13"/>
        <v>⭐⭐⭐⭐</v>
      </c>
      <c r="AE107" t="str">
        <f t="shared" si="14"/>
        <v>Increase machine maintenance support</v>
      </c>
      <c r="AF107" t="str">
        <f t="shared" si="15"/>
        <v>Recommended for medium-high orders</v>
      </c>
    </row>
    <row r="108" spans="1:32" ht="24" customHeight="1">
      <c r="A108" t="s">
        <v>268</v>
      </c>
      <c r="B108" t="s">
        <v>53</v>
      </c>
      <c r="C108" t="s">
        <v>54</v>
      </c>
      <c r="D108" t="s">
        <v>55</v>
      </c>
      <c r="E108" t="s">
        <v>269</v>
      </c>
      <c r="F108" t="s">
        <v>37</v>
      </c>
      <c r="G108">
        <v>24495</v>
      </c>
      <c r="H108">
        <v>45773</v>
      </c>
      <c r="I108">
        <v>45814</v>
      </c>
      <c r="J108">
        <v>32</v>
      </c>
      <c r="K108">
        <v>36</v>
      </c>
      <c r="L108">
        <f t="shared" si="8"/>
        <v>4</v>
      </c>
      <c r="M108" t="str">
        <f t="shared" si="9"/>
        <v>Delayed</v>
      </c>
      <c r="N108">
        <v>17</v>
      </c>
      <c r="O108">
        <v>13</v>
      </c>
      <c r="P108">
        <f t="shared" si="10"/>
        <v>0.76470588235294112</v>
      </c>
      <c r="Q108">
        <v>62</v>
      </c>
      <c r="R108">
        <v>680.4</v>
      </c>
      <c r="S108">
        <v>25495</v>
      </c>
      <c r="T108" t="s">
        <v>45</v>
      </c>
      <c r="U108">
        <v>1</v>
      </c>
      <c r="V108">
        <v>5</v>
      </c>
      <c r="W108">
        <v>5</v>
      </c>
      <c r="X108">
        <v>1</v>
      </c>
      <c r="Y108">
        <v>3.98</v>
      </c>
      <c r="Z108">
        <v>4.5</v>
      </c>
      <c r="AA108">
        <v>0.88</v>
      </c>
      <c r="AB108">
        <f t="shared" si="11"/>
        <v>5</v>
      </c>
      <c r="AC108">
        <f t="shared" si="12"/>
        <v>4.34</v>
      </c>
      <c r="AD108" t="str">
        <f t="shared" si="13"/>
        <v>⭐⭐⭐⭐</v>
      </c>
      <c r="AE108" t="str">
        <f t="shared" si="14"/>
        <v>Increase machine maintenance support</v>
      </c>
      <c r="AF108" t="str">
        <f t="shared" si="15"/>
        <v>Recommended for medium-high orders</v>
      </c>
    </row>
    <row r="109" spans="1:32" ht="24" customHeight="1">
      <c r="A109" t="s">
        <v>270</v>
      </c>
      <c r="B109" t="s">
        <v>53</v>
      </c>
      <c r="C109" t="s">
        <v>54</v>
      </c>
      <c r="D109" t="s">
        <v>55</v>
      </c>
      <c r="E109" t="s">
        <v>271</v>
      </c>
      <c r="F109" t="s">
        <v>37</v>
      </c>
      <c r="G109">
        <v>20823</v>
      </c>
      <c r="H109">
        <v>45804</v>
      </c>
      <c r="I109">
        <v>45854</v>
      </c>
      <c r="J109">
        <v>39</v>
      </c>
      <c r="K109">
        <v>45</v>
      </c>
      <c r="L109">
        <f t="shared" si="8"/>
        <v>6</v>
      </c>
      <c r="M109" t="str">
        <f t="shared" si="9"/>
        <v>Delayed</v>
      </c>
      <c r="N109">
        <v>20</v>
      </c>
      <c r="O109">
        <v>16</v>
      </c>
      <c r="P109">
        <f t="shared" si="10"/>
        <v>0.8</v>
      </c>
      <c r="Q109">
        <v>50</v>
      </c>
      <c r="R109">
        <v>462.7</v>
      </c>
      <c r="S109">
        <v>22823</v>
      </c>
      <c r="T109" t="s">
        <v>38</v>
      </c>
      <c r="U109">
        <v>2</v>
      </c>
      <c r="V109">
        <v>8</v>
      </c>
      <c r="W109">
        <v>4</v>
      </c>
      <c r="X109">
        <v>2</v>
      </c>
      <c r="Y109">
        <v>2.85</v>
      </c>
      <c r="Z109">
        <v>4.5</v>
      </c>
      <c r="AA109">
        <v>0.88</v>
      </c>
      <c r="AB109">
        <f t="shared" si="11"/>
        <v>5</v>
      </c>
      <c r="AC109">
        <f t="shared" si="12"/>
        <v>4.37</v>
      </c>
      <c r="AD109" t="str">
        <f t="shared" si="13"/>
        <v>⭐⭐⭐⭐</v>
      </c>
      <c r="AE109" t="str">
        <f t="shared" si="14"/>
        <v>Increase machine maintenance support</v>
      </c>
      <c r="AF109" t="str">
        <f t="shared" si="15"/>
        <v>Recommended for medium-high orders</v>
      </c>
    </row>
    <row r="110" spans="1:32" ht="24" customHeight="1">
      <c r="A110" t="s">
        <v>272</v>
      </c>
      <c r="B110" t="s">
        <v>78</v>
      </c>
      <c r="C110" t="s">
        <v>79</v>
      </c>
      <c r="D110" t="s">
        <v>80</v>
      </c>
      <c r="E110" t="s">
        <v>273</v>
      </c>
      <c r="F110" t="s">
        <v>37</v>
      </c>
      <c r="G110">
        <v>28813</v>
      </c>
      <c r="H110">
        <v>45806</v>
      </c>
      <c r="I110">
        <v>45850</v>
      </c>
      <c r="J110">
        <v>45</v>
      </c>
      <c r="K110">
        <v>44</v>
      </c>
      <c r="L110">
        <f t="shared" si="8"/>
        <v>-1</v>
      </c>
      <c r="M110" t="str">
        <f t="shared" si="9"/>
        <v>Early</v>
      </c>
      <c r="N110">
        <v>17</v>
      </c>
      <c r="O110">
        <v>16</v>
      </c>
      <c r="P110">
        <f t="shared" si="10"/>
        <v>0.94117647058823528</v>
      </c>
      <c r="Q110">
        <v>51</v>
      </c>
      <c r="R110">
        <v>654.79999999999995</v>
      </c>
      <c r="S110">
        <v>31813</v>
      </c>
      <c r="T110" t="s">
        <v>45</v>
      </c>
      <c r="U110">
        <v>3</v>
      </c>
      <c r="V110">
        <v>1</v>
      </c>
      <c r="W110">
        <v>0</v>
      </c>
      <c r="X110">
        <v>2</v>
      </c>
      <c r="Y110">
        <v>3.19</v>
      </c>
      <c r="Z110">
        <v>4.8</v>
      </c>
      <c r="AA110">
        <v>0.92</v>
      </c>
      <c r="AB110">
        <f t="shared" si="11"/>
        <v>5</v>
      </c>
      <c r="AC110">
        <f t="shared" si="12"/>
        <v>4.7699999999999996</v>
      </c>
      <c r="AD110" t="str">
        <f t="shared" si="13"/>
        <v>⭐⭐⭐⭐⭐</v>
      </c>
      <c r="AE110" t="str">
        <f t="shared" si="14"/>
        <v>Maintain current resource allocation</v>
      </c>
      <c r="AF110" t="str">
        <f t="shared" si="15"/>
        <v>Best for urgent/high priority orders</v>
      </c>
    </row>
    <row r="111" spans="1:32" ht="24" customHeight="1">
      <c r="A111" t="s">
        <v>274</v>
      </c>
      <c r="B111" t="s">
        <v>78</v>
      </c>
      <c r="C111" t="s">
        <v>79</v>
      </c>
      <c r="D111" t="s">
        <v>80</v>
      </c>
      <c r="E111" t="s">
        <v>275</v>
      </c>
      <c r="F111" t="s">
        <v>37</v>
      </c>
      <c r="G111">
        <v>19324</v>
      </c>
      <c r="H111">
        <v>45892</v>
      </c>
      <c r="I111">
        <v>45939</v>
      </c>
      <c r="J111">
        <v>38</v>
      </c>
      <c r="K111">
        <v>42</v>
      </c>
      <c r="L111">
        <f t="shared" si="8"/>
        <v>4</v>
      </c>
      <c r="M111" t="str">
        <f t="shared" si="9"/>
        <v>Delayed</v>
      </c>
      <c r="N111">
        <v>22</v>
      </c>
      <c r="O111">
        <v>18</v>
      </c>
      <c r="P111">
        <f t="shared" si="10"/>
        <v>0.81818181818181823</v>
      </c>
      <c r="Q111">
        <v>53</v>
      </c>
      <c r="R111">
        <v>460.1</v>
      </c>
      <c r="S111">
        <v>21324</v>
      </c>
      <c r="T111" t="s">
        <v>45</v>
      </c>
      <c r="U111">
        <v>1</v>
      </c>
      <c r="V111">
        <v>7</v>
      </c>
      <c r="W111">
        <v>0</v>
      </c>
      <c r="X111">
        <v>0</v>
      </c>
      <c r="Y111">
        <v>2.57</v>
      </c>
      <c r="Z111">
        <v>4.8</v>
      </c>
      <c r="AA111">
        <v>0.92</v>
      </c>
      <c r="AB111">
        <f t="shared" si="11"/>
        <v>5</v>
      </c>
      <c r="AC111">
        <f t="shared" si="12"/>
        <v>4.5199999999999996</v>
      </c>
      <c r="AD111" t="str">
        <f t="shared" si="13"/>
        <v>⭐⭐⭐⭐⭐</v>
      </c>
      <c r="AE111" t="str">
        <f t="shared" si="14"/>
        <v>Increase daily output monitoring</v>
      </c>
      <c r="AF111" t="str">
        <f t="shared" si="15"/>
        <v>Best for urgent/high priority orders</v>
      </c>
    </row>
    <row r="112" spans="1:32" ht="24" customHeight="1">
      <c r="A112" t="s">
        <v>276</v>
      </c>
      <c r="B112" t="s">
        <v>53</v>
      </c>
      <c r="C112" t="s">
        <v>54</v>
      </c>
      <c r="D112" t="s">
        <v>55</v>
      </c>
      <c r="E112" t="s">
        <v>277</v>
      </c>
      <c r="F112" t="s">
        <v>67</v>
      </c>
      <c r="G112">
        <v>51046</v>
      </c>
      <c r="H112">
        <v>45823</v>
      </c>
      <c r="I112">
        <v>45885</v>
      </c>
      <c r="J112">
        <v>64</v>
      </c>
      <c r="K112">
        <v>61</v>
      </c>
      <c r="L112">
        <f t="shared" si="8"/>
        <v>-3</v>
      </c>
      <c r="M112" t="str">
        <f t="shared" si="9"/>
        <v>Early</v>
      </c>
      <c r="N112">
        <v>19</v>
      </c>
      <c r="O112">
        <v>15</v>
      </c>
      <c r="P112">
        <f t="shared" si="10"/>
        <v>0.78947368421052633</v>
      </c>
      <c r="Q112">
        <v>46</v>
      </c>
      <c r="R112">
        <v>836.8</v>
      </c>
      <c r="S112">
        <v>54046</v>
      </c>
      <c r="T112" t="s">
        <v>45</v>
      </c>
      <c r="U112">
        <v>0</v>
      </c>
      <c r="V112">
        <v>4</v>
      </c>
      <c r="W112">
        <v>1</v>
      </c>
      <c r="X112">
        <v>4</v>
      </c>
      <c r="Y112">
        <v>3.15</v>
      </c>
      <c r="Z112">
        <v>4.5</v>
      </c>
      <c r="AA112">
        <v>0.88</v>
      </c>
      <c r="AB112">
        <f t="shared" si="11"/>
        <v>5</v>
      </c>
      <c r="AC112">
        <f t="shared" si="12"/>
        <v>4.51</v>
      </c>
      <c r="AD112" t="str">
        <f t="shared" si="13"/>
        <v>⭐⭐⭐⭐⭐</v>
      </c>
      <c r="AE112" t="str">
        <f t="shared" si="14"/>
        <v>Maintain current resource allocation</v>
      </c>
      <c r="AF112" t="str">
        <f t="shared" si="15"/>
        <v>Best for urgent/high priority orders</v>
      </c>
    </row>
    <row r="113" spans="1:32" ht="24" customHeight="1">
      <c r="A113" t="s">
        <v>278</v>
      </c>
      <c r="B113" t="s">
        <v>78</v>
      </c>
      <c r="C113" t="s">
        <v>79</v>
      </c>
      <c r="D113" t="s">
        <v>80</v>
      </c>
      <c r="E113" t="s">
        <v>279</v>
      </c>
      <c r="F113" t="s">
        <v>57</v>
      </c>
      <c r="G113">
        <v>12319</v>
      </c>
      <c r="H113">
        <v>45739</v>
      </c>
      <c r="I113">
        <v>45777</v>
      </c>
      <c r="J113">
        <v>32</v>
      </c>
      <c r="K113">
        <v>35</v>
      </c>
      <c r="L113">
        <f t="shared" si="8"/>
        <v>3</v>
      </c>
      <c r="M113" t="str">
        <f t="shared" si="9"/>
        <v>Delayed</v>
      </c>
      <c r="N113">
        <v>18</v>
      </c>
      <c r="O113">
        <v>14</v>
      </c>
      <c r="P113">
        <f t="shared" si="10"/>
        <v>0.77777777777777779</v>
      </c>
      <c r="Q113">
        <v>53</v>
      </c>
      <c r="R113">
        <v>352</v>
      </c>
      <c r="S113">
        <v>15319</v>
      </c>
      <c r="T113" t="s">
        <v>45</v>
      </c>
      <c r="U113">
        <v>2</v>
      </c>
      <c r="V113">
        <v>4</v>
      </c>
      <c r="W113">
        <v>1</v>
      </c>
      <c r="X113">
        <v>4</v>
      </c>
      <c r="Y113">
        <v>2.95</v>
      </c>
      <c r="Z113">
        <v>4.8</v>
      </c>
      <c r="AA113">
        <v>0.92</v>
      </c>
      <c r="AB113">
        <f t="shared" si="11"/>
        <v>5</v>
      </c>
      <c r="AC113">
        <f t="shared" si="12"/>
        <v>4.49</v>
      </c>
      <c r="AD113" t="str">
        <f t="shared" si="13"/>
        <v>⭐⭐⭐⭐</v>
      </c>
      <c r="AE113" t="str">
        <f t="shared" si="14"/>
        <v>Improve workforce allocation</v>
      </c>
      <c r="AF113" t="str">
        <f t="shared" si="15"/>
        <v>Recommended for medium-high orders</v>
      </c>
    </row>
    <row r="114" spans="1:32" ht="24" customHeight="1">
      <c r="A114" t="s">
        <v>280</v>
      </c>
      <c r="B114" t="s">
        <v>33</v>
      </c>
      <c r="C114" t="s">
        <v>34</v>
      </c>
      <c r="D114" t="s">
        <v>35</v>
      </c>
      <c r="E114" t="s">
        <v>281</v>
      </c>
      <c r="F114" t="s">
        <v>44</v>
      </c>
      <c r="G114">
        <v>11667</v>
      </c>
      <c r="H114">
        <v>45963</v>
      </c>
      <c r="I114">
        <v>46003</v>
      </c>
      <c r="J114">
        <v>35</v>
      </c>
      <c r="K114">
        <v>40</v>
      </c>
      <c r="L114">
        <f t="shared" si="8"/>
        <v>5</v>
      </c>
      <c r="M114" t="str">
        <f t="shared" si="9"/>
        <v>Delayed</v>
      </c>
      <c r="N114">
        <v>15</v>
      </c>
      <c r="O114">
        <v>11</v>
      </c>
      <c r="P114">
        <f t="shared" si="10"/>
        <v>0.73333333333333328</v>
      </c>
      <c r="Q114">
        <v>51</v>
      </c>
      <c r="R114">
        <v>291.7</v>
      </c>
      <c r="S114">
        <v>14667</v>
      </c>
      <c r="T114" t="s">
        <v>45</v>
      </c>
      <c r="U114">
        <v>1</v>
      </c>
      <c r="V114">
        <v>6</v>
      </c>
      <c r="W114">
        <v>3</v>
      </c>
      <c r="X114">
        <v>4</v>
      </c>
      <c r="Y114">
        <v>3.25</v>
      </c>
      <c r="Z114">
        <v>4.2</v>
      </c>
      <c r="AA114">
        <v>0.83</v>
      </c>
      <c r="AB114">
        <f t="shared" si="11"/>
        <v>5</v>
      </c>
      <c r="AC114">
        <f t="shared" si="12"/>
        <v>4.17</v>
      </c>
      <c r="AD114" t="str">
        <f t="shared" si="13"/>
        <v>⭐⭐⭐⭐</v>
      </c>
      <c r="AE114" t="str">
        <f t="shared" si="14"/>
        <v>Improve workforce allocation</v>
      </c>
      <c r="AF114" t="str">
        <f t="shared" si="15"/>
        <v>Recommended for medium-high orders</v>
      </c>
    </row>
    <row r="115" spans="1:32" ht="24" customHeight="1">
      <c r="A115" t="s">
        <v>282</v>
      </c>
      <c r="B115" t="s">
        <v>40</v>
      </c>
      <c r="C115" t="s">
        <v>41</v>
      </c>
      <c r="D115" t="s">
        <v>42</v>
      </c>
      <c r="E115" t="s">
        <v>283</v>
      </c>
      <c r="F115" t="s">
        <v>44</v>
      </c>
      <c r="G115">
        <v>5676</v>
      </c>
      <c r="H115">
        <v>45704</v>
      </c>
      <c r="I115">
        <v>45724</v>
      </c>
      <c r="J115">
        <v>16</v>
      </c>
      <c r="K115">
        <v>16</v>
      </c>
      <c r="L115">
        <f t="shared" si="8"/>
        <v>0</v>
      </c>
      <c r="M115" t="str">
        <f t="shared" si="9"/>
        <v>On Time</v>
      </c>
      <c r="N115">
        <v>18</v>
      </c>
      <c r="O115">
        <v>13</v>
      </c>
      <c r="P115">
        <f t="shared" si="10"/>
        <v>0.72222222222222221</v>
      </c>
      <c r="Q115">
        <v>44</v>
      </c>
      <c r="R115">
        <v>354.8</v>
      </c>
      <c r="S115">
        <v>9676</v>
      </c>
      <c r="T115" t="s">
        <v>45</v>
      </c>
      <c r="U115">
        <v>3</v>
      </c>
      <c r="V115">
        <v>0</v>
      </c>
      <c r="W115">
        <v>3</v>
      </c>
      <c r="X115">
        <v>1</v>
      </c>
      <c r="Y115">
        <v>3.09</v>
      </c>
      <c r="Z115">
        <v>4.3</v>
      </c>
      <c r="AA115">
        <v>0.85</v>
      </c>
      <c r="AB115">
        <f t="shared" si="11"/>
        <v>5</v>
      </c>
      <c r="AC115">
        <f t="shared" si="12"/>
        <v>4.32</v>
      </c>
      <c r="AD115" t="str">
        <f t="shared" si="13"/>
        <v>⭐⭐⭐⭐</v>
      </c>
      <c r="AE115" t="str">
        <f t="shared" si="14"/>
        <v>Maintain current resource allocation</v>
      </c>
      <c r="AF115" t="str">
        <f t="shared" si="15"/>
        <v>Recommended for medium-high orders</v>
      </c>
    </row>
    <row r="116" spans="1:32" ht="24" customHeight="1">
      <c r="A116" t="s">
        <v>284</v>
      </c>
      <c r="B116" t="s">
        <v>40</v>
      </c>
      <c r="C116" t="s">
        <v>41</v>
      </c>
      <c r="D116" t="s">
        <v>42</v>
      </c>
      <c r="E116" t="s">
        <v>285</v>
      </c>
      <c r="F116" t="s">
        <v>37</v>
      </c>
      <c r="G116">
        <v>14323</v>
      </c>
      <c r="H116">
        <v>45690</v>
      </c>
      <c r="I116">
        <v>45734</v>
      </c>
      <c r="J116">
        <v>40</v>
      </c>
      <c r="K116">
        <v>40</v>
      </c>
      <c r="L116">
        <f t="shared" si="8"/>
        <v>0</v>
      </c>
      <c r="M116" t="str">
        <f t="shared" si="9"/>
        <v>On Time</v>
      </c>
      <c r="N116">
        <v>11</v>
      </c>
      <c r="O116">
        <v>8</v>
      </c>
      <c r="P116">
        <f t="shared" si="10"/>
        <v>0.72727272727272729</v>
      </c>
      <c r="Q116">
        <v>38</v>
      </c>
      <c r="R116">
        <v>358.1</v>
      </c>
      <c r="S116">
        <v>15323</v>
      </c>
      <c r="T116" t="s">
        <v>45</v>
      </c>
      <c r="U116">
        <v>0</v>
      </c>
      <c r="V116">
        <v>1</v>
      </c>
      <c r="W116">
        <v>1</v>
      </c>
      <c r="X116">
        <v>1</v>
      </c>
      <c r="Y116">
        <v>3.55</v>
      </c>
      <c r="Z116">
        <v>4.3</v>
      </c>
      <c r="AA116">
        <v>0.85</v>
      </c>
      <c r="AB116">
        <f t="shared" si="11"/>
        <v>5</v>
      </c>
      <c r="AC116">
        <f t="shared" si="12"/>
        <v>4.33</v>
      </c>
      <c r="AD116" t="str">
        <f t="shared" si="13"/>
        <v>⭐⭐⭐⭐</v>
      </c>
      <c r="AE116" t="str">
        <f t="shared" si="14"/>
        <v>Maintain current resource allocation</v>
      </c>
      <c r="AF116" t="str">
        <f t="shared" si="15"/>
        <v>Recommended for medium-high orders</v>
      </c>
    </row>
    <row r="117" spans="1:32" ht="24" customHeight="1">
      <c r="A117" t="s">
        <v>286</v>
      </c>
      <c r="B117" t="s">
        <v>69</v>
      </c>
      <c r="C117" t="s">
        <v>70</v>
      </c>
      <c r="D117" t="s">
        <v>71</v>
      </c>
      <c r="E117" t="s">
        <v>287</v>
      </c>
      <c r="F117" t="s">
        <v>37</v>
      </c>
      <c r="G117">
        <v>11039</v>
      </c>
      <c r="H117">
        <v>45850</v>
      </c>
      <c r="I117">
        <v>45890</v>
      </c>
      <c r="J117">
        <v>33</v>
      </c>
      <c r="K117">
        <v>40</v>
      </c>
      <c r="L117">
        <f t="shared" si="8"/>
        <v>7</v>
      </c>
      <c r="M117" t="str">
        <f t="shared" si="9"/>
        <v>Delayed</v>
      </c>
      <c r="N117">
        <v>14</v>
      </c>
      <c r="O117">
        <v>10</v>
      </c>
      <c r="P117">
        <f t="shared" si="10"/>
        <v>0.7142857142857143</v>
      </c>
      <c r="Q117">
        <v>39</v>
      </c>
      <c r="R117">
        <v>276</v>
      </c>
      <c r="S117">
        <v>14039</v>
      </c>
      <c r="T117" t="s">
        <v>45</v>
      </c>
      <c r="U117">
        <v>3</v>
      </c>
      <c r="V117">
        <v>8</v>
      </c>
      <c r="W117">
        <v>3</v>
      </c>
      <c r="X117">
        <v>0</v>
      </c>
      <c r="Y117">
        <v>3.31</v>
      </c>
      <c r="Z117">
        <v>3.8</v>
      </c>
      <c r="AA117">
        <v>0.78</v>
      </c>
      <c r="AB117">
        <f t="shared" si="11"/>
        <v>5</v>
      </c>
      <c r="AC117">
        <f t="shared" si="12"/>
        <v>3.97</v>
      </c>
      <c r="AD117" t="str">
        <f t="shared" si="13"/>
        <v>⭐⭐⭐</v>
      </c>
      <c r="AE117" t="str">
        <f t="shared" si="14"/>
        <v>Increase daily output monitoring</v>
      </c>
      <c r="AF117" t="str">
        <f t="shared" si="15"/>
        <v>Use for normal priority orders</v>
      </c>
    </row>
    <row r="118" spans="1:32" ht="24" customHeight="1">
      <c r="A118" t="s">
        <v>288</v>
      </c>
      <c r="B118" t="s">
        <v>33</v>
      </c>
      <c r="C118" t="s">
        <v>34</v>
      </c>
      <c r="D118" t="s">
        <v>35</v>
      </c>
      <c r="E118" t="s">
        <v>289</v>
      </c>
      <c r="F118" t="s">
        <v>67</v>
      </c>
      <c r="G118">
        <v>43887</v>
      </c>
      <c r="H118">
        <v>45784</v>
      </c>
      <c r="I118">
        <v>45848</v>
      </c>
      <c r="J118">
        <v>60</v>
      </c>
      <c r="K118">
        <v>61</v>
      </c>
      <c r="L118">
        <f t="shared" si="8"/>
        <v>1</v>
      </c>
      <c r="M118" t="str">
        <f t="shared" si="9"/>
        <v>Delayed</v>
      </c>
      <c r="N118">
        <v>10</v>
      </c>
      <c r="O118">
        <v>8</v>
      </c>
      <c r="P118">
        <f t="shared" si="10"/>
        <v>0.8</v>
      </c>
      <c r="Q118">
        <v>48</v>
      </c>
      <c r="R118">
        <v>719.5</v>
      </c>
      <c r="S118">
        <v>47887</v>
      </c>
      <c r="T118" t="s">
        <v>45</v>
      </c>
      <c r="U118">
        <v>3</v>
      </c>
      <c r="V118">
        <v>4</v>
      </c>
      <c r="W118">
        <v>3</v>
      </c>
      <c r="X118">
        <v>6</v>
      </c>
      <c r="Y118">
        <v>2.38</v>
      </c>
      <c r="Z118">
        <v>4.2</v>
      </c>
      <c r="AA118">
        <v>0.83</v>
      </c>
      <c r="AB118">
        <f t="shared" si="11"/>
        <v>5</v>
      </c>
      <c r="AC118">
        <f t="shared" si="12"/>
        <v>4.22</v>
      </c>
      <c r="AD118" t="str">
        <f t="shared" si="13"/>
        <v>⭐⭐⭐⭐</v>
      </c>
      <c r="AE118" t="str">
        <f t="shared" si="14"/>
        <v>Improve workforce allocation</v>
      </c>
      <c r="AF118" t="str">
        <f t="shared" si="15"/>
        <v>Recommended for medium-high orders</v>
      </c>
    </row>
    <row r="119" spans="1:32" ht="24" customHeight="1">
      <c r="A119" t="s">
        <v>290</v>
      </c>
      <c r="B119" t="s">
        <v>53</v>
      </c>
      <c r="C119" t="s">
        <v>54</v>
      </c>
      <c r="D119" t="s">
        <v>55</v>
      </c>
      <c r="E119" t="s">
        <v>291</v>
      </c>
      <c r="F119" t="s">
        <v>44</v>
      </c>
      <c r="G119">
        <v>5697</v>
      </c>
      <c r="H119">
        <v>45783</v>
      </c>
      <c r="I119">
        <v>45805</v>
      </c>
      <c r="J119">
        <v>16</v>
      </c>
      <c r="K119">
        <v>17</v>
      </c>
      <c r="L119">
        <f t="shared" si="8"/>
        <v>1</v>
      </c>
      <c r="M119" t="str">
        <f t="shared" si="9"/>
        <v>Delayed</v>
      </c>
      <c r="N119">
        <v>16</v>
      </c>
      <c r="O119">
        <v>12</v>
      </c>
      <c r="P119">
        <f t="shared" si="10"/>
        <v>0.75</v>
      </c>
      <c r="Q119">
        <v>45</v>
      </c>
      <c r="R119">
        <v>335.1</v>
      </c>
      <c r="S119">
        <v>8697</v>
      </c>
      <c r="T119" t="s">
        <v>45</v>
      </c>
      <c r="U119">
        <v>0</v>
      </c>
      <c r="V119">
        <v>3</v>
      </c>
      <c r="W119">
        <v>0</v>
      </c>
      <c r="X119">
        <v>3</v>
      </c>
      <c r="Y119">
        <v>3</v>
      </c>
      <c r="Z119">
        <v>4.5</v>
      </c>
      <c r="AA119">
        <v>0.88</v>
      </c>
      <c r="AB119">
        <f t="shared" si="11"/>
        <v>5</v>
      </c>
      <c r="AC119">
        <f t="shared" si="12"/>
        <v>4.33</v>
      </c>
      <c r="AD119" t="str">
        <f t="shared" si="13"/>
        <v>⭐⭐⭐⭐</v>
      </c>
      <c r="AE119" t="str">
        <f t="shared" si="14"/>
        <v>Increase daily output monitoring</v>
      </c>
      <c r="AF119" t="str">
        <f t="shared" si="15"/>
        <v>Recommended for medium-high orders</v>
      </c>
    </row>
    <row r="120" spans="1:32" ht="24" customHeight="1">
      <c r="A120" t="s">
        <v>292</v>
      </c>
      <c r="B120" t="s">
        <v>78</v>
      </c>
      <c r="C120" t="s">
        <v>79</v>
      </c>
      <c r="D120" t="s">
        <v>80</v>
      </c>
      <c r="E120" t="s">
        <v>293</v>
      </c>
      <c r="F120" t="s">
        <v>57</v>
      </c>
      <c r="G120">
        <v>13843</v>
      </c>
      <c r="H120">
        <v>45924</v>
      </c>
      <c r="I120">
        <v>45955</v>
      </c>
      <c r="J120">
        <v>30</v>
      </c>
      <c r="K120">
        <v>30</v>
      </c>
      <c r="L120">
        <f t="shared" si="8"/>
        <v>0</v>
      </c>
      <c r="M120" t="str">
        <f t="shared" si="9"/>
        <v>On Time</v>
      </c>
      <c r="N120">
        <v>20</v>
      </c>
      <c r="O120">
        <v>17</v>
      </c>
      <c r="P120">
        <f t="shared" si="10"/>
        <v>0.85</v>
      </c>
      <c r="Q120">
        <v>60</v>
      </c>
      <c r="R120">
        <v>461.4</v>
      </c>
      <c r="S120">
        <v>14843</v>
      </c>
      <c r="T120" t="s">
        <v>45</v>
      </c>
      <c r="U120">
        <v>2</v>
      </c>
      <c r="V120">
        <v>3</v>
      </c>
      <c r="W120">
        <v>0</v>
      </c>
      <c r="X120">
        <v>2</v>
      </c>
      <c r="Y120">
        <v>3.83</v>
      </c>
      <c r="Z120">
        <v>4.8</v>
      </c>
      <c r="AA120">
        <v>0.92</v>
      </c>
      <c r="AB120">
        <f t="shared" si="11"/>
        <v>5</v>
      </c>
      <c r="AC120">
        <f t="shared" si="12"/>
        <v>4.66</v>
      </c>
      <c r="AD120" t="str">
        <f t="shared" si="13"/>
        <v>⭐⭐⭐⭐⭐</v>
      </c>
      <c r="AE120" t="str">
        <f t="shared" si="14"/>
        <v>Maintain current resource allocation</v>
      </c>
      <c r="AF120" t="str">
        <f t="shared" si="15"/>
        <v>Best for urgent/high priority orders</v>
      </c>
    </row>
    <row r="121" spans="1:32" ht="24" customHeight="1">
      <c r="A121" t="s">
        <v>294</v>
      </c>
      <c r="B121" t="s">
        <v>40</v>
      </c>
      <c r="C121" t="s">
        <v>41</v>
      </c>
      <c r="D121" t="s">
        <v>42</v>
      </c>
      <c r="E121" t="s">
        <v>295</v>
      </c>
      <c r="F121" t="s">
        <v>44</v>
      </c>
      <c r="G121">
        <v>7738</v>
      </c>
      <c r="H121">
        <v>45734</v>
      </c>
      <c r="I121">
        <v>45762</v>
      </c>
      <c r="J121">
        <v>26</v>
      </c>
      <c r="K121">
        <v>26</v>
      </c>
      <c r="L121">
        <f t="shared" si="8"/>
        <v>0</v>
      </c>
      <c r="M121" t="str">
        <f t="shared" si="9"/>
        <v>On Time</v>
      </c>
      <c r="N121">
        <v>17</v>
      </c>
      <c r="O121">
        <v>14</v>
      </c>
      <c r="P121">
        <f t="shared" si="10"/>
        <v>0.82352941176470584</v>
      </c>
      <c r="Q121">
        <v>48</v>
      </c>
      <c r="R121">
        <v>297.60000000000002</v>
      </c>
      <c r="S121">
        <v>10738</v>
      </c>
      <c r="T121" t="s">
        <v>45</v>
      </c>
      <c r="U121">
        <v>3</v>
      </c>
      <c r="V121">
        <v>0</v>
      </c>
      <c r="W121">
        <v>2</v>
      </c>
      <c r="X121">
        <v>2</v>
      </c>
      <c r="Y121">
        <v>3.69</v>
      </c>
      <c r="Z121">
        <v>4.3</v>
      </c>
      <c r="AA121">
        <v>0.85</v>
      </c>
      <c r="AB121">
        <f t="shared" si="11"/>
        <v>5</v>
      </c>
      <c r="AC121">
        <f t="shared" si="12"/>
        <v>4.4000000000000004</v>
      </c>
      <c r="AD121" t="str">
        <f t="shared" si="13"/>
        <v>⭐⭐⭐⭐</v>
      </c>
      <c r="AE121" t="str">
        <f t="shared" si="14"/>
        <v>Maintain current resource allocation</v>
      </c>
      <c r="AF121" t="str">
        <f t="shared" si="15"/>
        <v>Recommended for medium-high orders</v>
      </c>
    </row>
    <row r="122" spans="1:32" ht="24" customHeight="1">
      <c r="A122" t="s">
        <v>296</v>
      </c>
      <c r="B122" t="s">
        <v>53</v>
      </c>
      <c r="C122" t="s">
        <v>54</v>
      </c>
      <c r="D122" t="s">
        <v>55</v>
      </c>
      <c r="E122" t="s">
        <v>297</v>
      </c>
      <c r="F122" t="s">
        <v>57</v>
      </c>
      <c r="G122">
        <v>18915</v>
      </c>
      <c r="H122">
        <v>45698</v>
      </c>
      <c r="I122">
        <v>45731</v>
      </c>
      <c r="J122">
        <v>31</v>
      </c>
      <c r="K122">
        <v>30</v>
      </c>
      <c r="L122">
        <f t="shared" si="8"/>
        <v>-1</v>
      </c>
      <c r="M122" t="str">
        <f t="shared" si="9"/>
        <v>Early</v>
      </c>
      <c r="N122">
        <v>19</v>
      </c>
      <c r="O122">
        <v>15</v>
      </c>
      <c r="P122">
        <f t="shared" si="10"/>
        <v>0.78947368421052633</v>
      </c>
      <c r="Q122">
        <v>48</v>
      </c>
      <c r="R122">
        <v>630.5</v>
      </c>
      <c r="S122">
        <v>21915</v>
      </c>
      <c r="T122" t="s">
        <v>45</v>
      </c>
      <c r="U122">
        <v>1</v>
      </c>
      <c r="V122">
        <v>2</v>
      </c>
      <c r="W122">
        <v>0</v>
      </c>
      <c r="X122">
        <v>4</v>
      </c>
      <c r="Y122">
        <v>3.04</v>
      </c>
      <c r="Z122">
        <v>4.5</v>
      </c>
      <c r="AA122">
        <v>0.88</v>
      </c>
      <c r="AB122">
        <f t="shared" si="11"/>
        <v>5</v>
      </c>
      <c r="AC122">
        <f t="shared" si="12"/>
        <v>4.51</v>
      </c>
      <c r="AD122" t="str">
        <f t="shared" si="13"/>
        <v>⭐⭐⭐⭐⭐</v>
      </c>
      <c r="AE122" t="str">
        <f t="shared" si="14"/>
        <v>Maintain current resource allocation</v>
      </c>
      <c r="AF122" t="str">
        <f t="shared" si="15"/>
        <v>Best for urgent/high priority orders</v>
      </c>
    </row>
    <row r="123" spans="1:32" ht="24" customHeight="1">
      <c r="A123" t="s">
        <v>298</v>
      </c>
      <c r="B123" t="s">
        <v>61</v>
      </c>
      <c r="C123" t="s">
        <v>62</v>
      </c>
      <c r="D123" t="s">
        <v>63</v>
      </c>
      <c r="E123" t="s">
        <v>299</v>
      </c>
      <c r="F123" t="s">
        <v>37</v>
      </c>
      <c r="G123">
        <v>16241</v>
      </c>
      <c r="H123">
        <v>45766</v>
      </c>
      <c r="I123">
        <v>45796</v>
      </c>
      <c r="J123">
        <v>25</v>
      </c>
      <c r="K123">
        <v>29</v>
      </c>
      <c r="L123">
        <f t="shared" si="8"/>
        <v>4</v>
      </c>
      <c r="M123" t="str">
        <f t="shared" si="9"/>
        <v>Delayed</v>
      </c>
      <c r="N123">
        <v>12</v>
      </c>
      <c r="O123">
        <v>8</v>
      </c>
      <c r="P123">
        <f t="shared" si="10"/>
        <v>0.66666666666666663</v>
      </c>
      <c r="Q123">
        <v>40</v>
      </c>
      <c r="R123">
        <v>560</v>
      </c>
      <c r="S123">
        <v>18241</v>
      </c>
      <c r="T123" t="s">
        <v>45</v>
      </c>
      <c r="U123">
        <v>0</v>
      </c>
      <c r="V123">
        <v>9</v>
      </c>
      <c r="W123">
        <v>2</v>
      </c>
      <c r="X123">
        <v>0</v>
      </c>
      <c r="Y123">
        <v>3.09</v>
      </c>
      <c r="Z123">
        <v>4</v>
      </c>
      <c r="AA123">
        <v>0.8</v>
      </c>
      <c r="AB123">
        <f t="shared" si="11"/>
        <v>5</v>
      </c>
      <c r="AC123">
        <f t="shared" si="12"/>
        <v>4.0199999999999996</v>
      </c>
      <c r="AD123" t="str">
        <f t="shared" si="13"/>
        <v>⭐⭐⭐⭐</v>
      </c>
      <c r="AE123" t="str">
        <f t="shared" si="14"/>
        <v>Reduce risk days and add supervisor monitoring</v>
      </c>
      <c r="AF123" t="str">
        <f t="shared" si="15"/>
        <v>Recommended for medium-high orders</v>
      </c>
    </row>
    <row r="124" spans="1:32" ht="24" customHeight="1">
      <c r="A124" t="s">
        <v>300</v>
      </c>
      <c r="B124" t="s">
        <v>69</v>
      </c>
      <c r="C124" t="s">
        <v>70</v>
      </c>
      <c r="D124" t="s">
        <v>71</v>
      </c>
      <c r="E124" t="s">
        <v>301</v>
      </c>
      <c r="F124" t="s">
        <v>37</v>
      </c>
      <c r="G124">
        <v>25693</v>
      </c>
      <c r="H124">
        <v>45912</v>
      </c>
      <c r="I124">
        <v>45965</v>
      </c>
      <c r="J124">
        <v>45</v>
      </c>
      <c r="K124">
        <v>50</v>
      </c>
      <c r="L124">
        <f t="shared" si="8"/>
        <v>5</v>
      </c>
      <c r="M124" t="str">
        <f t="shared" si="9"/>
        <v>Delayed</v>
      </c>
      <c r="N124">
        <v>12</v>
      </c>
      <c r="O124">
        <v>8</v>
      </c>
      <c r="P124">
        <f t="shared" si="10"/>
        <v>0.66666666666666663</v>
      </c>
      <c r="Q124">
        <v>44</v>
      </c>
      <c r="R124">
        <v>513.9</v>
      </c>
      <c r="S124">
        <v>27693</v>
      </c>
      <c r="T124" t="s">
        <v>45</v>
      </c>
      <c r="U124">
        <v>2</v>
      </c>
      <c r="V124">
        <v>6</v>
      </c>
      <c r="W124">
        <v>1</v>
      </c>
      <c r="X124">
        <v>3</v>
      </c>
      <c r="Y124">
        <v>3.36</v>
      </c>
      <c r="Z124">
        <v>3.8</v>
      </c>
      <c r="AA124">
        <v>0.78</v>
      </c>
      <c r="AB124">
        <f t="shared" si="11"/>
        <v>5</v>
      </c>
      <c r="AC124">
        <f t="shared" si="12"/>
        <v>3.94</v>
      </c>
      <c r="AD124" t="str">
        <f t="shared" si="13"/>
        <v>⭐⭐⭐</v>
      </c>
      <c r="AE124" t="str">
        <f t="shared" si="14"/>
        <v>Increase daily output monitoring</v>
      </c>
      <c r="AF124" t="str">
        <f t="shared" si="15"/>
        <v>Use for normal priority orders</v>
      </c>
    </row>
    <row r="125" spans="1:32" ht="24" customHeight="1">
      <c r="A125" t="s">
        <v>302</v>
      </c>
      <c r="B125" t="s">
        <v>78</v>
      </c>
      <c r="C125" t="s">
        <v>79</v>
      </c>
      <c r="D125" t="s">
        <v>80</v>
      </c>
      <c r="E125" t="s">
        <v>303</v>
      </c>
      <c r="F125" t="s">
        <v>57</v>
      </c>
      <c r="G125">
        <v>19980</v>
      </c>
      <c r="H125">
        <v>45809</v>
      </c>
      <c r="I125">
        <v>45840</v>
      </c>
      <c r="J125">
        <v>30</v>
      </c>
      <c r="K125">
        <v>30</v>
      </c>
      <c r="L125">
        <f t="shared" si="8"/>
        <v>0</v>
      </c>
      <c r="M125" t="str">
        <f t="shared" si="9"/>
        <v>On Time</v>
      </c>
      <c r="N125">
        <v>19</v>
      </c>
      <c r="O125">
        <v>16</v>
      </c>
      <c r="P125">
        <f t="shared" si="10"/>
        <v>0.84210526315789469</v>
      </c>
      <c r="Q125">
        <v>68</v>
      </c>
      <c r="R125">
        <v>666</v>
      </c>
      <c r="S125">
        <v>23980</v>
      </c>
      <c r="T125" t="s">
        <v>45</v>
      </c>
      <c r="U125">
        <v>3</v>
      </c>
      <c r="V125">
        <v>6</v>
      </c>
      <c r="W125">
        <v>0</v>
      </c>
      <c r="X125">
        <v>2</v>
      </c>
      <c r="Y125">
        <v>3.15</v>
      </c>
      <c r="Z125">
        <v>4.8</v>
      </c>
      <c r="AA125">
        <v>0.92</v>
      </c>
      <c r="AB125">
        <f t="shared" si="11"/>
        <v>5</v>
      </c>
      <c r="AC125">
        <f t="shared" si="12"/>
        <v>4.6500000000000004</v>
      </c>
      <c r="AD125" t="str">
        <f t="shared" si="13"/>
        <v>⭐⭐⭐⭐⭐</v>
      </c>
      <c r="AE125" t="str">
        <f t="shared" si="14"/>
        <v>Maintain current resource allocation</v>
      </c>
      <c r="AF125" t="str">
        <f t="shared" si="15"/>
        <v>Best for urgent/high priority orders</v>
      </c>
    </row>
    <row r="126" spans="1:32" ht="24" customHeight="1">
      <c r="A126" t="s">
        <v>304</v>
      </c>
      <c r="B126" t="s">
        <v>78</v>
      </c>
      <c r="C126" t="s">
        <v>79</v>
      </c>
      <c r="D126" t="s">
        <v>80</v>
      </c>
      <c r="E126" t="s">
        <v>305</v>
      </c>
      <c r="F126" t="s">
        <v>67</v>
      </c>
      <c r="G126">
        <v>58670</v>
      </c>
      <c r="H126">
        <v>45935</v>
      </c>
      <c r="I126">
        <v>46006</v>
      </c>
      <c r="J126">
        <v>62</v>
      </c>
      <c r="K126">
        <v>66</v>
      </c>
      <c r="L126">
        <f t="shared" si="8"/>
        <v>4</v>
      </c>
      <c r="M126" t="str">
        <f t="shared" si="9"/>
        <v>Delayed</v>
      </c>
      <c r="N126">
        <v>22</v>
      </c>
      <c r="O126">
        <v>19</v>
      </c>
      <c r="P126">
        <f t="shared" si="10"/>
        <v>0.86363636363636365</v>
      </c>
      <c r="Q126">
        <v>61</v>
      </c>
      <c r="R126">
        <v>888.9</v>
      </c>
      <c r="S126">
        <v>59670</v>
      </c>
      <c r="T126" t="s">
        <v>45</v>
      </c>
      <c r="U126">
        <v>1</v>
      </c>
      <c r="V126">
        <v>0</v>
      </c>
      <c r="W126">
        <v>0</v>
      </c>
      <c r="X126">
        <v>1</v>
      </c>
      <c r="Y126">
        <v>2.8</v>
      </c>
      <c r="Z126">
        <v>4.8</v>
      </c>
      <c r="AA126">
        <v>0.92</v>
      </c>
      <c r="AB126">
        <f t="shared" si="11"/>
        <v>5</v>
      </c>
      <c r="AC126">
        <f t="shared" si="12"/>
        <v>4.5599999999999996</v>
      </c>
      <c r="AD126" t="str">
        <f t="shared" si="13"/>
        <v>⭐⭐⭐⭐⭐</v>
      </c>
      <c r="AE126" t="str">
        <f t="shared" si="14"/>
        <v>Increase daily output monitoring</v>
      </c>
      <c r="AF126" t="str">
        <f t="shared" si="15"/>
        <v>Best for urgent/high priority orders</v>
      </c>
    </row>
    <row r="127" spans="1:32" ht="24" customHeight="1">
      <c r="A127" t="s">
        <v>306</v>
      </c>
      <c r="B127" t="s">
        <v>69</v>
      </c>
      <c r="C127" t="s">
        <v>70</v>
      </c>
      <c r="D127" t="s">
        <v>71</v>
      </c>
      <c r="E127" t="s">
        <v>307</v>
      </c>
      <c r="F127" t="s">
        <v>37</v>
      </c>
      <c r="G127">
        <v>12435</v>
      </c>
      <c r="H127">
        <v>45974</v>
      </c>
      <c r="I127">
        <v>46007</v>
      </c>
      <c r="J127">
        <v>25</v>
      </c>
      <c r="K127">
        <v>28</v>
      </c>
      <c r="L127">
        <f t="shared" si="8"/>
        <v>3</v>
      </c>
      <c r="M127" t="str">
        <f t="shared" si="9"/>
        <v>Delayed</v>
      </c>
      <c r="N127">
        <v>8</v>
      </c>
      <c r="O127">
        <v>5</v>
      </c>
      <c r="P127">
        <f t="shared" si="10"/>
        <v>0.625</v>
      </c>
      <c r="Q127">
        <v>41</v>
      </c>
      <c r="R127">
        <v>444.1</v>
      </c>
      <c r="S127">
        <v>14435</v>
      </c>
      <c r="T127" t="s">
        <v>45</v>
      </c>
      <c r="U127">
        <v>0</v>
      </c>
      <c r="V127">
        <v>4</v>
      </c>
      <c r="W127">
        <v>0</v>
      </c>
      <c r="X127">
        <v>5</v>
      </c>
      <c r="Y127">
        <v>4.0999999999999996</v>
      </c>
      <c r="Z127">
        <v>3.8</v>
      </c>
      <c r="AA127">
        <v>0.78</v>
      </c>
      <c r="AB127">
        <f t="shared" si="11"/>
        <v>5</v>
      </c>
      <c r="AC127">
        <f t="shared" si="12"/>
        <v>3.9</v>
      </c>
      <c r="AD127" t="str">
        <f t="shared" si="13"/>
        <v>⭐⭐⭐</v>
      </c>
      <c r="AE127" t="str">
        <f t="shared" si="14"/>
        <v>Improve workforce allocation</v>
      </c>
      <c r="AF127" t="str">
        <f t="shared" si="15"/>
        <v>Use for normal priority orders</v>
      </c>
    </row>
    <row r="128" spans="1:32" ht="24" customHeight="1">
      <c r="A128" t="s">
        <v>308</v>
      </c>
      <c r="B128" t="s">
        <v>33</v>
      </c>
      <c r="C128" t="s">
        <v>34</v>
      </c>
      <c r="D128" t="s">
        <v>35</v>
      </c>
      <c r="E128" t="s">
        <v>309</v>
      </c>
      <c r="F128" t="s">
        <v>57</v>
      </c>
      <c r="G128">
        <v>5257</v>
      </c>
      <c r="H128">
        <v>45781</v>
      </c>
      <c r="I128">
        <v>45797</v>
      </c>
      <c r="J128">
        <v>16</v>
      </c>
      <c r="K128">
        <v>15</v>
      </c>
      <c r="L128">
        <f t="shared" si="8"/>
        <v>-1</v>
      </c>
      <c r="M128" t="str">
        <f t="shared" si="9"/>
        <v>Early</v>
      </c>
      <c r="N128">
        <v>14</v>
      </c>
      <c r="O128">
        <v>9</v>
      </c>
      <c r="P128">
        <f t="shared" si="10"/>
        <v>0.6428571428571429</v>
      </c>
      <c r="Q128">
        <v>47</v>
      </c>
      <c r="R128">
        <v>350.5</v>
      </c>
      <c r="S128">
        <v>6257</v>
      </c>
      <c r="T128" t="s">
        <v>45</v>
      </c>
      <c r="U128">
        <v>0</v>
      </c>
      <c r="V128">
        <v>5</v>
      </c>
      <c r="W128">
        <v>3</v>
      </c>
      <c r="X128">
        <v>2</v>
      </c>
      <c r="Y128">
        <v>3.68</v>
      </c>
      <c r="Z128">
        <v>4.2</v>
      </c>
      <c r="AA128">
        <v>0.83</v>
      </c>
      <c r="AB128">
        <f t="shared" si="11"/>
        <v>5</v>
      </c>
      <c r="AC128">
        <f t="shared" si="12"/>
        <v>4.25</v>
      </c>
      <c r="AD128" t="str">
        <f t="shared" si="13"/>
        <v>⭐⭐⭐⭐</v>
      </c>
      <c r="AE128" t="str">
        <f t="shared" si="14"/>
        <v>Maintain current resource allocation</v>
      </c>
      <c r="AF128" t="str">
        <f t="shared" si="15"/>
        <v>Recommended for medium-high orders</v>
      </c>
    </row>
    <row r="129" spans="1:32" ht="24" customHeight="1">
      <c r="A129" t="s">
        <v>310</v>
      </c>
      <c r="B129" t="s">
        <v>33</v>
      </c>
      <c r="C129" t="s">
        <v>34</v>
      </c>
      <c r="D129" t="s">
        <v>35</v>
      </c>
      <c r="E129" t="s">
        <v>311</v>
      </c>
      <c r="F129" t="s">
        <v>44</v>
      </c>
      <c r="G129">
        <v>10759</v>
      </c>
      <c r="H129">
        <v>45852</v>
      </c>
      <c r="I129">
        <v>45895</v>
      </c>
      <c r="J129">
        <v>36</v>
      </c>
      <c r="K129">
        <v>40</v>
      </c>
      <c r="L129">
        <f t="shared" si="8"/>
        <v>4</v>
      </c>
      <c r="M129" t="str">
        <f t="shared" si="9"/>
        <v>Delayed</v>
      </c>
      <c r="N129">
        <v>11</v>
      </c>
      <c r="O129">
        <v>9</v>
      </c>
      <c r="P129">
        <f t="shared" si="10"/>
        <v>0.81818181818181823</v>
      </c>
      <c r="Q129">
        <v>35</v>
      </c>
      <c r="R129">
        <v>269</v>
      </c>
      <c r="S129">
        <v>10759</v>
      </c>
      <c r="T129" t="s">
        <v>38</v>
      </c>
      <c r="U129">
        <v>3</v>
      </c>
      <c r="V129">
        <v>8</v>
      </c>
      <c r="W129">
        <v>1</v>
      </c>
      <c r="X129">
        <v>3</v>
      </c>
      <c r="Y129">
        <v>2.84</v>
      </c>
      <c r="Z129">
        <v>4.2</v>
      </c>
      <c r="AA129">
        <v>0.83</v>
      </c>
      <c r="AB129">
        <f t="shared" si="11"/>
        <v>5</v>
      </c>
      <c r="AC129">
        <f t="shared" si="12"/>
        <v>4.2300000000000004</v>
      </c>
      <c r="AD129" t="str">
        <f t="shared" si="13"/>
        <v>⭐⭐⭐⭐</v>
      </c>
      <c r="AE129" t="str">
        <f t="shared" si="14"/>
        <v>Increase daily output monitoring</v>
      </c>
      <c r="AF129" t="str">
        <f t="shared" si="15"/>
        <v>Recommended for medium-high orders</v>
      </c>
    </row>
    <row r="130" spans="1:32" ht="24" customHeight="1">
      <c r="A130" t="s">
        <v>312</v>
      </c>
      <c r="B130" t="s">
        <v>40</v>
      </c>
      <c r="C130" t="s">
        <v>41</v>
      </c>
      <c r="D130" t="s">
        <v>42</v>
      </c>
      <c r="E130" t="s">
        <v>313</v>
      </c>
      <c r="F130" t="s">
        <v>37</v>
      </c>
      <c r="G130">
        <v>10309</v>
      </c>
      <c r="H130">
        <v>45801</v>
      </c>
      <c r="I130">
        <v>45835</v>
      </c>
      <c r="J130">
        <v>29</v>
      </c>
      <c r="K130">
        <v>30</v>
      </c>
      <c r="L130">
        <f t="shared" ref="L130:L193" si="16">K130-J130</f>
        <v>1</v>
      </c>
      <c r="M130" t="str">
        <f t="shared" ref="M130:M193" si="17">IF(L130&gt;0,"Delayed",IF(L130&lt;0,"Early","On Time"))</f>
        <v>Delayed</v>
      </c>
      <c r="N130">
        <v>11</v>
      </c>
      <c r="O130">
        <v>8</v>
      </c>
      <c r="P130">
        <f t="shared" ref="P130:P193" si="18">O130/N130</f>
        <v>0.72727272727272729</v>
      </c>
      <c r="Q130">
        <v>56</v>
      </c>
      <c r="R130">
        <v>343.6</v>
      </c>
      <c r="S130">
        <v>13309</v>
      </c>
      <c r="T130" t="s">
        <v>38</v>
      </c>
      <c r="U130">
        <v>2</v>
      </c>
      <c r="V130">
        <v>10</v>
      </c>
      <c r="W130">
        <v>0</v>
      </c>
      <c r="X130">
        <v>0</v>
      </c>
      <c r="Y130">
        <v>3.32</v>
      </c>
      <c r="Z130">
        <v>4.3</v>
      </c>
      <c r="AA130">
        <v>0.85</v>
      </c>
      <c r="AB130">
        <f t="shared" ref="AB130:AB193" si="19">MIN(5,MAX(1,(R130/MAX(1,Q130))*0.08 + (1-Y130/100)*2.2 + Z130*0.35 + AA130*2))</f>
        <v>5</v>
      </c>
      <c r="AC130">
        <f t="shared" ref="AC130:AC193" si="20">ROUND((0.3*Z130)+(0.25*(AA130*5))+(0.2*AB130)+(0.15*(P130*5))+(0.1*IF(M130="Delayed",3.2,IF(M130="On Time",4.3,4.7))),2)</f>
        <v>4.22</v>
      </c>
      <c r="AD130" t="str">
        <f t="shared" ref="AD130:AD193" si="21">IF(AC130&gt;=4.5,"⭐⭐⭐⭐⭐",IF(AC130&gt;=4,"⭐⭐⭐⭐",IF(AC130&gt;=3.5,"⭐⭐⭐",IF(AC130&gt;=3,"⭐⭐","⭐"))))</f>
        <v>⭐⭐⭐⭐</v>
      </c>
      <c r="AE130" t="str">
        <f t="shared" ref="AE130:AE193" si="22">IF(M130="Delayed",IF(V130&gt;8,"Reduce risk days and add supervisor monitoring",IF(W130&gt;3,"Increase machine maintenance support",IF(X130&gt;3,"Improve workforce allocation","Increase daily output monitoring"))),IF(T130="Yes","Suitable for urgent style handling","Maintain current resource allocation"))</f>
        <v>Reduce risk days and add supervisor monitoring</v>
      </c>
      <c r="AF130" t="str">
        <f t="shared" ref="AF130:AF193" si="23">IF(AC130&gt;=4.5,"Best for urgent/high priority orders",IF(AC130&gt;=4,"Recommended for medium-high orders",IF(AC130&gt;=3.5,"Use for normal priority orders","Use only with management support")))</f>
        <v>Recommended for medium-high orders</v>
      </c>
    </row>
    <row r="131" spans="1:32" ht="24" customHeight="1">
      <c r="A131" t="s">
        <v>314</v>
      </c>
      <c r="B131" t="s">
        <v>40</v>
      </c>
      <c r="C131" t="s">
        <v>41</v>
      </c>
      <c r="D131" t="s">
        <v>42</v>
      </c>
      <c r="E131" t="s">
        <v>315</v>
      </c>
      <c r="F131" t="s">
        <v>37</v>
      </c>
      <c r="G131">
        <v>20305</v>
      </c>
      <c r="H131">
        <v>45934</v>
      </c>
      <c r="I131">
        <v>45961</v>
      </c>
      <c r="J131">
        <v>24</v>
      </c>
      <c r="K131">
        <v>25</v>
      </c>
      <c r="L131">
        <f t="shared" si="16"/>
        <v>1</v>
      </c>
      <c r="M131" t="str">
        <f t="shared" si="17"/>
        <v>Delayed</v>
      </c>
      <c r="N131">
        <v>12</v>
      </c>
      <c r="O131">
        <v>9</v>
      </c>
      <c r="P131">
        <f t="shared" si="18"/>
        <v>0.75</v>
      </c>
      <c r="Q131">
        <v>56</v>
      </c>
      <c r="R131">
        <v>812.2</v>
      </c>
      <c r="S131">
        <v>21305</v>
      </c>
      <c r="T131" t="s">
        <v>45</v>
      </c>
      <c r="U131">
        <v>3</v>
      </c>
      <c r="V131">
        <v>5</v>
      </c>
      <c r="W131">
        <v>0</v>
      </c>
      <c r="X131">
        <v>0</v>
      </c>
      <c r="Y131">
        <v>2.71</v>
      </c>
      <c r="Z131">
        <v>4.3</v>
      </c>
      <c r="AA131">
        <v>0.85</v>
      </c>
      <c r="AB131">
        <f t="shared" si="19"/>
        <v>5</v>
      </c>
      <c r="AC131">
        <f t="shared" si="20"/>
        <v>4.24</v>
      </c>
      <c r="AD131" t="str">
        <f t="shared" si="21"/>
        <v>⭐⭐⭐⭐</v>
      </c>
      <c r="AE131" t="str">
        <f t="shared" si="22"/>
        <v>Increase daily output monitoring</v>
      </c>
      <c r="AF131" t="str">
        <f t="shared" si="23"/>
        <v>Recommended for medium-high orders</v>
      </c>
    </row>
    <row r="132" spans="1:32" ht="24" customHeight="1">
      <c r="A132" t="s">
        <v>316</v>
      </c>
      <c r="B132" t="s">
        <v>53</v>
      </c>
      <c r="C132" t="s">
        <v>54</v>
      </c>
      <c r="D132" t="s">
        <v>55</v>
      </c>
      <c r="E132" t="s">
        <v>317</v>
      </c>
      <c r="F132" t="s">
        <v>67</v>
      </c>
      <c r="G132">
        <v>56409</v>
      </c>
      <c r="H132">
        <v>45909</v>
      </c>
      <c r="I132">
        <v>45975</v>
      </c>
      <c r="J132">
        <v>66</v>
      </c>
      <c r="K132">
        <v>65</v>
      </c>
      <c r="L132">
        <f t="shared" si="16"/>
        <v>-1</v>
      </c>
      <c r="M132" t="str">
        <f t="shared" si="17"/>
        <v>Early</v>
      </c>
      <c r="N132">
        <v>19</v>
      </c>
      <c r="O132">
        <v>17</v>
      </c>
      <c r="P132">
        <f t="shared" si="18"/>
        <v>0.89473684210526316</v>
      </c>
      <c r="Q132">
        <v>54</v>
      </c>
      <c r="R132">
        <v>867.8</v>
      </c>
      <c r="S132">
        <v>56409</v>
      </c>
      <c r="T132" t="s">
        <v>38</v>
      </c>
      <c r="U132">
        <v>5</v>
      </c>
      <c r="V132">
        <v>3</v>
      </c>
      <c r="W132">
        <v>3</v>
      </c>
      <c r="X132">
        <v>0</v>
      </c>
      <c r="Y132">
        <v>2.84</v>
      </c>
      <c r="Z132">
        <v>4.5</v>
      </c>
      <c r="AA132">
        <v>0.88</v>
      </c>
      <c r="AB132">
        <f t="shared" si="19"/>
        <v>5</v>
      </c>
      <c r="AC132">
        <f t="shared" si="20"/>
        <v>4.59</v>
      </c>
      <c r="AD132" t="str">
        <f t="shared" si="21"/>
        <v>⭐⭐⭐⭐⭐</v>
      </c>
      <c r="AE132" t="str">
        <f t="shared" si="22"/>
        <v>Suitable for urgent style handling</v>
      </c>
      <c r="AF132" t="str">
        <f t="shared" si="23"/>
        <v>Best for urgent/high priority orders</v>
      </c>
    </row>
    <row r="133" spans="1:32" ht="24" customHeight="1">
      <c r="A133" t="s">
        <v>318</v>
      </c>
      <c r="B133" t="s">
        <v>53</v>
      </c>
      <c r="C133" t="s">
        <v>54</v>
      </c>
      <c r="D133" t="s">
        <v>55</v>
      </c>
      <c r="E133" t="s">
        <v>319</v>
      </c>
      <c r="F133" t="s">
        <v>57</v>
      </c>
      <c r="G133">
        <v>8043</v>
      </c>
      <c r="H133">
        <v>45857</v>
      </c>
      <c r="I133">
        <v>45885</v>
      </c>
      <c r="J133">
        <v>26</v>
      </c>
      <c r="K133">
        <v>26</v>
      </c>
      <c r="L133">
        <f t="shared" si="16"/>
        <v>0</v>
      </c>
      <c r="M133" t="str">
        <f t="shared" si="17"/>
        <v>On Time</v>
      </c>
      <c r="N133">
        <v>14</v>
      </c>
      <c r="O133">
        <v>10</v>
      </c>
      <c r="P133">
        <f t="shared" si="18"/>
        <v>0.7142857142857143</v>
      </c>
      <c r="Q133">
        <v>48</v>
      </c>
      <c r="R133">
        <v>309.3</v>
      </c>
      <c r="S133">
        <v>11043</v>
      </c>
      <c r="T133" t="s">
        <v>45</v>
      </c>
      <c r="U133">
        <v>1</v>
      </c>
      <c r="V133">
        <v>13</v>
      </c>
      <c r="W133">
        <v>0</v>
      </c>
      <c r="X133">
        <v>4</v>
      </c>
      <c r="Y133">
        <v>3.37</v>
      </c>
      <c r="Z133">
        <v>4.5</v>
      </c>
      <c r="AA133">
        <v>0.88</v>
      </c>
      <c r="AB133">
        <f t="shared" si="19"/>
        <v>5</v>
      </c>
      <c r="AC133">
        <f t="shared" si="20"/>
        <v>4.42</v>
      </c>
      <c r="AD133" t="str">
        <f t="shared" si="21"/>
        <v>⭐⭐⭐⭐</v>
      </c>
      <c r="AE133" t="str">
        <f t="shared" si="22"/>
        <v>Maintain current resource allocation</v>
      </c>
      <c r="AF133" t="str">
        <f t="shared" si="23"/>
        <v>Recommended for medium-high orders</v>
      </c>
    </row>
    <row r="134" spans="1:32" ht="24" customHeight="1">
      <c r="A134" t="s">
        <v>320</v>
      </c>
      <c r="B134" t="s">
        <v>53</v>
      </c>
      <c r="C134" t="s">
        <v>54</v>
      </c>
      <c r="D134" t="s">
        <v>55</v>
      </c>
      <c r="E134" t="s">
        <v>321</v>
      </c>
      <c r="F134" t="s">
        <v>37</v>
      </c>
      <c r="G134">
        <v>20101</v>
      </c>
      <c r="H134">
        <v>45855</v>
      </c>
      <c r="I134">
        <v>45896</v>
      </c>
      <c r="J134">
        <v>38</v>
      </c>
      <c r="K134">
        <v>41</v>
      </c>
      <c r="L134">
        <f t="shared" si="16"/>
        <v>3</v>
      </c>
      <c r="M134" t="str">
        <f t="shared" si="17"/>
        <v>Delayed</v>
      </c>
      <c r="N134">
        <v>19</v>
      </c>
      <c r="O134">
        <v>14</v>
      </c>
      <c r="P134">
        <f t="shared" si="18"/>
        <v>0.73684210526315785</v>
      </c>
      <c r="Q134">
        <v>46</v>
      </c>
      <c r="R134">
        <v>490.3</v>
      </c>
      <c r="S134">
        <v>22101</v>
      </c>
      <c r="T134" t="s">
        <v>45</v>
      </c>
      <c r="U134">
        <v>0</v>
      </c>
      <c r="V134">
        <v>4</v>
      </c>
      <c r="W134">
        <v>3</v>
      </c>
      <c r="X134">
        <v>2</v>
      </c>
      <c r="Y134">
        <v>2.4</v>
      </c>
      <c r="Z134">
        <v>4.5</v>
      </c>
      <c r="AA134">
        <v>0.88</v>
      </c>
      <c r="AB134">
        <f t="shared" si="19"/>
        <v>5</v>
      </c>
      <c r="AC134">
        <f t="shared" si="20"/>
        <v>4.32</v>
      </c>
      <c r="AD134" t="str">
        <f t="shared" si="21"/>
        <v>⭐⭐⭐⭐</v>
      </c>
      <c r="AE134" t="str">
        <f t="shared" si="22"/>
        <v>Increase daily output monitoring</v>
      </c>
      <c r="AF134" t="str">
        <f t="shared" si="23"/>
        <v>Recommended for medium-high orders</v>
      </c>
    </row>
    <row r="135" spans="1:32" ht="24" customHeight="1">
      <c r="A135" t="s">
        <v>322</v>
      </c>
      <c r="B135" t="s">
        <v>53</v>
      </c>
      <c r="C135" t="s">
        <v>54</v>
      </c>
      <c r="D135" t="s">
        <v>55</v>
      </c>
      <c r="E135" t="s">
        <v>323</v>
      </c>
      <c r="F135" t="s">
        <v>57</v>
      </c>
      <c r="G135">
        <v>16875</v>
      </c>
      <c r="H135">
        <v>45690</v>
      </c>
      <c r="I135">
        <v>45734</v>
      </c>
      <c r="J135">
        <v>41</v>
      </c>
      <c r="K135">
        <v>43</v>
      </c>
      <c r="L135">
        <f t="shared" si="16"/>
        <v>2</v>
      </c>
      <c r="M135" t="str">
        <f t="shared" si="17"/>
        <v>Delayed</v>
      </c>
      <c r="N135">
        <v>15</v>
      </c>
      <c r="O135">
        <v>11</v>
      </c>
      <c r="P135">
        <f t="shared" si="18"/>
        <v>0.73333333333333328</v>
      </c>
      <c r="Q135">
        <v>52</v>
      </c>
      <c r="R135">
        <v>392.4</v>
      </c>
      <c r="S135">
        <v>19875</v>
      </c>
      <c r="T135" t="s">
        <v>45</v>
      </c>
      <c r="U135">
        <v>1</v>
      </c>
      <c r="V135">
        <v>1</v>
      </c>
      <c r="W135">
        <v>4</v>
      </c>
      <c r="X135">
        <v>1</v>
      </c>
      <c r="Y135">
        <v>3.44</v>
      </c>
      <c r="Z135">
        <v>4.5</v>
      </c>
      <c r="AA135">
        <v>0.88</v>
      </c>
      <c r="AB135">
        <f t="shared" si="19"/>
        <v>5</v>
      </c>
      <c r="AC135">
        <f t="shared" si="20"/>
        <v>4.32</v>
      </c>
      <c r="AD135" t="str">
        <f t="shared" si="21"/>
        <v>⭐⭐⭐⭐</v>
      </c>
      <c r="AE135" t="str">
        <f t="shared" si="22"/>
        <v>Increase machine maintenance support</v>
      </c>
      <c r="AF135" t="str">
        <f t="shared" si="23"/>
        <v>Recommended for medium-high orders</v>
      </c>
    </row>
    <row r="136" spans="1:32" ht="24" customHeight="1">
      <c r="A136" t="s">
        <v>324</v>
      </c>
      <c r="B136" t="s">
        <v>40</v>
      </c>
      <c r="C136" t="s">
        <v>41</v>
      </c>
      <c r="D136" t="s">
        <v>42</v>
      </c>
      <c r="E136" t="s">
        <v>325</v>
      </c>
      <c r="F136" t="s">
        <v>57</v>
      </c>
      <c r="G136">
        <v>12933</v>
      </c>
      <c r="H136">
        <v>45826</v>
      </c>
      <c r="I136">
        <v>45857</v>
      </c>
      <c r="J136">
        <v>26</v>
      </c>
      <c r="K136">
        <v>28</v>
      </c>
      <c r="L136">
        <f t="shared" si="16"/>
        <v>2</v>
      </c>
      <c r="M136" t="str">
        <f t="shared" si="17"/>
        <v>Delayed</v>
      </c>
      <c r="N136">
        <v>18</v>
      </c>
      <c r="O136">
        <v>13</v>
      </c>
      <c r="P136">
        <f t="shared" si="18"/>
        <v>0.72222222222222221</v>
      </c>
      <c r="Q136">
        <v>47</v>
      </c>
      <c r="R136">
        <v>461.9</v>
      </c>
      <c r="S136">
        <v>12933</v>
      </c>
      <c r="T136" t="s">
        <v>45</v>
      </c>
      <c r="U136">
        <v>3</v>
      </c>
      <c r="V136">
        <v>9</v>
      </c>
      <c r="W136">
        <v>1</v>
      </c>
      <c r="X136">
        <v>0</v>
      </c>
      <c r="Y136">
        <v>2.84</v>
      </c>
      <c r="Z136">
        <v>4.3</v>
      </c>
      <c r="AA136">
        <v>0.85</v>
      </c>
      <c r="AB136">
        <f t="shared" si="19"/>
        <v>5</v>
      </c>
      <c r="AC136">
        <f t="shared" si="20"/>
        <v>4.21</v>
      </c>
      <c r="AD136" t="str">
        <f t="shared" si="21"/>
        <v>⭐⭐⭐⭐</v>
      </c>
      <c r="AE136" t="str">
        <f t="shared" si="22"/>
        <v>Reduce risk days and add supervisor monitoring</v>
      </c>
      <c r="AF136" t="str">
        <f t="shared" si="23"/>
        <v>Recommended for medium-high orders</v>
      </c>
    </row>
    <row r="137" spans="1:32" ht="24" customHeight="1">
      <c r="A137" t="s">
        <v>326</v>
      </c>
      <c r="B137" t="s">
        <v>53</v>
      </c>
      <c r="C137" t="s">
        <v>54</v>
      </c>
      <c r="D137" t="s">
        <v>55</v>
      </c>
      <c r="E137" t="s">
        <v>327</v>
      </c>
      <c r="F137" t="s">
        <v>67</v>
      </c>
      <c r="G137">
        <v>50507</v>
      </c>
      <c r="H137">
        <v>45824</v>
      </c>
      <c r="I137">
        <v>45908</v>
      </c>
      <c r="J137">
        <v>74</v>
      </c>
      <c r="K137">
        <v>81</v>
      </c>
      <c r="L137">
        <f t="shared" si="16"/>
        <v>7</v>
      </c>
      <c r="M137" t="str">
        <f t="shared" si="17"/>
        <v>Delayed</v>
      </c>
      <c r="N137">
        <v>17</v>
      </c>
      <c r="O137">
        <v>14</v>
      </c>
      <c r="P137">
        <f t="shared" si="18"/>
        <v>0.82352941176470584</v>
      </c>
      <c r="Q137">
        <v>59</v>
      </c>
      <c r="R137">
        <v>623.5</v>
      </c>
      <c r="S137">
        <v>54507</v>
      </c>
      <c r="T137" t="s">
        <v>45</v>
      </c>
      <c r="U137">
        <v>1</v>
      </c>
      <c r="V137">
        <v>7</v>
      </c>
      <c r="W137">
        <v>2</v>
      </c>
      <c r="X137">
        <v>3</v>
      </c>
      <c r="Y137">
        <v>2.79</v>
      </c>
      <c r="Z137">
        <v>4.5</v>
      </c>
      <c r="AA137">
        <v>0.88</v>
      </c>
      <c r="AB137">
        <f t="shared" si="19"/>
        <v>5</v>
      </c>
      <c r="AC137">
        <f t="shared" si="20"/>
        <v>4.3899999999999997</v>
      </c>
      <c r="AD137" t="str">
        <f t="shared" si="21"/>
        <v>⭐⭐⭐⭐</v>
      </c>
      <c r="AE137" t="str">
        <f t="shared" si="22"/>
        <v>Increase daily output monitoring</v>
      </c>
      <c r="AF137" t="str">
        <f t="shared" si="23"/>
        <v>Recommended for medium-high orders</v>
      </c>
    </row>
    <row r="138" spans="1:32" ht="24" customHeight="1">
      <c r="A138" t="s">
        <v>328</v>
      </c>
      <c r="B138" t="s">
        <v>53</v>
      </c>
      <c r="C138" t="s">
        <v>54</v>
      </c>
      <c r="D138" t="s">
        <v>55</v>
      </c>
      <c r="E138" t="s">
        <v>329</v>
      </c>
      <c r="F138" t="s">
        <v>57</v>
      </c>
      <c r="G138">
        <v>6865</v>
      </c>
      <c r="H138">
        <v>45867</v>
      </c>
      <c r="I138">
        <v>45900</v>
      </c>
      <c r="J138">
        <v>30</v>
      </c>
      <c r="K138">
        <v>28</v>
      </c>
      <c r="L138">
        <f t="shared" si="16"/>
        <v>-2</v>
      </c>
      <c r="M138" t="str">
        <f t="shared" si="17"/>
        <v>Early</v>
      </c>
      <c r="N138">
        <v>20</v>
      </c>
      <c r="O138">
        <v>17</v>
      </c>
      <c r="P138">
        <f t="shared" si="18"/>
        <v>0.85</v>
      </c>
      <c r="Q138">
        <v>50</v>
      </c>
      <c r="R138">
        <v>245.2</v>
      </c>
      <c r="S138">
        <v>9865</v>
      </c>
      <c r="T138" t="s">
        <v>45</v>
      </c>
      <c r="U138">
        <v>2</v>
      </c>
      <c r="V138">
        <v>1</v>
      </c>
      <c r="W138">
        <v>1</v>
      </c>
      <c r="X138">
        <v>0</v>
      </c>
      <c r="Y138">
        <v>3.13</v>
      </c>
      <c r="Z138">
        <v>4.5</v>
      </c>
      <c r="AA138">
        <v>0.88</v>
      </c>
      <c r="AB138">
        <f t="shared" si="19"/>
        <v>5</v>
      </c>
      <c r="AC138">
        <f t="shared" si="20"/>
        <v>4.5599999999999996</v>
      </c>
      <c r="AD138" t="str">
        <f t="shared" si="21"/>
        <v>⭐⭐⭐⭐⭐</v>
      </c>
      <c r="AE138" t="str">
        <f t="shared" si="22"/>
        <v>Maintain current resource allocation</v>
      </c>
      <c r="AF138" t="str">
        <f t="shared" si="23"/>
        <v>Best for urgent/high priority orders</v>
      </c>
    </row>
    <row r="139" spans="1:32" ht="24" customHeight="1">
      <c r="A139" t="s">
        <v>330</v>
      </c>
      <c r="B139" t="s">
        <v>40</v>
      </c>
      <c r="C139" t="s">
        <v>41</v>
      </c>
      <c r="D139" t="s">
        <v>42</v>
      </c>
      <c r="E139" t="s">
        <v>331</v>
      </c>
      <c r="F139" t="s">
        <v>44</v>
      </c>
      <c r="G139">
        <v>10279</v>
      </c>
      <c r="H139">
        <v>45842</v>
      </c>
      <c r="I139">
        <v>45879</v>
      </c>
      <c r="J139">
        <v>28</v>
      </c>
      <c r="K139">
        <v>32</v>
      </c>
      <c r="L139">
        <f t="shared" si="16"/>
        <v>4</v>
      </c>
      <c r="M139" t="str">
        <f t="shared" si="17"/>
        <v>Delayed</v>
      </c>
      <c r="N139">
        <v>17</v>
      </c>
      <c r="O139">
        <v>13</v>
      </c>
      <c r="P139">
        <f t="shared" si="18"/>
        <v>0.76470588235294112</v>
      </c>
      <c r="Q139">
        <v>51</v>
      </c>
      <c r="R139">
        <v>321.2</v>
      </c>
      <c r="S139">
        <v>14279</v>
      </c>
      <c r="T139" t="s">
        <v>45</v>
      </c>
      <c r="U139">
        <v>0</v>
      </c>
      <c r="V139">
        <v>4</v>
      </c>
      <c r="W139">
        <v>2</v>
      </c>
      <c r="X139">
        <v>1</v>
      </c>
      <c r="Y139">
        <v>3.12</v>
      </c>
      <c r="Z139">
        <v>4.3</v>
      </c>
      <c r="AA139">
        <v>0.85</v>
      </c>
      <c r="AB139">
        <f t="shared" si="19"/>
        <v>5</v>
      </c>
      <c r="AC139">
        <f t="shared" si="20"/>
        <v>4.25</v>
      </c>
      <c r="AD139" t="str">
        <f t="shared" si="21"/>
        <v>⭐⭐⭐⭐</v>
      </c>
      <c r="AE139" t="str">
        <f t="shared" si="22"/>
        <v>Increase daily output monitoring</v>
      </c>
      <c r="AF139" t="str">
        <f t="shared" si="23"/>
        <v>Recommended for medium-high orders</v>
      </c>
    </row>
    <row r="140" spans="1:32" ht="24" customHeight="1">
      <c r="A140" t="s">
        <v>332</v>
      </c>
      <c r="B140" t="s">
        <v>69</v>
      </c>
      <c r="C140" t="s">
        <v>70</v>
      </c>
      <c r="D140" t="s">
        <v>71</v>
      </c>
      <c r="E140" t="s">
        <v>333</v>
      </c>
      <c r="F140" t="s">
        <v>37</v>
      </c>
      <c r="G140">
        <v>18134</v>
      </c>
      <c r="H140">
        <v>45952</v>
      </c>
      <c r="I140">
        <v>45993</v>
      </c>
      <c r="J140">
        <v>35</v>
      </c>
      <c r="K140">
        <v>40</v>
      </c>
      <c r="L140">
        <f t="shared" si="16"/>
        <v>5</v>
      </c>
      <c r="M140" t="str">
        <f t="shared" si="17"/>
        <v>Delayed</v>
      </c>
      <c r="N140">
        <v>9</v>
      </c>
      <c r="O140">
        <v>6</v>
      </c>
      <c r="P140">
        <f t="shared" si="18"/>
        <v>0.66666666666666663</v>
      </c>
      <c r="Q140">
        <v>35</v>
      </c>
      <c r="R140">
        <v>453.4</v>
      </c>
      <c r="S140">
        <v>19134</v>
      </c>
      <c r="T140" t="s">
        <v>38</v>
      </c>
      <c r="U140">
        <v>4</v>
      </c>
      <c r="V140">
        <v>8</v>
      </c>
      <c r="W140">
        <v>2</v>
      </c>
      <c r="X140">
        <v>5</v>
      </c>
      <c r="Y140">
        <v>3.39</v>
      </c>
      <c r="Z140">
        <v>3.8</v>
      </c>
      <c r="AA140">
        <v>0.78</v>
      </c>
      <c r="AB140">
        <f t="shared" si="19"/>
        <v>5</v>
      </c>
      <c r="AC140">
        <f t="shared" si="20"/>
        <v>3.94</v>
      </c>
      <c r="AD140" t="str">
        <f t="shared" si="21"/>
        <v>⭐⭐⭐</v>
      </c>
      <c r="AE140" t="str">
        <f t="shared" si="22"/>
        <v>Improve workforce allocation</v>
      </c>
      <c r="AF140" t="str">
        <f t="shared" si="23"/>
        <v>Use for normal priority orders</v>
      </c>
    </row>
    <row r="141" spans="1:32" ht="24" customHeight="1">
      <c r="A141" t="s">
        <v>334</v>
      </c>
      <c r="B141" t="s">
        <v>40</v>
      </c>
      <c r="C141" t="s">
        <v>41</v>
      </c>
      <c r="D141" t="s">
        <v>42</v>
      </c>
      <c r="E141" t="s">
        <v>335</v>
      </c>
      <c r="F141" t="s">
        <v>57</v>
      </c>
      <c r="G141">
        <v>17654</v>
      </c>
      <c r="H141">
        <v>45833</v>
      </c>
      <c r="I141">
        <v>45877</v>
      </c>
      <c r="J141">
        <v>42</v>
      </c>
      <c r="K141">
        <v>41</v>
      </c>
      <c r="L141">
        <f t="shared" si="16"/>
        <v>-1</v>
      </c>
      <c r="M141" t="str">
        <f t="shared" si="17"/>
        <v>Early</v>
      </c>
      <c r="N141">
        <v>12</v>
      </c>
      <c r="O141">
        <v>9</v>
      </c>
      <c r="P141">
        <f t="shared" si="18"/>
        <v>0.75</v>
      </c>
      <c r="Q141">
        <v>42</v>
      </c>
      <c r="R141">
        <v>430.6</v>
      </c>
      <c r="S141">
        <v>19654</v>
      </c>
      <c r="T141" t="s">
        <v>45</v>
      </c>
      <c r="U141">
        <v>2</v>
      </c>
      <c r="V141">
        <v>1</v>
      </c>
      <c r="W141">
        <v>5</v>
      </c>
      <c r="X141">
        <v>8</v>
      </c>
      <c r="Y141">
        <v>3.19</v>
      </c>
      <c r="Z141">
        <v>4.3</v>
      </c>
      <c r="AA141">
        <v>0.85</v>
      </c>
      <c r="AB141">
        <f t="shared" si="19"/>
        <v>5</v>
      </c>
      <c r="AC141">
        <f t="shared" si="20"/>
        <v>4.3899999999999997</v>
      </c>
      <c r="AD141" t="str">
        <f t="shared" si="21"/>
        <v>⭐⭐⭐⭐</v>
      </c>
      <c r="AE141" t="str">
        <f t="shared" si="22"/>
        <v>Maintain current resource allocation</v>
      </c>
      <c r="AF141" t="str">
        <f t="shared" si="23"/>
        <v>Recommended for medium-high orders</v>
      </c>
    </row>
    <row r="142" spans="1:32" ht="24" customHeight="1">
      <c r="A142" t="s">
        <v>336</v>
      </c>
      <c r="B142" t="s">
        <v>61</v>
      </c>
      <c r="C142" t="s">
        <v>62</v>
      </c>
      <c r="D142" t="s">
        <v>63</v>
      </c>
      <c r="E142" t="s">
        <v>337</v>
      </c>
      <c r="F142" t="s">
        <v>57</v>
      </c>
      <c r="G142">
        <v>12801</v>
      </c>
      <c r="H142">
        <v>45922</v>
      </c>
      <c r="I142">
        <v>45957</v>
      </c>
      <c r="J142">
        <v>27</v>
      </c>
      <c r="K142">
        <v>34</v>
      </c>
      <c r="L142">
        <f t="shared" si="16"/>
        <v>7</v>
      </c>
      <c r="M142" t="str">
        <f t="shared" si="17"/>
        <v>Delayed</v>
      </c>
      <c r="N142">
        <v>10</v>
      </c>
      <c r="O142">
        <v>6</v>
      </c>
      <c r="P142">
        <f t="shared" si="18"/>
        <v>0.6</v>
      </c>
      <c r="Q142">
        <v>40</v>
      </c>
      <c r="R142">
        <v>376.5</v>
      </c>
      <c r="S142">
        <v>12801</v>
      </c>
      <c r="T142" t="s">
        <v>45</v>
      </c>
      <c r="U142">
        <v>1</v>
      </c>
      <c r="V142">
        <v>6</v>
      </c>
      <c r="W142">
        <v>2</v>
      </c>
      <c r="X142">
        <v>2</v>
      </c>
      <c r="Y142">
        <v>3.97</v>
      </c>
      <c r="Z142">
        <v>4</v>
      </c>
      <c r="AA142">
        <v>0.8</v>
      </c>
      <c r="AB142">
        <f t="shared" si="19"/>
        <v>5</v>
      </c>
      <c r="AC142">
        <f t="shared" si="20"/>
        <v>3.97</v>
      </c>
      <c r="AD142" t="str">
        <f t="shared" si="21"/>
        <v>⭐⭐⭐</v>
      </c>
      <c r="AE142" t="str">
        <f t="shared" si="22"/>
        <v>Increase daily output monitoring</v>
      </c>
      <c r="AF142" t="str">
        <f t="shared" si="23"/>
        <v>Use for normal priority orders</v>
      </c>
    </row>
    <row r="143" spans="1:32" ht="24" customHeight="1">
      <c r="A143" t="s">
        <v>338</v>
      </c>
      <c r="B143" t="s">
        <v>40</v>
      </c>
      <c r="C143" t="s">
        <v>41</v>
      </c>
      <c r="D143" t="s">
        <v>42</v>
      </c>
      <c r="E143" t="s">
        <v>339</v>
      </c>
      <c r="F143" t="s">
        <v>44</v>
      </c>
      <c r="G143">
        <v>17140</v>
      </c>
      <c r="H143">
        <v>45767</v>
      </c>
      <c r="I143">
        <v>45799</v>
      </c>
      <c r="J143">
        <v>31</v>
      </c>
      <c r="K143">
        <v>31</v>
      </c>
      <c r="L143">
        <f t="shared" si="16"/>
        <v>0</v>
      </c>
      <c r="M143" t="str">
        <f t="shared" si="17"/>
        <v>On Time</v>
      </c>
      <c r="N143">
        <v>14</v>
      </c>
      <c r="O143">
        <v>11</v>
      </c>
      <c r="P143">
        <f t="shared" si="18"/>
        <v>0.7857142857142857</v>
      </c>
      <c r="Q143">
        <v>51</v>
      </c>
      <c r="R143">
        <v>552.9</v>
      </c>
      <c r="S143">
        <v>20140</v>
      </c>
      <c r="T143" t="s">
        <v>45</v>
      </c>
      <c r="U143">
        <v>0</v>
      </c>
      <c r="V143">
        <v>3</v>
      </c>
      <c r="W143">
        <v>1</v>
      </c>
      <c r="X143">
        <v>1</v>
      </c>
      <c r="Y143">
        <v>2.77</v>
      </c>
      <c r="Z143">
        <v>4.3</v>
      </c>
      <c r="AA143">
        <v>0.85</v>
      </c>
      <c r="AB143">
        <f t="shared" si="19"/>
        <v>5</v>
      </c>
      <c r="AC143">
        <f t="shared" si="20"/>
        <v>4.37</v>
      </c>
      <c r="AD143" t="str">
        <f t="shared" si="21"/>
        <v>⭐⭐⭐⭐</v>
      </c>
      <c r="AE143" t="str">
        <f t="shared" si="22"/>
        <v>Maintain current resource allocation</v>
      </c>
      <c r="AF143" t="str">
        <f t="shared" si="23"/>
        <v>Recommended for medium-high orders</v>
      </c>
    </row>
    <row r="144" spans="1:32" ht="24" customHeight="1">
      <c r="A144" t="s">
        <v>340</v>
      </c>
      <c r="B144" t="s">
        <v>53</v>
      </c>
      <c r="C144" t="s">
        <v>54</v>
      </c>
      <c r="D144" t="s">
        <v>55</v>
      </c>
      <c r="E144" t="s">
        <v>341</v>
      </c>
      <c r="F144" t="s">
        <v>37</v>
      </c>
      <c r="G144">
        <v>13334</v>
      </c>
      <c r="H144">
        <v>45974</v>
      </c>
      <c r="I144">
        <v>46014</v>
      </c>
      <c r="J144">
        <v>41</v>
      </c>
      <c r="K144">
        <v>39</v>
      </c>
      <c r="L144">
        <f t="shared" si="16"/>
        <v>-2</v>
      </c>
      <c r="M144" t="str">
        <f t="shared" si="17"/>
        <v>Early</v>
      </c>
      <c r="N144">
        <v>18</v>
      </c>
      <c r="O144">
        <v>15</v>
      </c>
      <c r="P144">
        <f t="shared" si="18"/>
        <v>0.83333333333333337</v>
      </c>
      <c r="Q144">
        <v>56</v>
      </c>
      <c r="R144">
        <v>341.9</v>
      </c>
      <c r="S144">
        <v>17334</v>
      </c>
      <c r="T144" t="s">
        <v>38</v>
      </c>
      <c r="U144">
        <v>0</v>
      </c>
      <c r="V144">
        <v>5</v>
      </c>
      <c r="W144">
        <v>3</v>
      </c>
      <c r="X144">
        <v>0</v>
      </c>
      <c r="Y144">
        <v>2.5499999999999998</v>
      </c>
      <c r="Z144">
        <v>4.5</v>
      </c>
      <c r="AA144">
        <v>0.88</v>
      </c>
      <c r="AB144">
        <f t="shared" si="19"/>
        <v>5</v>
      </c>
      <c r="AC144">
        <f t="shared" si="20"/>
        <v>4.55</v>
      </c>
      <c r="AD144" t="str">
        <f t="shared" si="21"/>
        <v>⭐⭐⭐⭐⭐</v>
      </c>
      <c r="AE144" t="str">
        <f t="shared" si="22"/>
        <v>Suitable for urgent style handling</v>
      </c>
      <c r="AF144" t="str">
        <f t="shared" si="23"/>
        <v>Best for urgent/high priority orders</v>
      </c>
    </row>
    <row r="145" spans="1:32" ht="24" customHeight="1">
      <c r="A145" t="s">
        <v>342</v>
      </c>
      <c r="B145" t="s">
        <v>61</v>
      </c>
      <c r="C145" t="s">
        <v>62</v>
      </c>
      <c r="D145" t="s">
        <v>63</v>
      </c>
      <c r="E145" t="s">
        <v>343</v>
      </c>
      <c r="F145" t="s">
        <v>44</v>
      </c>
      <c r="G145">
        <v>6389</v>
      </c>
      <c r="H145">
        <v>45988</v>
      </c>
      <c r="I145">
        <v>46016</v>
      </c>
      <c r="J145">
        <v>21</v>
      </c>
      <c r="K145">
        <v>27</v>
      </c>
      <c r="L145">
        <f t="shared" si="16"/>
        <v>6</v>
      </c>
      <c r="M145" t="str">
        <f t="shared" si="17"/>
        <v>Delayed</v>
      </c>
      <c r="N145">
        <v>15</v>
      </c>
      <c r="O145">
        <v>10</v>
      </c>
      <c r="P145">
        <f t="shared" si="18"/>
        <v>0.66666666666666663</v>
      </c>
      <c r="Q145">
        <v>45</v>
      </c>
      <c r="R145">
        <v>236.6</v>
      </c>
      <c r="S145">
        <v>10389</v>
      </c>
      <c r="T145" t="s">
        <v>38</v>
      </c>
      <c r="U145">
        <v>5</v>
      </c>
      <c r="V145">
        <v>14</v>
      </c>
      <c r="W145">
        <v>4</v>
      </c>
      <c r="X145">
        <v>4</v>
      </c>
      <c r="Y145">
        <v>3.65</v>
      </c>
      <c r="Z145">
        <v>4</v>
      </c>
      <c r="AA145">
        <v>0.8</v>
      </c>
      <c r="AB145">
        <f t="shared" si="19"/>
        <v>5</v>
      </c>
      <c r="AC145">
        <f t="shared" si="20"/>
        <v>4.0199999999999996</v>
      </c>
      <c r="AD145" t="str">
        <f t="shared" si="21"/>
        <v>⭐⭐⭐⭐</v>
      </c>
      <c r="AE145" t="str">
        <f t="shared" si="22"/>
        <v>Reduce risk days and add supervisor monitoring</v>
      </c>
      <c r="AF145" t="str">
        <f t="shared" si="23"/>
        <v>Recommended for medium-high orders</v>
      </c>
    </row>
    <row r="146" spans="1:32" ht="24" customHeight="1">
      <c r="A146" t="s">
        <v>344</v>
      </c>
      <c r="B146" t="s">
        <v>40</v>
      </c>
      <c r="C146" t="s">
        <v>41</v>
      </c>
      <c r="D146" t="s">
        <v>42</v>
      </c>
      <c r="E146" t="s">
        <v>345</v>
      </c>
      <c r="F146" t="s">
        <v>57</v>
      </c>
      <c r="G146">
        <v>7298</v>
      </c>
      <c r="H146">
        <v>45885</v>
      </c>
      <c r="I146">
        <v>45908</v>
      </c>
      <c r="J146">
        <v>18</v>
      </c>
      <c r="K146">
        <v>20</v>
      </c>
      <c r="L146">
        <f t="shared" si="16"/>
        <v>2</v>
      </c>
      <c r="M146" t="str">
        <f t="shared" si="17"/>
        <v>Delayed</v>
      </c>
      <c r="N146">
        <v>13</v>
      </c>
      <c r="O146">
        <v>10</v>
      </c>
      <c r="P146">
        <f t="shared" si="18"/>
        <v>0.76923076923076927</v>
      </c>
      <c r="Q146">
        <v>50</v>
      </c>
      <c r="R146">
        <v>364.9</v>
      </c>
      <c r="S146">
        <v>11298</v>
      </c>
      <c r="T146" t="s">
        <v>45</v>
      </c>
      <c r="U146">
        <v>3</v>
      </c>
      <c r="V146">
        <v>4</v>
      </c>
      <c r="W146">
        <v>2</v>
      </c>
      <c r="X146">
        <v>2</v>
      </c>
      <c r="Y146">
        <v>2.71</v>
      </c>
      <c r="Z146">
        <v>4.3</v>
      </c>
      <c r="AA146">
        <v>0.85</v>
      </c>
      <c r="AB146">
        <f t="shared" si="19"/>
        <v>5</v>
      </c>
      <c r="AC146">
        <f t="shared" si="20"/>
        <v>4.25</v>
      </c>
      <c r="AD146" t="str">
        <f t="shared" si="21"/>
        <v>⭐⭐⭐⭐</v>
      </c>
      <c r="AE146" t="str">
        <f t="shared" si="22"/>
        <v>Increase daily output monitoring</v>
      </c>
      <c r="AF146" t="str">
        <f t="shared" si="23"/>
        <v>Recommended for medium-high orders</v>
      </c>
    </row>
    <row r="147" spans="1:32" ht="24" customHeight="1">
      <c r="A147" t="s">
        <v>346</v>
      </c>
      <c r="B147" t="s">
        <v>78</v>
      </c>
      <c r="C147" t="s">
        <v>79</v>
      </c>
      <c r="D147" t="s">
        <v>80</v>
      </c>
      <c r="E147" t="s">
        <v>347</v>
      </c>
      <c r="F147" t="s">
        <v>37</v>
      </c>
      <c r="G147">
        <v>17226</v>
      </c>
      <c r="H147">
        <v>45845</v>
      </c>
      <c r="I147">
        <v>45880</v>
      </c>
      <c r="J147">
        <v>33</v>
      </c>
      <c r="K147">
        <v>31</v>
      </c>
      <c r="L147">
        <f t="shared" si="16"/>
        <v>-2</v>
      </c>
      <c r="M147" t="str">
        <f t="shared" si="17"/>
        <v>Early</v>
      </c>
      <c r="N147">
        <v>16</v>
      </c>
      <c r="O147">
        <v>14</v>
      </c>
      <c r="P147">
        <f t="shared" si="18"/>
        <v>0.875</v>
      </c>
      <c r="Q147">
        <v>58</v>
      </c>
      <c r="R147">
        <v>555.70000000000005</v>
      </c>
      <c r="S147">
        <v>21226</v>
      </c>
      <c r="T147" t="s">
        <v>38</v>
      </c>
      <c r="U147">
        <v>6</v>
      </c>
      <c r="V147">
        <v>6</v>
      </c>
      <c r="W147">
        <v>0</v>
      </c>
      <c r="X147">
        <v>1</v>
      </c>
      <c r="Y147">
        <v>3.1</v>
      </c>
      <c r="Z147">
        <v>4.8</v>
      </c>
      <c r="AA147">
        <v>0.92</v>
      </c>
      <c r="AB147">
        <f t="shared" si="19"/>
        <v>5</v>
      </c>
      <c r="AC147">
        <f t="shared" si="20"/>
        <v>4.72</v>
      </c>
      <c r="AD147" t="str">
        <f t="shared" si="21"/>
        <v>⭐⭐⭐⭐⭐</v>
      </c>
      <c r="AE147" t="str">
        <f t="shared" si="22"/>
        <v>Suitable for urgent style handling</v>
      </c>
      <c r="AF147" t="str">
        <f t="shared" si="23"/>
        <v>Best for urgent/high priority orders</v>
      </c>
    </row>
    <row r="148" spans="1:32" ht="24" customHeight="1">
      <c r="A148" t="s">
        <v>348</v>
      </c>
      <c r="B148" t="s">
        <v>61</v>
      </c>
      <c r="C148" t="s">
        <v>62</v>
      </c>
      <c r="D148" t="s">
        <v>63</v>
      </c>
      <c r="E148" t="s">
        <v>349</v>
      </c>
      <c r="F148" t="s">
        <v>37</v>
      </c>
      <c r="G148">
        <v>24462</v>
      </c>
      <c r="H148">
        <v>45779</v>
      </c>
      <c r="I148">
        <v>45833</v>
      </c>
      <c r="J148">
        <v>41</v>
      </c>
      <c r="K148">
        <v>53</v>
      </c>
      <c r="L148">
        <f t="shared" si="16"/>
        <v>12</v>
      </c>
      <c r="M148" t="str">
        <f t="shared" si="17"/>
        <v>Delayed</v>
      </c>
      <c r="N148">
        <v>16</v>
      </c>
      <c r="O148">
        <v>11</v>
      </c>
      <c r="P148">
        <f t="shared" si="18"/>
        <v>0.6875</v>
      </c>
      <c r="Q148">
        <v>32</v>
      </c>
      <c r="R148">
        <v>461.5</v>
      </c>
      <c r="S148">
        <v>27462</v>
      </c>
      <c r="T148" t="s">
        <v>38</v>
      </c>
      <c r="U148">
        <v>6</v>
      </c>
      <c r="V148">
        <v>4</v>
      </c>
      <c r="W148">
        <v>4</v>
      </c>
      <c r="X148">
        <v>1</v>
      </c>
      <c r="Y148">
        <v>4.08</v>
      </c>
      <c r="Z148">
        <v>4</v>
      </c>
      <c r="AA148">
        <v>0.8</v>
      </c>
      <c r="AB148">
        <f t="shared" si="19"/>
        <v>5</v>
      </c>
      <c r="AC148">
        <f t="shared" si="20"/>
        <v>4.04</v>
      </c>
      <c r="AD148" t="str">
        <f t="shared" si="21"/>
        <v>⭐⭐⭐⭐</v>
      </c>
      <c r="AE148" t="str">
        <f t="shared" si="22"/>
        <v>Increase machine maintenance support</v>
      </c>
      <c r="AF148" t="str">
        <f t="shared" si="23"/>
        <v>Recommended for medium-high orders</v>
      </c>
    </row>
    <row r="149" spans="1:32" ht="24" customHeight="1">
      <c r="A149" t="s">
        <v>350</v>
      </c>
      <c r="B149" t="s">
        <v>61</v>
      </c>
      <c r="C149" t="s">
        <v>62</v>
      </c>
      <c r="D149" t="s">
        <v>63</v>
      </c>
      <c r="E149" t="s">
        <v>351</v>
      </c>
      <c r="F149" t="s">
        <v>44</v>
      </c>
      <c r="G149">
        <v>7438</v>
      </c>
      <c r="H149">
        <v>45794</v>
      </c>
      <c r="I149">
        <v>45825</v>
      </c>
      <c r="J149">
        <v>25</v>
      </c>
      <c r="K149">
        <v>27</v>
      </c>
      <c r="L149">
        <f t="shared" si="16"/>
        <v>2</v>
      </c>
      <c r="M149" t="str">
        <f t="shared" si="17"/>
        <v>Delayed</v>
      </c>
      <c r="N149">
        <v>11</v>
      </c>
      <c r="O149">
        <v>7</v>
      </c>
      <c r="P149">
        <f t="shared" si="18"/>
        <v>0.63636363636363635</v>
      </c>
      <c r="Q149">
        <v>39</v>
      </c>
      <c r="R149">
        <v>275.5</v>
      </c>
      <c r="S149">
        <v>9438</v>
      </c>
      <c r="T149" t="s">
        <v>38</v>
      </c>
      <c r="U149">
        <v>4</v>
      </c>
      <c r="V149">
        <v>8</v>
      </c>
      <c r="W149">
        <v>4</v>
      </c>
      <c r="X149">
        <v>0</v>
      </c>
      <c r="Y149">
        <v>3.06</v>
      </c>
      <c r="Z149">
        <v>4</v>
      </c>
      <c r="AA149">
        <v>0.8</v>
      </c>
      <c r="AB149">
        <f t="shared" si="19"/>
        <v>5</v>
      </c>
      <c r="AC149">
        <f t="shared" si="20"/>
        <v>4</v>
      </c>
      <c r="AD149" t="str">
        <f t="shared" si="21"/>
        <v>⭐⭐⭐⭐</v>
      </c>
      <c r="AE149" t="str">
        <f t="shared" si="22"/>
        <v>Increase machine maintenance support</v>
      </c>
      <c r="AF149" t="str">
        <f t="shared" si="23"/>
        <v>Recommended for medium-high orders</v>
      </c>
    </row>
    <row r="150" spans="1:32" ht="24" customHeight="1">
      <c r="A150" t="s">
        <v>352</v>
      </c>
      <c r="B150" t="s">
        <v>69</v>
      </c>
      <c r="C150" t="s">
        <v>70</v>
      </c>
      <c r="D150" t="s">
        <v>71</v>
      </c>
      <c r="E150" t="s">
        <v>353</v>
      </c>
      <c r="F150" t="s">
        <v>37</v>
      </c>
      <c r="G150">
        <v>23487</v>
      </c>
      <c r="H150">
        <v>45870</v>
      </c>
      <c r="I150">
        <v>45900</v>
      </c>
      <c r="J150">
        <v>25</v>
      </c>
      <c r="K150">
        <v>27</v>
      </c>
      <c r="L150">
        <f t="shared" si="16"/>
        <v>2</v>
      </c>
      <c r="M150" t="str">
        <f t="shared" si="17"/>
        <v>Delayed</v>
      </c>
      <c r="N150">
        <v>13</v>
      </c>
      <c r="O150">
        <v>10</v>
      </c>
      <c r="P150">
        <f t="shared" si="18"/>
        <v>0.76923076923076927</v>
      </c>
      <c r="Q150">
        <v>39</v>
      </c>
      <c r="R150">
        <v>869.9</v>
      </c>
      <c r="S150">
        <v>26487</v>
      </c>
      <c r="T150" t="s">
        <v>45</v>
      </c>
      <c r="U150">
        <v>1</v>
      </c>
      <c r="V150">
        <v>8</v>
      </c>
      <c r="W150">
        <v>2</v>
      </c>
      <c r="X150">
        <v>4</v>
      </c>
      <c r="Y150">
        <v>3.09</v>
      </c>
      <c r="Z150">
        <v>3.8</v>
      </c>
      <c r="AA150">
        <v>0.78</v>
      </c>
      <c r="AB150">
        <f t="shared" si="19"/>
        <v>5</v>
      </c>
      <c r="AC150">
        <f t="shared" si="20"/>
        <v>4.01</v>
      </c>
      <c r="AD150" t="str">
        <f t="shared" si="21"/>
        <v>⭐⭐⭐⭐</v>
      </c>
      <c r="AE150" t="str">
        <f t="shared" si="22"/>
        <v>Improve workforce allocation</v>
      </c>
      <c r="AF150" t="str">
        <f t="shared" si="23"/>
        <v>Recommended for medium-high orders</v>
      </c>
    </row>
    <row r="151" spans="1:32" ht="24" customHeight="1">
      <c r="A151" t="s">
        <v>354</v>
      </c>
      <c r="B151" t="s">
        <v>40</v>
      </c>
      <c r="C151" t="s">
        <v>41</v>
      </c>
      <c r="D151" t="s">
        <v>42</v>
      </c>
      <c r="E151" t="s">
        <v>355</v>
      </c>
      <c r="F151" t="s">
        <v>37</v>
      </c>
      <c r="G151">
        <v>26895</v>
      </c>
      <c r="H151">
        <v>45931</v>
      </c>
      <c r="I151">
        <v>45978</v>
      </c>
      <c r="J151">
        <v>46</v>
      </c>
      <c r="K151">
        <v>44</v>
      </c>
      <c r="L151">
        <f t="shared" si="16"/>
        <v>-2</v>
      </c>
      <c r="M151" t="str">
        <f t="shared" si="17"/>
        <v>Early</v>
      </c>
      <c r="N151">
        <v>12</v>
      </c>
      <c r="O151">
        <v>10</v>
      </c>
      <c r="P151">
        <f t="shared" si="18"/>
        <v>0.83333333333333337</v>
      </c>
      <c r="Q151">
        <v>52</v>
      </c>
      <c r="R151">
        <v>611.20000000000005</v>
      </c>
      <c r="S151">
        <v>28895</v>
      </c>
      <c r="T151" t="s">
        <v>45</v>
      </c>
      <c r="U151">
        <v>0</v>
      </c>
      <c r="V151">
        <v>4</v>
      </c>
      <c r="W151">
        <v>3</v>
      </c>
      <c r="X151">
        <v>1</v>
      </c>
      <c r="Y151">
        <v>3.19</v>
      </c>
      <c r="Z151">
        <v>4.3</v>
      </c>
      <c r="AA151">
        <v>0.85</v>
      </c>
      <c r="AB151">
        <f t="shared" si="19"/>
        <v>5</v>
      </c>
      <c r="AC151">
        <f t="shared" si="20"/>
        <v>4.45</v>
      </c>
      <c r="AD151" t="str">
        <f t="shared" si="21"/>
        <v>⭐⭐⭐⭐</v>
      </c>
      <c r="AE151" t="str">
        <f t="shared" si="22"/>
        <v>Maintain current resource allocation</v>
      </c>
      <c r="AF151" t="str">
        <f t="shared" si="23"/>
        <v>Recommended for medium-high orders</v>
      </c>
    </row>
    <row r="152" spans="1:32" ht="24" customHeight="1">
      <c r="A152" t="s">
        <v>356</v>
      </c>
      <c r="B152" t="s">
        <v>78</v>
      </c>
      <c r="C152" t="s">
        <v>79</v>
      </c>
      <c r="D152" t="s">
        <v>80</v>
      </c>
      <c r="E152" t="s">
        <v>357</v>
      </c>
      <c r="F152" t="s">
        <v>57</v>
      </c>
      <c r="G152">
        <v>13105</v>
      </c>
      <c r="H152">
        <v>45666</v>
      </c>
      <c r="I152">
        <v>45701</v>
      </c>
      <c r="J152">
        <v>32</v>
      </c>
      <c r="K152">
        <v>35</v>
      </c>
      <c r="L152">
        <f t="shared" si="16"/>
        <v>3</v>
      </c>
      <c r="M152" t="str">
        <f t="shared" si="17"/>
        <v>Delayed</v>
      </c>
      <c r="N152">
        <v>20</v>
      </c>
      <c r="O152">
        <v>18</v>
      </c>
      <c r="P152">
        <f t="shared" si="18"/>
        <v>0.9</v>
      </c>
      <c r="Q152">
        <v>51</v>
      </c>
      <c r="R152">
        <v>374.4</v>
      </c>
      <c r="S152">
        <v>13105</v>
      </c>
      <c r="T152" t="s">
        <v>45</v>
      </c>
      <c r="U152">
        <v>0</v>
      </c>
      <c r="V152">
        <v>2</v>
      </c>
      <c r="W152">
        <v>3</v>
      </c>
      <c r="X152">
        <v>4</v>
      </c>
      <c r="Y152">
        <v>2.2999999999999998</v>
      </c>
      <c r="Z152">
        <v>4.8</v>
      </c>
      <c r="AA152">
        <v>0.92</v>
      </c>
      <c r="AB152">
        <f t="shared" si="19"/>
        <v>5</v>
      </c>
      <c r="AC152">
        <f t="shared" si="20"/>
        <v>4.59</v>
      </c>
      <c r="AD152" t="str">
        <f t="shared" si="21"/>
        <v>⭐⭐⭐⭐⭐</v>
      </c>
      <c r="AE152" t="str">
        <f t="shared" si="22"/>
        <v>Improve workforce allocation</v>
      </c>
      <c r="AF152" t="str">
        <f t="shared" si="23"/>
        <v>Best for urgent/high priority orders</v>
      </c>
    </row>
    <row r="153" spans="1:32" ht="24" customHeight="1">
      <c r="A153" t="s">
        <v>358</v>
      </c>
      <c r="B153" t="s">
        <v>69</v>
      </c>
      <c r="C153" t="s">
        <v>70</v>
      </c>
      <c r="D153" t="s">
        <v>71</v>
      </c>
      <c r="E153" t="s">
        <v>359</v>
      </c>
      <c r="F153" t="s">
        <v>67</v>
      </c>
      <c r="G153">
        <v>54959</v>
      </c>
      <c r="H153">
        <v>45786</v>
      </c>
      <c r="I153">
        <v>45848</v>
      </c>
      <c r="J153">
        <v>55</v>
      </c>
      <c r="K153">
        <v>62</v>
      </c>
      <c r="L153">
        <f t="shared" si="16"/>
        <v>7</v>
      </c>
      <c r="M153" t="str">
        <f t="shared" si="17"/>
        <v>Delayed</v>
      </c>
      <c r="N153">
        <v>12</v>
      </c>
      <c r="O153">
        <v>8</v>
      </c>
      <c r="P153">
        <f t="shared" si="18"/>
        <v>0.66666666666666663</v>
      </c>
      <c r="Q153">
        <v>35</v>
      </c>
      <c r="R153">
        <v>886.4</v>
      </c>
      <c r="S153">
        <v>54959</v>
      </c>
      <c r="T153" t="s">
        <v>45</v>
      </c>
      <c r="U153">
        <v>2</v>
      </c>
      <c r="V153">
        <v>3</v>
      </c>
      <c r="W153">
        <v>0</v>
      </c>
      <c r="X153">
        <v>6</v>
      </c>
      <c r="Y153">
        <v>2.9</v>
      </c>
      <c r="Z153">
        <v>3.8</v>
      </c>
      <c r="AA153">
        <v>0.78</v>
      </c>
      <c r="AB153">
        <f t="shared" si="19"/>
        <v>5</v>
      </c>
      <c r="AC153">
        <f t="shared" si="20"/>
        <v>3.94</v>
      </c>
      <c r="AD153" t="str">
        <f t="shared" si="21"/>
        <v>⭐⭐⭐</v>
      </c>
      <c r="AE153" t="str">
        <f t="shared" si="22"/>
        <v>Improve workforce allocation</v>
      </c>
      <c r="AF153" t="str">
        <f t="shared" si="23"/>
        <v>Use for normal priority orders</v>
      </c>
    </row>
    <row r="154" spans="1:32" ht="24" customHeight="1">
      <c r="A154" t="s">
        <v>360</v>
      </c>
      <c r="B154" t="s">
        <v>53</v>
      </c>
      <c r="C154" t="s">
        <v>54</v>
      </c>
      <c r="D154" t="s">
        <v>55</v>
      </c>
      <c r="E154" t="s">
        <v>361</v>
      </c>
      <c r="F154" t="s">
        <v>67</v>
      </c>
      <c r="G154">
        <v>52987</v>
      </c>
      <c r="H154">
        <v>45662</v>
      </c>
      <c r="I154">
        <v>45740</v>
      </c>
      <c r="J154">
        <v>75</v>
      </c>
      <c r="K154">
        <v>73</v>
      </c>
      <c r="L154">
        <f t="shared" si="16"/>
        <v>-2</v>
      </c>
      <c r="M154" t="str">
        <f t="shared" si="17"/>
        <v>Early</v>
      </c>
      <c r="N154">
        <v>13</v>
      </c>
      <c r="O154">
        <v>10</v>
      </c>
      <c r="P154">
        <f t="shared" si="18"/>
        <v>0.76923076923076927</v>
      </c>
      <c r="Q154">
        <v>46</v>
      </c>
      <c r="R154">
        <v>725.8</v>
      </c>
      <c r="S154">
        <v>53987</v>
      </c>
      <c r="T154" t="s">
        <v>45</v>
      </c>
      <c r="U154">
        <v>1</v>
      </c>
      <c r="V154">
        <v>3</v>
      </c>
      <c r="W154">
        <v>1</v>
      </c>
      <c r="X154">
        <v>0</v>
      </c>
      <c r="Y154">
        <v>2.57</v>
      </c>
      <c r="Z154">
        <v>4.5</v>
      </c>
      <c r="AA154">
        <v>0.88</v>
      </c>
      <c r="AB154">
        <f t="shared" si="19"/>
        <v>5</v>
      </c>
      <c r="AC154">
        <f t="shared" si="20"/>
        <v>4.5</v>
      </c>
      <c r="AD154" t="str">
        <f t="shared" si="21"/>
        <v>⭐⭐⭐⭐⭐</v>
      </c>
      <c r="AE154" t="str">
        <f t="shared" si="22"/>
        <v>Maintain current resource allocation</v>
      </c>
      <c r="AF154" t="str">
        <f t="shared" si="23"/>
        <v>Best for urgent/high priority orders</v>
      </c>
    </row>
    <row r="155" spans="1:32" ht="24" customHeight="1">
      <c r="A155" t="s">
        <v>362</v>
      </c>
      <c r="B155" t="s">
        <v>53</v>
      </c>
      <c r="C155" t="s">
        <v>54</v>
      </c>
      <c r="D155" t="s">
        <v>55</v>
      </c>
      <c r="E155" t="s">
        <v>363</v>
      </c>
      <c r="F155" t="s">
        <v>37</v>
      </c>
      <c r="G155">
        <v>14331</v>
      </c>
      <c r="H155">
        <v>45929</v>
      </c>
      <c r="I155">
        <v>45976</v>
      </c>
      <c r="J155">
        <v>39</v>
      </c>
      <c r="K155">
        <v>43</v>
      </c>
      <c r="L155">
        <f t="shared" si="16"/>
        <v>4</v>
      </c>
      <c r="M155" t="str">
        <f t="shared" si="17"/>
        <v>Delayed</v>
      </c>
      <c r="N155">
        <v>19</v>
      </c>
      <c r="O155">
        <v>16</v>
      </c>
      <c r="P155">
        <f t="shared" si="18"/>
        <v>0.84210526315789469</v>
      </c>
      <c r="Q155">
        <v>48</v>
      </c>
      <c r="R155">
        <v>333.3</v>
      </c>
      <c r="S155">
        <v>15331</v>
      </c>
      <c r="T155" t="s">
        <v>38</v>
      </c>
      <c r="U155">
        <v>0</v>
      </c>
      <c r="V155">
        <v>7</v>
      </c>
      <c r="W155">
        <v>4</v>
      </c>
      <c r="X155">
        <v>3</v>
      </c>
      <c r="Y155">
        <v>3.31</v>
      </c>
      <c r="Z155">
        <v>4.5</v>
      </c>
      <c r="AA155">
        <v>0.88</v>
      </c>
      <c r="AB155">
        <f t="shared" si="19"/>
        <v>5</v>
      </c>
      <c r="AC155">
        <f t="shared" si="20"/>
        <v>4.4000000000000004</v>
      </c>
      <c r="AD155" t="str">
        <f t="shared" si="21"/>
        <v>⭐⭐⭐⭐</v>
      </c>
      <c r="AE155" t="str">
        <f t="shared" si="22"/>
        <v>Increase machine maintenance support</v>
      </c>
      <c r="AF155" t="str">
        <f t="shared" si="23"/>
        <v>Recommended for medium-high orders</v>
      </c>
    </row>
    <row r="156" spans="1:32" ht="24" customHeight="1">
      <c r="A156" t="s">
        <v>364</v>
      </c>
      <c r="B156" t="s">
        <v>78</v>
      </c>
      <c r="C156" t="s">
        <v>79</v>
      </c>
      <c r="D156" t="s">
        <v>80</v>
      </c>
      <c r="E156" t="s">
        <v>365</v>
      </c>
      <c r="F156" t="s">
        <v>67</v>
      </c>
      <c r="G156">
        <v>51507</v>
      </c>
      <c r="H156">
        <v>45729</v>
      </c>
      <c r="I156">
        <v>45786</v>
      </c>
      <c r="J156">
        <v>61</v>
      </c>
      <c r="K156">
        <v>56</v>
      </c>
      <c r="L156">
        <f t="shared" si="16"/>
        <v>-5</v>
      </c>
      <c r="M156" t="str">
        <f t="shared" si="17"/>
        <v>Early</v>
      </c>
      <c r="N156">
        <v>16</v>
      </c>
      <c r="O156">
        <v>15</v>
      </c>
      <c r="P156">
        <f t="shared" si="18"/>
        <v>0.9375</v>
      </c>
      <c r="Q156">
        <v>54</v>
      </c>
      <c r="R156">
        <v>919.8</v>
      </c>
      <c r="S156">
        <v>51507</v>
      </c>
      <c r="T156" t="s">
        <v>45</v>
      </c>
      <c r="U156">
        <v>3</v>
      </c>
      <c r="V156">
        <v>4</v>
      </c>
      <c r="W156">
        <v>3</v>
      </c>
      <c r="X156">
        <v>0</v>
      </c>
      <c r="Y156">
        <v>2.62</v>
      </c>
      <c r="Z156">
        <v>4.8</v>
      </c>
      <c r="AA156">
        <v>0.92</v>
      </c>
      <c r="AB156">
        <f t="shared" si="19"/>
        <v>5</v>
      </c>
      <c r="AC156">
        <f t="shared" si="20"/>
        <v>4.76</v>
      </c>
      <c r="AD156" t="str">
        <f t="shared" si="21"/>
        <v>⭐⭐⭐⭐⭐</v>
      </c>
      <c r="AE156" t="str">
        <f t="shared" si="22"/>
        <v>Maintain current resource allocation</v>
      </c>
      <c r="AF156" t="str">
        <f t="shared" si="23"/>
        <v>Best for urgent/high priority orders</v>
      </c>
    </row>
    <row r="157" spans="1:32" ht="24" customHeight="1">
      <c r="A157" t="s">
        <v>366</v>
      </c>
      <c r="B157" t="s">
        <v>53</v>
      </c>
      <c r="C157" t="s">
        <v>54</v>
      </c>
      <c r="D157" t="s">
        <v>55</v>
      </c>
      <c r="E157" t="s">
        <v>367</v>
      </c>
      <c r="F157" t="s">
        <v>37</v>
      </c>
      <c r="G157">
        <v>28133</v>
      </c>
      <c r="H157">
        <v>45911</v>
      </c>
      <c r="I157">
        <v>45961</v>
      </c>
      <c r="J157">
        <v>47</v>
      </c>
      <c r="K157">
        <v>47</v>
      </c>
      <c r="L157">
        <f t="shared" si="16"/>
        <v>0</v>
      </c>
      <c r="M157" t="str">
        <f t="shared" si="17"/>
        <v>On Time</v>
      </c>
      <c r="N157">
        <v>16</v>
      </c>
      <c r="O157">
        <v>13</v>
      </c>
      <c r="P157">
        <f t="shared" si="18"/>
        <v>0.8125</v>
      </c>
      <c r="Q157">
        <v>53</v>
      </c>
      <c r="R157">
        <v>598.6</v>
      </c>
      <c r="S157">
        <v>28133</v>
      </c>
      <c r="T157" t="s">
        <v>45</v>
      </c>
      <c r="U157">
        <v>1</v>
      </c>
      <c r="V157">
        <v>6</v>
      </c>
      <c r="W157">
        <v>1</v>
      </c>
      <c r="X157">
        <v>0</v>
      </c>
      <c r="Y157">
        <v>2.73</v>
      </c>
      <c r="Z157">
        <v>4.5</v>
      </c>
      <c r="AA157">
        <v>0.88</v>
      </c>
      <c r="AB157">
        <f t="shared" si="19"/>
        <v>5</v>
      </c>
      <c r="AC157">
        <f t="shared" si="20"/>
        <v>4.49</v>
      </c>
      <c r="AD157" t="str">
        <f t="shared" si="21"/>
        <v>⭐⭐⭐⭐</v>
      </c>
      <c r="AE157" t="str">
        <f t="shared" si="22"/>
        <v>Maintain current resource allocation</v>
      </c>
      <c r="AF157" t="str">
        <f t="shared" si="23"/>
        <v>Recommended for medium-high orders</v>
      </c>
    </row>
    <row r="158" spans="1:32" ht="24" customHeight="1">
      <c r="A158" t="s">
        <v>368</v>
      </c>
      <c r="B158" t="s">
        <v>78</v>
      </c>
      <c r="C158" t="s">
        <v>79</v>
      </c>
      <c r="D158" t="s">
        <v>80</v>
      </c>
      <c r="E158" t="s">
        <v>369</v>
      </c>
      <c r="F158" t="s">
        <v>57</v>
      </c>
      <c r="G158">
        <v>13655</v>
      </c>
      <c r="H158">
        <v>45792</v>
      </c>
      <c r="I158">
        <v>45814</v>
      </c>
      <c r="J158">
        <v>24</v>
      </c>
      <c r="K158">
        <v>21</v>
      </c>
      <c r="L158">
        <f t="shared" si="16"/>
        <v>-3</v>
      </c>
      <c r="M158" t="str">
        <f t="shared" si="17"/>
        <v>Early</v>
      </c>
      <c r="N158">
        <v>20</v>
      </c>
      <c r="O158">
        <v>17</v>
      </c>
      <c r="P158">
        <f t="shared" si="18"/>
        <v>0.85</v>
      </c>
      <c r="Q158">
        <v>55</v>
      </c>
      <c r="R158">
        <v>650.20000000000005</v>
      </c>
      <c r="S158">
        <v>16655</v>
      </c>
      <c r="T158" t="s">
        <v>45</v>
      </c>
      <c r="U158">
        <v>0</v>
      </c>
      <c r="V158">
        <v>4</v>
      </c>
      <c r="W158">
        <v>1</v>
      </c>
      <c r="X158">
        <v>3</v>
      </c>
      <c r="Y158">
        <v>3.07</v>
      </c>
      <c r="Z158">
        <v>4.8</v>
      </c>
      <c r="AA158">
        <v>0.92</v>
      </c>
      <c r="AB158">
        <f t="shared" si="19"/>
        <v>5</v>
      </c>
      <c r="AC158">
        <f t="shared" si="20"/>
        <v>4.7</v>
      </c>
      <c r="AD158" t="str">
        <f t="shared" si="21"/>
        <v>⭐⭐⭐⭐⭐</v>
      </c>
      <c r="AE158" t="str">
        <f t="shared" si="22"/>
        <v>Maintain current resource allocation</v>
      </c>
      <c r="AF158" t="str">
        <f t="shared" si="23"/>
        <v>Best for urgent/high priority orders</v>
      </c>
    </row>
    <row r="159" spans="1:32" ht="24" customHeight="1">
      <c r="A159" t="s">
        <v>370</v>
      </c>
      <c r="B159" t="s">
        <v>78</v>
      </c>
      <c r="C159" t="s">
        <v>79</v>
      </c>
      <c r="D159" t="s">
        <v>80</v>
      </c>
      <c r="E159" t="s">
        <v>371</v>
      </c>
      <c r="F159" t="s">
        <v>37</v>
      </c>
      <c r="G159">
        <v>23040</v>
      </c>
      <c r="H159">
        <v>45737</v>
      </c>
      <c r="I159">
        <v>45779</v>
      </c>
      <c r="J159">
        <v>40</v>
      </c>
      <c r="K159">
        <v>38</v>
      </c>
      <c r="L159">
        <f t="shared" si="16"/>
        <v>-2</v>
      </c>
      <c r="M159" t="str">
        <f t="shared" si="17"/>
        <v>Early</v>
      </c>
      <c r="N159">
        <v>17</v>
      </c>
      <c r="O159">
        <v>14</v>
      </c>
      <c r="P159">
        <f t="shared" si="18"/>
        <v>0.82352941176470584</v>
      </c>
      <c r="Q159">
        <v>59</v>
      </c>
      <c r="R159">
        <v>606.29999999999995</v>
      </c>
      <c r="S159">
        <v>23040</v>
      </c>
      <c r="T159" t="s">
        <v>45</v>
      </c>
      <c r="U159">
        <v>1</v>
      </c>
      <c r="V159">
        <v>2</v>
      </c>
      <c r="W159">
        <v>1</v>
      </c>
      <c r="X159">
        <v>0</v>
      </c>
      <c r="Y159">
        <v>3.11</v>
      </c>
      <c r="Z159">
        <v>4.8</v>
      </c>
      <c r="AA159">
        <v>0.92</v>
      </c>
      <c r="AB159">
        <f t="shared" si="19"/>
        <v>5</v>
      </c>
      <c r="AC159">
        <f t="shared" si="20"/>
        <v>4.68</v>
      </c>
      <c r="AD159" t="str">
        <f t="shared" si="21"/>
        <v>⭐⭐⭐⭐⭐</v>
      </c>
      <c r="AE159" t="str">
        <f t="shared" si="22"/>
        <v>Maintain current resource allocation</v>
      </c>
      <c r="AF159" t="str">
        <f t="shared" si="23"/>
        <v>Best for urgent/high priority orders</v>
      </c>
    </row>
    <row r="160" spans="1:32" ht="24" customHeight="1">
      <c r="A160" t="s">
        <v>372</v>
      </c>
      <c r="B160" t="s">
        <v>53</v>
      </c>
      <c r="C160" t="s">
        <v>54</v>
      </c>
      <c r="D160" t="s">
        <v>55</v>
      </c>
      <c r="E160" t="s">
        <v>373</v>
      </c>
      <c r="F160" t="s">
        <v>37</v>
      </c>
      <c r="G160">
        <v>24335</v>
      </c>
      <c r="H160">
        <v>45922</v>
      </c>
      <c r="I160">
        <v>45961</v>
      </c>
      <c r="J160">
        <v>31</v>
      </c>
      <c r="K160">
        <v>34</v>
      </c>
      <c r="L160">
        <f t="shared" si="16"/>
        <v>3</v>
      </c>
      <c r="M160" t="str">
        <f t="shared" si="17"/>
        <v>Delayed</v>
      </c>
      <c r="N160">
        <v>15</v>
      </c>
      <c r="O160">
        <v>11</v>
      </c>
      <c r="P160">
        <f t="shared" si="18"/>
        <v>0.73333333333333328</v>
      </c>
      <c r="Q160">
        <v>48</v>
      </c>
      <c r="R160">
        <v>715.7</v>
      </c>
      <c r="S160">
        <v>24335</v>
      </c>
      <c r="T160" t="s">
        <v>38</v>
      </c>
      <c r="U160">
        <v>1</v>
      </c>
      <c r="V160">
        <v>10</v>
      </c>
      <c r="W160">
        <v>3</v>
      </c>
      <c r="X160">
        <v>1</v>
      </c>
      <c r="Y160">
        <v>2.63</v>
      </c>
      <c r="Z160">
        <v>4.5</v>
      </c>
      <c r="AA160">
        <v>0.88</v>
      </c>
      <c r="AB160">
        <f t="shared" si="19"/>
        <v>5</v>
      </c>
      <c r="AC160">
        <f t="shared" si="20"/>
        <v>4.32</v>
      </c>
      <c r="AD160" t="str">
        <f t="shared" si="21"/>
        <v>⭐⭐⭐⭐</v>
      </c>
      <c r="AE160" t="str">
        <f t="shared" si="22"/>
        <v>Reduce risk days and add supervisor monitoring</v>
      </c>
      <c r="AF160" t="str">
        <f t="shared" si="23"/>
        <v>Recommended for medium-high orders</v>
      </c>
    </row>
    <row r="161" spans="1:32" ht="24" customHeight="1">
      <c r="A161" t="s">
        <v>374</v>
      </c>
      <c r="B161" t="s">
        <v>53</v>
      </c>
      <c r="C161" t="s">
        <v>54</v>
      </c>
      <c r="D161" t="s">
        <v>55</v>
      </c>
      <c r="E161" t="s">
        <v>375</v>
      </c>
      <c r="F161" t="s">
        <v>44</v>
      </c>
      <c r="G161">
        <v>10806</v>
      </c>
      <c r="H161">
        <v>45913</v>
      </c>
      <c r="I161">
        <v>45945</v>
      </c>
      <c r="J161">
        <v>27</v>
      </c>
      <c r="K161">
        <v>28</v>
      </c>
      <c r="L161">
        <f t="shared" si="16"/>
        <v>1</v>
      </c>
      <c r="M161" t="str">
        <f t="shared" si="17"/>
        <v>Delayed</v>
      </c>
      <c r="N161">
        <v>14</v>
      </c>
      <c r="O161">
        <v>11</v>
      </c>
      <c r="P161">
        <f t="shared" si="18"/>
        <v>0.7857142857142857</v>
      </c>
      <c r="Q161">
        <v>60</v>
      </c>
      <c r="R161">
        <v>385.9</v>
      </c>
      <c r="S161">
        <v>12806</v>
      </c>
      <c r="T161" t="s">
        <v>45</v>
      </c>
      <c r="U161">
        <v>0</v>
      </c>
      <c r="V161">
        <v>4</v>
      </c>
      <c r="W161">
        <v>5</v>
      </c>
      <c r="X161">
        <v>2</v>
      </c>
      <c r="Y161">
        <v>3.21</v>
      </c>
      <c r="Z161">
        <v>4.5</v>
      </c>
      <c r="AA161">
        <v>0.88</v>
      </c>
      <c r="AB161">
        <f t="shared" si="19"/>
        <v>5</v>
      </c>
      <c r="AC161">
        <f t="shared" si="20"/>
        <v>4.3600000000000003</v>
      </c>
      <c r="AD161" t="str">
        <f t="shared" si="21"/>
        <v>⭐⭐⭐⭐</v>
      </c>
      <c r="AE161" t="str">
        <f t="shared" si="22"/>
        <v>Increase machine maintenance support</v>
      </c>
      <c r="AF161" t="str">
        <f t="shared" si="23"/>
        <v>Recommended for medium-high orders</v>
      </c>
    </row>
    <row r="162" spans="1:32" ht="24" customHeight="1">
      <c r="A162" t="s">
        <v>376</v>
      </c>
      <c r="B162" t="s">
        <v>78</v>
      </c>
      <c r="C162" t="s">
        <v>79</v>
      </c>
      <c r="D162" t="s">
        <v>80</v>
      </c>
      <c r="E162" t="s">
        <v>377</v>
      </c>
      <c r="F162" t="s">
        <v>67</v>
      </c>
      <c r="G162">
        <v>43371</v>
      </c>
      <c r="H162">
        <v>45676</v>
      </c>
      <c r="I162">
        <v>45753</v>
      </c>
      <c r="J162">
        <v>73</v>
      </c>
      <c r="K162">
        <v>73</v>
      </c>
      <c r="L162">
        <f t="shared" si="16"/>
        <v>0</v>
      </c>
      <c r="M162" t="str">
        <f t="shared" si="17"/>
        <v>On Time</v>
      </c>
      <c r="N162">
        <v>15</v>
      </c>
      <c r="O162">
        <v>12</v>
      </c>
      <c r="P162">
        <f t="shared" si="18"/>
        <v>0.8</v>
      </c>
      <c r="Q162">
        <v>65</v>
      </c>
      <c r="R162">
        <v>594.1</v>
      </c>
      <c r="S162">
        <v>45371</v>
      </c>
      <c r="T162" t="s">
        <v>45</v>
      </c>
      <c r="U162">
        <v>3</v>
      </c>
      <c r="V162">
        <v>6</v>
      </c>
      <c r="W162">
        <v>3</v>
      </c>
      <c r="X162">
        <v>5</v>
      </c>
      <c r="Y162">
        <v>3.15</v>
      </c>
      <c r="Z162">
        <v>4.8</v>
      </c>
      <c r="AA162">
        <v>0.92</v>
      </c>
      <c r="AB162">
        <f t="shared" si="19"/>
        <v>5</v>
      </c>
      <c r="AC162">
        <f t="shared" si="20"/>
        <v>4.62</v>
      </c>
      <c r="AD162" t="str">
        <f t="shared" si="21"/>
        <v>⭐⭐⭐⭐⭐</v>
      </c>
      <c r="AE162" t="str">
        <f t="shared" si="22"/>
        <v>Maintain current resource allocation</v>
      </c>
      <c r="AF162" t="str">
        <f t="shared" si="23"/>
        <v>Best for urgent/high priority orders</v>
      </c>
    </row>
    <row r="163" spans="1:32" ht="24" customHeight="1">
      <c r="A163" t="s">
        <v>378</v>
      </c>
      <c r="B163" t="s">
        <v>61</v>
      </c>
      <c r="C163" t="s">
        <v>62</v>
      </c>
      <c r="D163" t="s">
        <v>63</v>
      </c>
      <c r="E163" t="s">
        <v>379</v>
      </c>
      <c r="F163" t="s">
        <v>57</v>
      </c>
      <c r="G163">
        <v>10272</v>
      </c>
      <c r="H163">
        <v>45693</v>
      </c>
      <c r="I163">
        <v>45732</v>
      </c>
      <c r="J163">
        <v>31</v>
      </c>
      <c r="K163">
        <v>36</v>
      </c>
      <c r="L163">
        <f t="shared" si="16"/>
        <v>5</v>
      </c>
      <c r="M163" t="str">
        <f t="shared" si="17"/>
        <v>Delayed</v>
      </c>
      <c r="N163">
        <v>9</v>
      </c>
      <c r="O163">
        <v>6</v>
      </c>
      <c r="P163">
        <f t="shared" si="18"/>
        <v>0.66666666666666663</v>
      </c>
      <c r="Q163">
        <v>46</v>
      </c>
      <c r="R163">
        <v>285.3</v>
      </c>
      <c r="S163">
        <v>10272</v>
      </c>
      <c r="T163" t="s">
        <v>45</v>
      </c>
      <c r="U163">
        <v>3</v>
      </c>
      <c r="V163">
        <v>6</v>
      </c>
      <c r="W163">
        <v>3</v>
      </c>
      <c r="X163">
        <v>1</v>
      </c>
      <c r="Y163">
        <v>3.5</v>
      </c>
      <c r="Z163">
        <v>4</v>
      </c>
      <c r="AA163">
        <v>0.8</v>
      </c>
      <c r="AB163">
        <f t="shared" si="19"/>
        <v>5</v>
      </c>
      <c r="AC163">
        <f t="shared" si="20"/>
        <v>4.0199999999999996</v>
      </c>
      <c r="AD163" t="str">
        <f t="shared" si="21"/>
        <v>⭐⭐⭐⭐</v>
      </c>
      <c r="AE163" t="str">
        <f t="shared" si="22"/>
        <v>Increase daily output monitoring</v>
      </c>
      <c r="AF163" t="str">
        <f t="shared" si="23"/>
        <v>Recommended for medium-high orders</v>
      </c>
    </row>
    <row r="164" spans="1:32" ht="24" customHeight="1">
      <c r="A164" t="s">
        <v>380</v>
      </c>
      <c r="B164" t="s">
        <v>61</v>
      </c>
      <c r="C164" t="s">
        <v>62</v>
      </c>
      <c r="D164" t="s">
        <v>63</v>
      </c>
      <c r="E164" t="s">
        <v>381</v>
      </c>
      <c r="F164" t="s">
        <v>44</v>
      </c>
      <c r="G164">
        <v>4830</v>
      </c>
      <c r="H164">
        <v>45783</v>
      </c>
      <c r="I164">
        <v>45807</v>
      </c>
      <c r="J164">
        <v>24</v>
      </c>
      <c r="K164">
        <v>23</v>
      </c>
      <c r="L164">
        <f t="shared" si="16"/>
        <v>-1</v>
      </c>
      <c r="M164" t="str">
        <f t="shared" si="17"/>
        <v>Early</v>
      </c>
      <c r="N164">
        <v>12</v>
      </c>
      <c r="O164">
        <v>8</v>
      </c>
      <c r="P164">
        <f t="shared" si="18"/>
        <v>0.66666666666666663</v>
      </c>
      <c r="Q164">
        <v>48</v>
      </c>
      <c r="R164">
        <v>210</v>
      </c>
      <c r="S164">
        <v>7830</v>
      </c>
      <c r="T164" t="s">
        <v>45</v>
      </c>
      <c r="U164">
        <v>1</v>
      </c>
      <c r="V164">
        <v>5</v>
      </c>
      <c r="W164">
        <v>4</v>
      </c>
      <c r="X164">
        <v>4</v>
      </c>
      <c r="Y164">
        <v>3.24</v>
      </c>
      <c r="Z164">
        <v>4</v>
      </c>
      <c r="AA164">
        <v>0.8</v>
      </c>
      <c r="AB164">
        <f t="shared" si="19"/>
        <v>5</v>
      </c>
      <c r="AC164">
        <f t="shared" si="20"/>
        <v>4.17</v>
      </c>
      <c r="AD164" t="str">
        <f t="shared" si="21"/>
        <v>⭐⭐⭐⭐</v>
      </c>
      <c r="AE164" t="str">
        <f t="shared" si="22"/>
        <v>Maintain current resource allocation</v>
      </c>
      <c r="AF164" t="str">
        <f t="shared" si="23"/>
        <v>Recommended for medium-high orders</v>
      </c>
    </row>
    <row r="165" spans="1:32" ht="24" customHeight="1">
      <c r="A165" t="s">
        <v>382</v>
      </c>
      <c r="B165" t="s">
        <v>78</v>
      </c>
      <c r="C165" t="s">
        <v>79</v>
      </c>
      <c r="D165" t="s">
        <v>80</v>
      </c>
      <c r="E165" t="s">
        <v>383</v>
      </c>
      <c r="F165" t="s">
        <v>57</v>
      </c>
      <c r="G165">
        <v>8817</v>
      </c>
      <c r="H165">
        <v>45929</v>
      </c>
      <c r="I165">
        <v>45954</v>
      </c>
      <c r="J165">
        <v>24</v>
      </c>
      <c r="K165">
        <v>24</v>
      </c>
      <c r="L165">
        <f t="shared" si="16"/>
        <v>0</v>
      </c>
      <c r="M165" t="str">
        <f t="shared" si="17"/>
        <v>On Time</v>
      </c>
      <c r="N165">
        <v>21</v>
      </c>
      <c r="O165">
        <v>19</v>
      </c>
      <c r="P165">
        <f t="shared" si="18"/>
        <v>0.90476190476190477</v>
      </c>
      <c r="Q165">
        <v>59</v>
      </c>
      <c r="R165">
        <v>367.4</v>
      </c>
      <c r="S165">
        <v>8817</v>
      </c>
      <c r="T165" t="s">
        <v>45</v>
      </c>
      <c r="U165">
        <v>1</v>
      </c>
      <c r="V165">
        <v>0</v>
      </c>
      <c r="W165">
        <v>3</v>
      </c>
      <c r="X165">
        <v>0</v>
      </c>
      <c r="Y165">
        <v>2.89</v>
      </c>
      <c r="Z165">
        <v>4.8</v>
      </c>
      <c r="AA165">
        <v>0.92</v>
      </c>
      <c r="AB165">
        <f t="shared" si="19"/>
        <v>5</v>
      </c>
      <c r="AC165">
        <f t="shared" si="20"/>
        <v>4.7</v>
      </c>
      <c r="AD165" t="str">
        <f t="shared" si="21"/>
        <v>⭐⭐⭐⭐⭐</v>
      </c>
      <c r="AE165" t="str">
        <f t="shared" si="22"/>
        <v>Maintain current resource allocation</v>
      </c>
      <c r="AF165" t="str">
        <f t="shared" si="23"/>
        <v>Best for urgent/high priority orders</v>
      </c>
    </row>
    <row r="166" spans="1:32" ht="24" customHeight="1">
      <c r="A166" t="s">
        <v>384</v>
      </c>
      <c r="B166" t="s">
        <v>40</v>
      </c>
      <c r="C166" t="s">
        <v>41</v>
      </c>
      <c r="D166" t="s">
        <v>42</v>
      </c>
      <c r="E166" t="s">
        <v>385</v>
      </c>
      <c r="F166" t="s">
        <v>37</v>
      </c>
      <c r="G166">
        <v>19169</v>
      </c>
      <c r="H166">
        <v>45948</v>
      </c>
      <c r="I166">
        <v>45976</v>
      </c>
      <c r="J166">
        <v>26</v>
      </c>
      <c r="K166">
        <v>28</v>
      </c>
      <c r="L166">
        <f t="shared" si="16"/>
        <v>2</v>
      </c>
      <c r="M166" t="str">
        <f t="shared" si="17"/>
        <v>Delayed</v>
      </c>
      <c r="N166">
        <v>12</v>
      </c>
      <c r="O166">
        <v>10</v>
      </c>
      <c r="P166">
        <f t="shared" si="18"/>
        <v>0.83333333333333337</v>
      </c>
      <c r="Q166">
        <v>54</v>
      </c>
      <c r="R166">
        <v>684.6</v>
      </c>
      <c r="S166">
        <v>20169</v>
      </c>
      <c r="T166" t="s">
        <v>38</v>
      </c>
      <c r="U166">
        <v>5</v>
      </c>
      <c r="V166">
        <v>9</v>
      </c>
      <c r="W166">
        <v>5</v>
      </c>
      <c r="X166">
        <v>2</v>
      </c>
      <c r="Y166">
        <v>3.23</v>
      </c>
      <c r="Z166">
        <v>4.3</v>
      </c>
      <c r="AA166">
        <v>0.85</v>
      </c>
      <c r="AB166">
        <f t="shared" si="19"/>
        <v>5</v>
      </c>
      <c r="AC166">
        <f t="shared" si="20"/>
        <v>4.3</v>
      </c>
      <c r="AD166" t="str">
        <f t="shared" si="21"/>
        <v>⭐⭐⭐⭐</v>
      </c>
      <c r="AE166" t="str">
        <f t="shared" si="22"/>
        <v>Reduce risk days and add supervisor monitoring</v>
      </c>
      <c r="AF166" t="str">
        <f t="shared" si="23"/>
        <v>Recommended for medium-high orders</v>
      </c>
    </row>
    <row r="167" spans="1:32" ht="24" customHeight="1">
      <c r="A167" t="s">
        <v>386</v>
      </c>
      <c r="B167" t="s">
        <v>40</v>
      </c>
      <c r="C167" t="s">
        <v>41</v>
      </c>
      <c r="D167" t="s">
        <v>42</v>
      </c>
      <c r="E167" t="s">
        <v>387</v>
      </c>
      <c r="F167" t="s">
        <v>67</v>
      </c>
      <c r="G167">
        <v>49557</v>
      </c>
      <c r="H167">
        <v>45957</v>
      </c>
      <c r="I167">
        <v>46023</v>
      </c>
      <c r="J167">
        <v>63</v>
      </c>
      <c r="K167">
        <v>66</v>
      </c>
      <c r="L167">
        <f t="shared" si="16"/>
        <v>3</v>
      </c>
      <c r="M167" t="str">
        <f t="shared" si="17"/>
        <v>Delayed</v>
      </c>
      <c r="N167">
        <v>18</v>
      </c>
      <c r="O167">
        <v>13</v>
      </c>
      <c r="P167">
        <f t="shared" si="18"/>
        <v>0.72222222222222221</v>
      </c>
      <c r="Q167">
        <v>40</v>
      </c>
      <c r="R167">
        <v>750.9</v>
      </c>
      <c r="S167">
        <v>50557</v>
      </c>
      <c r="T167" t="s">
        <v>45</v>
      </c>
      <c r="U167">
        <v>1</v>
      </c>
      <c r="V167">
        <v>4</v>
      </c>
      <c r="W167">
        <v>3</v>
      </c>
      <c r="X167">
        <v>1</v>
      </c>
      <c r="Y167">
        <v>2.8</v>
      </c>
      <c r="Z167">
        <v>4.3</v>
      </c>
      <c r="AA167">
        <v>0.85</v>
      </c>
      <c r="AB167">
        <f t="shared" si="19"/>
        <v>5</v>
      </c>
      <c r="AC167">
        <f t="shared" si="20"/>
        <v>4.21</v>
      </c>
      <c r="AD167" t="str">
        <f t="shared" si="21"/>
        <v>⭐⭐⭐⭐</v>
      </c>
      <c r="AE167" t="str">
        <f t="shared" si="22"/>
        <v>Increase daily output monitoring</v>
      </c>
      <c r="AF167" t="str">
        <f t="shared" si="23"/>
        <v>Recommended for medium-high orders</v>
      </c>
    </row>
    <row r="168" spans="1:32" ht="24" customHeight="1">
      <c r="A168" t="s">
        <v>388</v>
      </c>
      <c r="B168" t="s">
        <v>78</v>
      </c>
      <c r="C168" t="s">
        <v>79</v>
      </c>
      <c r="D168" t="s">
        <v>80</v>
      </c>
      <c r="E168" t="s">
        <v>389</v>
      </c>
      <c r="F168" t="s">
        <v>67</v>
      </c>
      <c r="G168">
        <v>55271</v>
      </c>
      <c r="H168">
        <v>45678</v>
      </c>
      <c r="I168">
        <v>45746</v>
      </c>
      <c r="J168">
        <v>65</v>
      </c>
      <c r="K168">
        <v>67</v>
      </c>
      <c r="L168">
        <f t="shared" si="16"/>
        <v>2</v>
      </c>
      <c r="M168" t="str">
        <f t="shared" si="17"/>
        <v>Delayed</v>
      </c>
      <c r="N168">
        <v>19</v>
      </c>
      <c r="O168">
        <v>17</v>
      </c>
      <c r="P168">
        <f t="shared" si="18"/>
        <v>0.89473684210526316</v>
      </c>
      <c r="Q168">
        <v>52</v>
      </c>
      <c r="R168">
        <v>824.9</v>
      </c>
      <c r="S168">
        <v>56271</v>
      </c>
      <c r="T168" t="s">
        <v>45</v>
      </c>
      <c r="U168">
        <v>2</v>
      </c>
      <c r="V168">
        <v>0</v>
      </c>
      <c r="W168">
        <v>0</v>
      </c>
      <c r="X168">
        <v>1</v>
      </c>
      <c r="Y168">
        <v>3.22</v>
      </c>
      <c r="Z168">
        <v>4.8</v>
      </c>
      <c r="AA168">
        <v>0.92</v>
      </c>
      <c r="AB168">
        <f t="shared" si="19"/>
        <v>5</v>
      </c>
      <c r="AC168">
        <f t="shared" si="20"/>
        <v>4.58</v>
      </c>
      <c r="AD168" t="str">
        <f t="shared" si="21"/>
        <v>⭐⭐⭐⭐⭐</v>
      </c>
      <c r="AE168" t="str">
        <f t="shared" si="22"/>
        <v>Increase daily output monitoring</v>
      </c>
      <c r="AF168" t="str">
        <f t="shared" si="23"/>
        <v>Best for urgent/high priority orders</v>
      </c>
    </row>
    <row r="169" spans="1:32" ht="24" customHeight="1">
      <c r="A169" t="s">
        <v>390</v>
      </c>
      <c r="B169" t="s">
        <v>61</v>
      </c>
      <c r="C169" t="s">
        <v>62</v>
      </c>
      <c r="D169" t="s">
        <v>63</v>
      </c>
      <c r="E169" t="s">
        <v>391</v>
      </c>
      <c r="F169" t="s">
        <v>44</v>
      </c>
      <c r="G169">
        <v>4988</v>
      </c>
      <c r="H169">
        <v>45706</v>
      </c>
      <c r="I169">
        <v>45738</v>
      </c>
      <c r="J169">
        <v>27</v>
      </c>
      <c r="K169">
        <v>29</v>
      </c>
      <c r="L169">
        <f t="shared" si="16"/>
        <v>2</v>
      </c>
      <c r="M169" t="str">
        <f t="shared" si="17"/>
        <v>Delayed</v>
      </c>
      <c r="N169">
        <v>11</v>
      </c>
      <c r="O169">
        <v>7</v>
      </c>
      <c r="P169">
        <f t="shared" si="18"/>
        <v>0.63636363636363635</v>
      </c>
      <c r="Q169">
        <v>42</v>
      </c>
      <c r="R169">
        <v>172</v>
      </c>
      <c r="S169">
        <v>7988</v>
      </c>
      <c r="T169" t="s">
        <v>45</v>
      </c>
      <c r="U169">
        <v>1</v>
      </c>
      <c r="V169">
        <v>2</v>
      </c>
      <c r="W169">
        <v>2</v>
      </c>
      <c r="X169">
        <v>5</v>
      </c>
      <c r="Y169">
        <v>2.99</v>
      </c>
      <c r="Z169">
        <v>4</v>
      </c>
      <c r="AA169">
        <v>0.8</v>
      </c>
      <c r="AB169">
        <f t="shared" si="19"/>
        <v>5</v>
      </c>
      <c r="AC169">
        <f t="shared" si="20"/>
        <v>4</v>
      </c>
      <c r="AD169" t="str">
        <f t="shared" si="21"/>
        <v>⭐⭐⭐⭐</v>
      </c>
      <c r="AE169" t="str">
        <f t="shared" si="22"/>
        <v>Improve workforce allocation</v>
      </c>
      <c r="AF169" t="str">
        <f t="shared" si="23"/>
        <v>Recommended for medium-high orders</v>
      </c>
    </row>
    <row r="170" spans="1:32" ht="24" customHeight="1">
      <c r="A170" t="s">
        <v>392</v>
      </c>
      <c r="B170" t="s">
        <v>78</v>
      </c>
      <c r="C170" t="s">
        <v>79</v>
      </c>
      <c r="D170" t="s">
        <v>80</v>
      </c>
      <c r="E170" t="s">
        <v>393</v>
      </c>
      <c r="F170" t="s">
        <v>67</v>
      </c>
      <c r="G170">
        <v>40391</v>
      </c>
      <c r="H170">
        <v>45988</v>
      </c>
      <c r="I170">
        <v>46045</v>
      </c>
      <c r="J170">
        <v>56</v>
      </c>
      <c r="K170">
        <v>54</v>
      </c>
      <c r="L170">
        <f t="shared" si="16"/>
        <v>-2</v>
      </c>
      <c r="M170" t="str">
        <f t="shared" si="17"/>
        <v>Early</v>
      </c>
      <c r="N170">
        <v>16</v>
      </c>
      <c r="O170">
        <v>14</v>
      </c>
      <c r="P170">
        <f t="shared" si="18"/>
        <v>0.875</v>
      </c>
      <c r="Q170">
        <v>58</v>
      </c>
      <c r="R170">
        <v>748</v>
      </c>
      <c r="S170">
        <v>40391</v>
      </c>
      <c r="T170" t="s">
        <v>45</v>
      </c>
      <c r="U170">
        <v>0</v>
      </c>
      <c r="V170">
        <v>4</v>
      </c>
      <c r="W170">
        <v>1</v>
      </c>
      <c r="X170">
        <v>2</v>
      </c>
      <c r="Y170">
        <v>3.2</v>
      </c>
      <c r="Z170">
        <v>4.8</v>
      </c>
      <c r="AA170">
        <v>0.92</v>
      </c>
      <c r="AB170">
        <f t="shared" si="19"/>
        <v>5</v>
      </c>
      <c r="AC170">
        <f t="shared" si="20"/>
        <v>4.72</v>
      </c>
      <c r="AD170" t="str">
        <f t="shared" si="21"/>
        <v>⭐⭐⭐⭐⭐</v>
      </c>
      <c r="AE170" t="str">
        <f t="shared" si="22"/>
        <v>Maintain current resource allocation</v>
      </c>
      <c r="AF170" t="str">
        <f t="shared" si="23"/>
        <v>Best for urgent/high priority orders</v>
      </c>
    </row>
    <row r="171" spans="1:32" ht="24" customHeight="1">
      <c r="A171" t="s">
        <v>394</v>
      </c>
      <c r="B171" t="s">
        <v>61</v>
      </c>
      <c r="C171" t="s">
        <v>62</v>
      </c>
      <c r="D171" t="s">
        <v>63</v>
      </c>
      <c r="E171" t="s">
        <v>395</v>
      </c>
      <c r="F171" t="s">
        <v>37</v>
      </c>
      <c r="G171">
        <v>20864</v>
      </c>
      <c r="H171">
        <v>45753</v>
      </c>
      <c r="I171">
        <v>45783</v>
      </c>
      <c r="J171">
        <v>27</v>
      </c>
      <c r="K171">
        <v>28</v>
      </c>
      <c r="L171">
        <f t="shared" si="16"/>
        <v>1</v>
      </c>
      <c r="M171" t="str">
        <f t="shared" si="17"/>
        <v>Delayed</v>
      </c>
      <c r="N171">
        <v>15</v>
      </c>
      <c r="O171">
        <v>11</v>
      </c>
      <c r="P171">
        <f t="shared" si="18"/>
        <v>0.73333333333333328</v>
      </c>
      <c r="Q171">
        <v>35</v>
      </c>
      <c r="R171">
        <v>745.1</v>
      </c>
      <c r="S171">
        <v>22864</v>
      </c>
      <c r="T171" t="s">
        <v>38</v>
      </c>
      <c r="U171">
        <v>1</v>
      </c>
      <c r="V171">
        <v>10</v>
      </c>
      <c r="W171">
        <v>6</v>
      </c>
      <c r="X171">
        <v>4</v>
      </c>
      <c r="Y171">
        <v>3.59</v>
      </c>
      <c r="Z171">
        <v>4</v>
      </c>
      <c r="AA171">
        <v>0.8</v>
      </c>
      <c r="AB171">
        <f t="shared" si="19"/>
        <v>5</v>
      </c>
      <c r="AC171">
        <f t="shared" si="20"/>
        <v>4.07</v>
      </c>
      <c r="AD171" t="str">
        <f t="shared" si="21"/>
        <v>⭐⭐⭐⭐</v>
      </c>
      <c r="AE171" t="str">
        <f t="shared" si="22"/>
        <v>Reduce risk days and add supervisor monitoring</v>
      </c>
      <c r="AF171" t="str">
        <f t="shared" si="23"/>
        <v>Recommended for medium-high orders</v>
      </c>
    </row>
    <row r="172" spans="1:32" ht="24" customHeight="1">
      <c r="A172" t="s">
        <v>396</v>
      </c>
      <c r="B172" t="s">
        <v>53</v>
      </c>
      <c r="C172" t="s">
        <v>54</v>
      </c>
      <c r="D172" t="s">
        <v>55</v>
      </c>
      <c r="E172" t="s">
        <v>397</v>
      </c>
      <c r="F172" t="s">
        <v>67</v>
      </c>
      <c r="G172">
        <v>48053</v>
      </c>
      <c r="H172">
        <v>45841</v>
      </c>
      <c r="I172">
        <v>45921</v>
      </c>
      <c r="J172">
        <v>75</v>
      </c>
      <c r="K172">
        <v>77</v>
      </c>
      <c r="L172">
        <f t="shared" si="16"/>
        <v>2</v>
      </c>
      <c r="M172" t="str">
        <f t="shared" si="17"/>
        <v>Delayed</v>
      </c>
      <c r="N172">
        <v>15</v>
      </c>
      <c r="O172">
        <v>12</v>
      </c>
      <c r="P172">
        <f t="shared" si="18"/>
        <v>0.8</v>
      </c>
      <c r="Q172">
        <v>60</v>
      </c>
      <c r="R172">
        <v>624.1</v>
      </c>
      <c r="S172">
        <v>49053</v>
      </c>
      <c r="T172" t="s">
        <v>45</v>
      </c>
      <c r="U172">
        <v>0</v>
      </c>
      <c r="V172">
        <v>0</v>
      </c>
      <c r="W172">
        <v>3</v>
      </c>
      <c r="X172">
        <v>3</v>
      </c>
      <c r="Y172">
        <v>3.83</v>
      </c>
      <c r="Z172">
        <v>4.5</v>
      </c>
      <c r="AA172">
        <v>0.88</v>
      </c>
      <c r="AB172">
        <f t="shared" si="19"/>
        <v>5</v>
      </c>
      <c r="AC172">
        <f t="shared" si="20"/>
        <v>4.37</v>
      </c>
      <c r="AD172" t="str">
        <f t="shared" si="21"/>
        <v>⭐⭐⭐⭐</v>
      </c>
      <c r="AE172" t="str">
        <f t="shared" si="22"/>
        <v>Increase daily output monitoring</v>
      </c>
      <c r="AF172" t="str">
        <f t="shared" si="23"/>
        <v>Recommended for medium-high orders</v>
      </c>
    </row>
    <row r="173" spans="1:32" ht="24" customHeight="1">
      <c r="A173" t="s">
        <v>398</v>
      </c>
      <c r="B173" t="s">
        <v>40</v>
      </c>
      <c r="C173" t="s">
        <v>41</v>
      </c>
      <c r="D173" t="s">
        <v>42</v>
      </c>
      <c r="E173" t="s">
        <v>399</v>
      </c>
      <c r="F173" t="s">
        <v>57</v>
      </c>
      <c r="G173">
        <v>19953</v>
      </c>
      <c r="H173">
        <v>45957</v>
      </c>
      <c r="I173">
        <v>46001</v>
      </c>
      <c r="J173">
        <v>42</v>
      </c>
      <c r="K173">
        <v>43</v>
      </c>
      <c r="L173">
        <f t="shared" si="16"/>
        <v>1</v>
      </c>
      <c r="M173" t="str">
        <f t="shared" si="17"/>
        <v>Delayed</v>
      </c>
      <c r="N173">
        <v>15</v>
      </c>
      <c r="O173">
        <v>11</v>
      </c>
      <c r="P173">
        <f t="shared" si="18"/>
        <v>0.73333333333333328</v>
      </c>
      <c r="Q173">
        <v>53</v>
      </c>
      <c r="R173">
        <v>464</v>
      </c>
      <c r="S173">
        <v>23953</v>
      </c>
      <c r="T173" t="s">
        <v>45</v>
      </c>
      <c r="U173">
        <v>2</v>
      </c>
      <c r="V173">
        <v>4</v>
      </c>
      <c r="W173">
        <v>1</v>
      </c>
      <c r="X173">
        <v>3</v>
      </c>
      <c r="Y173">
        <v>3.44</v>
      </c>
      <c r="Z173">
        <v>4.3</v>
      </c>
      <c r="AA173">
        <v>0.85</v>
      </c>
      <c r="AB173">
        <f t="shared" si="19"/>
        <v>5</v>
      </c>
      <c r="AC173">
        <f t="shared" si="20"/>
        <v>4.22</v>
      </c>
      <c r="AD173" t="str">
        <f t="shared" si="21"/>
        <v>⭐⭐⭐⭐</v>
      </c>
      <c r="AE173" t="str">
        <f t="shared" si="22"/>
        <v>Increase daily output monitoring</v>
      </c>
      <c r="AF173" t="str">
        <f t="shared" si="23"/>
        <v>Recommended for medium-high orders</v>
      </c>
    </row>
    <row r="174" spans="1:32" ht="24" customHeight="1">
      <c r="A174" t="s">
        <v>400</v>
      </c>
      <c r="B174" t="s">
        <v>69</v>
      </c>
      <c r="C174" t="s">
        <v>70</v>
      </c>
      <c r="D174" t="s">
        <v>71</v>
      </c>
      <c r="E174" t="s">
        <v>401</v>
      </c>
      <c r="F174" t="s">
        <v>37</v>
      </c>
      <c r="G174">
        <v>17902</v>
      </c>
      <c r="H174">
        <v>45841</v>
      </c>
      <c r="I174">
        <v>45874</v>
      </c>
      <c r="J174">
        <v>32</v>
      </c>
      <c r="K174">
        <v>29</v>
      </c>
      <c r="L174">
        <f t="shared" si="16"/>
        <v>-3</v>
      </c>
      <c r="M174" t="str">
        <f t="shared" si="17"/>
        <v>Early</v>
      </c>
      <c r="N174">
        <v>14</v>
      </c>
      <c r="O174">
        <v>10</v>
      </c>
      <c r="P174">
        <f t="shared" si="18"/>
        <v>0.7142857142857143</v>
      </c>
      <c r="Q174">
        <v>32</v>
      </c>
      <c r="R174">
        <v>617.29999999999995</v>
      </c>
      <c r="S174">
        <v>18902</v>
      </c>
      <c r="T174" t="s">
        <v>45</v>
      </c>
      <c r="U174">
        <v>1</v>
      </c>
      <c r="V174">
        <v>8</v>
      </c>
      <c r="W174">
        <v>0</v>
      </c>
      <c r="X174">
        <v>4</v>
      </c>
      <c r="Y174">
        <v>2.72</v>
      </c>
      <c r="Z174">
        <v>3.8</v>
      </c>
      <c r="AA174">
        <v>0.78</v>
      </c>
      <c r="AB174">
        <f t="shared" si="19"/>
        <v>5</v>
      </c>
      <c r="AC174">
        <f t="shared" si="20"/>
        <v>4.12</v>
      </c>
      <c r="AD174" t="str">
        <f t="shared" si="21"/>
        <v>⭐⭐⭐⭐</v>
      </c>
      <c r="AE174" t="str">
        <f t="shared" si="22"/>
        <v>Maintain current resource allocation</v>
      </c>
      <c r="AF174" t="str">
        <f t="shared" si="23"/>
        <v>Recommended for medium-high orders</v>
      </c>
    </row>
    <row r="175" spans="1:32" ht="24" customHeight="1">
      <c r="A175" t="s">
        <v>402</v>
      </c>
      <c r="B175" t="s">
        <v>78</v>
      </c>
      <c r="C175" t="s">
        <v>79</v>
      </c>
      <c r="D175" t="s">
        <v>80</v>
      </c>
      <c r="E175" t="s">
        <v>403</v>
      </c>
      <c r="F175" t="s">
        <v>44</v>
      </c>
      <c r="G175">
        <v>8168</v>
      </c>
      <c r="H175">
        <v>45658</v>
      </c>
      <c r="I175">
        <v>45688</v>
      </c>
      <c r="J175">
        <v>29</v>
      </c>
      <c r="K175">
        <v>28</v>
      </c>
      <c r="L175">
        <f t="shared" si="16"/>
        <v>-1</v>
      </c>
      <c r="M175" t="str">
        <f t="shared" si="17"/>
        <v>Early</v>
      </c>
      <c r="N175">
        <v>16</v>
      </c>
      <c r="O175">
        <v>12</v>
      </c>
      <c r="P175">
        <f t="shared" si="18"/>
        <v>0.75</v>
      </c>
      <c r="Q175">
        <v>57</v>
      </c>
      <c r="R175">
        <v>291.7</v>
      </c>
      <c r="S175">
        <v>8168</v>
      </c>
      <c r="T175" t="s">
        <v>45</v>
      </c>
      <c r="U175">
        <v>3</v>
      </c>
      <c r="V175">
        <v>0</v>
      </c>
      <c r="W175">
        <v>3</v>
      </c>
      <c r="X175">
        <v>0</v>
      </c>
      <c r="Y175">
        <v>3.39</v>
      </c>
      <c r="Z175">
        <v>4.8</v>
      </c>
      <c r="AA175">
        <v>0.92</v>
      </c>
      <c r="AB175">
        <f t="shared" si="19"/>
        <v>5</v>
      </c>
      <c r="AC175">
        <f t="shared" si="20"/>
        <v>4.62</v>
      </c>
      <c r="AD175" t="str">
        <f t="shared" si="21"/>
        <v>⭐⭐⭐⭐⭐</v>
      </c>
      <c r="AE175" t="str">
        <f t="shared" si="22"/>
        <v>Maintain current resource allocation</v>
      </c>
      <c r="AF175" t="str">
        <f t="shared" si="23"/>
        <v>Best for urgent/high priority orders</v>
      </c>
    </row>
    <row r="176" spans="1:32" ht="24" customHeight="1">
      <c r="A176" t="s">
        <v>404</v>
      </c>
      <c r="B176" t="s">
        <v>69</v>
      </c>
      <c r="C176" t="s">
        <v>70</v>
      </c>
      <c r="D176" t="s">
        <v>71</v>
      </c>
      <c r="E176" t="s">
        <v>405</v>
      </c>
      <c r="F176" t="s">
        <v>67</v>
      </c>
      <c r="G176">
        <v>51165</v>
      </c>
      <c r="H176">
        <v>45860</v>
      </c>
      <c r="I176">
        <v>45927</v>
      </c>
      <c r="J176">
        <v>60</v>
      </c>
      <c r="K176">
        <v>63</v>
      </c>
      <c r="L176">
        <f t="shared" si="16"/>
        <v>3</v>
      </c>
      <c r="M176" t="str">
        <f t="shared" si="17"/>
        <v>Delayed</v>
      </c>
      <c r="N176">
        <v>10</v>
      </c>
      <c r="O176">
        <v>8</v>
      </c>
      <c r="P176">
        <f t="shared" si="18"/>
        <v>0.8</v>
      </c>
      <c r="Q176">
        <v>43</v>
      </c>
      <c r="R176">
        <v>812.1</v>
      </c>
      <c r="S176">
        <v>53165</v>
      </c>
      <c r="T176" t="s">
        <v>45</v>
      </c>
      <c r="U176">
        <v>0</v>
      </c>
      <c r="V176">
        <v>9</v>
      </c>
      <c r="W176">
        <v>2</v>
      </c>
      <c r="X176">
        <v>6</v>
      </c>
      <c r="Y176">
        <v>2.65</v>
      </c>
      <c r="Z176">
        <v>3.8</v>
      </c>
      <c r="AA176">
        <v>0.78</v>
      </c>
      <c r="AB176">
        <f t="shared" si="19"/>
        <v>5</v>
      </c>
      <c r="AC176">
        <f t="shared" si="20"/>
        <v>4.04</v>
      </c>
      <c r="AD176" t="str">
        <f t="shared" si="21"/>
        <v>⭐⭐⭐⭐</v>
      </c>
      <c r="AE176" t="str">
        <f t="shared" si="22"/>
        <v>Reduce risk days and add supervisor monitoring</v>
      </c>
      <c r="AF176" t="str">
        <f t="shared" si="23"/>
        <v>Recommended for medium-high orders</v>
      </c>
    </row>
    <row r="177" spans="1:32" ht="24" customHeight="1">
      <c r="A177" t="s">
        <v>406</v>
      </c>
      <c r="B177" t="s">
        <v>78</v>
      </c>
      <c r="C177" t="s">
        <v>79</v>
      </c>
      <c r="D177" t="s">
        <v>80</v>
      </c>
      <c r="E177" t="s">
        <v>407</v>
      </c>
      <c r="F177" t="s">
        <v>44</v>
      </c>
      <c r="G177">
        <v>6471</v>
      </c>
      <c r="H177">
        <v>45815</v>
      </c>
      <c r="I177">
        <v>45836</v>
      </c>
      <c r="J177">
        <v>18</v>
      </c>
      <c r="K177">
        <v>16</v>
      </c>
      <c r="L177">
        <f t="shared" si="16"/>
        <v>-2</v>
      </c>
      <c r="M177" t="str">
        <f t="shared" si="17"/>
        <v>Early</v>
      </c>
      <c r="N177">
        <v>20</v>
      </c>
      <c r="O177">
        <v>16</v>
      </c>
      <c r="P177">
        <f t="shared" si="18"/>
        <v>0.8</v>
      </c>
      <c r="Q177">
        <v>68</v>
      </c>
      <c r="R177">
        <v>404.4</v>
      </c>
      <c r="S177">
        <v>7471</v>
      </c>
      <c r="T177" t="s">
        <v>45</v>
      </c>
      <c r="U177">
        <v>3</v>
      </c>
      <c r="V177">
        <v>7</v>
      </c>
      <c r="W177">
        <v>0</v>
      </c>
      <c r="X177">
        <v>2</v>
      </c>
      <c r="Y177">
        <v>2.93</v>
      </c>
      <c r="Z177">
        <v>4.8</v>
      </c>
      <c r="AA177">
        <v>0.92</v>
      </c>
      <c r="AB177">
        <f t="shared" si="19"/>
        <v>5</v>
      </c>
      <c r="AC177">
        <f t="shared" si="20"/>
        <v>4.66</v>
      </c>
      <c r="AD177" t="str">
        <f t="shared" si="21"/>
        <v>⭐⭐⭐⭐⭐</v>
      </c>
      <c r="AE177" t="str">
        <f t="shared" si="22"/>
        <v>Maintain current resource allocation</v>
      </c>
      <c r="AF177" t="str">
        <f t="shared" si="23"/>
        <v>Best for urgent/high priority orders</v>
      </c>
    </row>
    <row r="178" spans="1:32" ht="24" customHeight="1">
      <c r="A178" t="s">
        <v>408</v>
      </c>
      <c r="B178" t="s">
        <v>33</v>
      </c>
      <c r="C178" t="s">
        <v>34</v>
      </c>
      <c r="D178" t="s">
        <v>35</v>
      </c>
      <c r="E178" t="s">
        <v>409</v>
      </c>
      <c r="F178" t="s">
        <v>67</v>
      </c>
      <c r="G178">
        <v>40058</v>
      </c>
      <c r="H178">
        <v>45835</v>
      </c>
      <c r="I178">
        <v>45913</v>
      </c>
      <c r="J178">
        <v>73</v>
      </c>
      <c r="K178">
        <v>76</v>
      </c>
      <c r="L178">
        <f t="shared" si="16"/>
        <v>3</v>
      </c>
      <c r="M178" t="str">
        <f t="shared" si="17"/>
        <v>Delayed</v>
      </c>
      <c r="N178">
        <v>13</v>
      </c>
      <c r="O178">
        <v>10</v>
      </c>
      <c r="P178">
        <f t="shared" si="18"/>
        <v>0.76923076923076927</v>
      </c>
      <c r="Q178">
        <v>37</v>
      </c>
      <c r="R178">
        <v>527.1</v>
      </c>
      <c r="S178">
        <v>43058</v>
      </c>
      <c r="T178" t="s">
        <v>45</v>
      </c>
      <c r="U178">
        <v>1</v>
      </c>
      <c r="V178">
        <v>13</v>
      </c>
      <c r="W178">
        <v>2</v>
      </c>
      <c r="X178">
        <v>5</v>
      </c>
      <c r="Y178">
        <v>3.11</v>
      </c>
      <c r="Z178">
        <v>4.2</v>
      </c>
      <c r="AA178">
        <v>0.83</v>
      </c>
      <c r="AB178">
        <f t="shared" si="19"/>
        <v>5</v>
      </c>
      <c r="AC178">
        <f t="shared" si="20"/>
        <v>4.1900000000000004</v>
      </c>
      <c r="AD178" t="str">
        <f t="shared" si="21"/>
        <v>⭐⭐⭐⭐</v>
      </c>
      <c r="AE178" t="str">
        <f t="shared" si="22"/>
        <v>Reduce risk days and add supervisor monitoring</v>
      </c>
      <c r="AF178" t="str">
        <f t="shared" si="23"/>
        <v>Recommended for medium-high orders</v>
      </c>
    </row>
    <row r="179" spans="1:32" ht="24" customHeight="1">
      <c r="A179" t="s">
        <v>410</v>
      </c>
      <c r="B179" t="s">
        <v>78</v>
      </c>
      <c r="C179" t="s">
        <v>79</v>
      </c>
      <c r="D179" t="s">
        <v>80</v>
      </c>
      <c r="E179" t="s">
        <v>411</v>
      </c>
      <c r="F179" t="s">
        <v>37</v>
      </c>
      <c r="G179">
        <v>21001</v>
      </c>
      <c r="H179">
        <v>45869</v>
      </c>
      <c r="I179">
        <v>45910</v>
      </c>
      <c r="J179">
        <v>38</v>
      </c>
      <c r="K179">
        <v>38</v>
      </c>
      <c r="L179">
        <f t="shared" si="16"/>
        <v>0</v>
      </c>
      <c r="M179" t="str">
        <f t="shared" si="17"/>
        <v>On Time</v>
      </c>
      <c r="N179">
        <v>15</v>
      </c>
      <c r="O179">
        <v>12</v>
      </c>
      <c r="P179">
        <f t="shared" si="18"/>
        <v>0.8</v>
      </c>
      <c r="Q179">
        <v>64</v>
      </c>
      <c r="R179">
        <v>552.70000000000005</v>
      </c>
      <c r="S179">
        <v>24001</v>
      </c>
      <c r="T179" t="s">
        <v>38</v>
      </c>
      <c r="U179">
        <v>1</v>
      </c>
      <c r="V179">
        <v>5</v>
      </c>
      <c r="W179">
        <v>1</v>
      </c>
      <c r="X179">
        <v>2</v>
      </c>
      <c r="Y179">
        <v>3.11</v>
      </c>
      <c r="Z179">
        <v>4.8</v>
      </c>
      <c r="AA179">
        <v>0.92</v>
      </c>
      <c r="AB179">
        <f t="shared" si="19"/>
        <v>5</v>
      </c>
      <c r="AC179">
        <f t="shared" si="20"/>
        <v>4.62</v>
      </c>
      <c r="AD179" t="str">
        <f t="shared" si="21"/>
        <v>⭐⭐⭐⭐⭐</v>
      </c>
      <c r="AE179" t="str">
        <f t="shared" si="22"/>
        <v>Suitable for urgent style handling</v>
      </c>
      <c r="AF179" t="str">
        <f t="shared" si="23"/>
        <v>Best for urgent/high priority orders</v>
      </c>
    </row>
    <row r="180" spans="1:32" ht="24" customHeight="1">
      <c r="A180" t="s">
        <v>412</v>
      </c>
      <c r="B180" t="s">
        <v>69</v>
      </c>
      <c r="C180" t="s">
        <v>70</v>
      </c>
      <c r="D180" t="s">
        <v>71</v>
      </c>
      <c r="E180" t="s">
        <v>413</v>
      </c>
      <c r="F180" t="s">
        <v>44</v>
      </c>
      <c r="G180">
        <v>14299</v>
      </c>
      <c r="H180">
        <v>45695</v>
      </c>
      <c r="I180">
        <v>45725</v>
      </c>
      <c r="J180">
        <v>27</v>
      </c>
      <c r="K180">
        <v>28</v>
      </c>
      <c r="L180">
        <f t="shared" si="16"/>
        <v>1</v>
      </c>
      <c r="M180" t="str">
        <f t="shared" si="17"/>
        <v>Delayed</v>
      </c>
      <c r="N180">
        <v>15</v>
      </c>
      <c r="O180">
        <v>10</v>
      </c>
      <c r="P180">
        <f t="shared" si="18"/>
        <v>0.66666666666666663</v>
      </c>
      <c r="Q180">
        <v>28</v>
      </c>
      <c r="R180">
        <v>510.7</v>
      </c>
      <c r="S180">
        <v>16299</v>
      </c>
      <c r="T180" t="s">
        <v>45</v>
      </c>
      <c r="U180">
        <v>0</v>
      </c>
      <c r="V180">
        <v>8</v>
      </c>
      <c r="W180">
        <v>1</v>
      </c>
      <c r="X180">
        <v>3</v>
      </c>
      <c r="Y180">
        <v>2.94</v>
      </c>
      <c r="Z180">
        <v>3.8</v>
      </c>
      <c r="AA180">
        <v>0.78</v>
      </c>
      <c r="AB180">
        <f t="shared" si="19"/>
        <v>5</v>
      </c>
      <c r="AC180">
        <f t="shared" si="20"/>
        <v>3.94</v>
      </c>
      <c r="AD180" t="str">
        <f t="shared" si="21"/>
        <v>⭐⭐⭐</v>
      </c>
      <c r="AE180" t="str">
        <f t="shared" si="22"/>
        <v>Increase daily output monitoring</v>
      </c>
      <c r="AF180" t="str">
        <f t="shared" si="23"/>
        <v>Use for normal priority orders</v>
      </c>
    </row>
    <row r="181" spans="1:32" ht="24" customHeight="1">
      <c r="A181" t="s">
        <v>414</v>
      </c>
      <c r="B181" t="s">
        <v>78</v>
      </c>
      <c r="C181" t="s">
        <v>79</v>
      </c>
      <c r="D181" t="s">
        <v>80</v>
      </c>
      <c r="E181" t="s">
        <v>415</v>
      </c>
      <c r="F181" t="s">
        <v>57</v>
      </c>
      <c r="G181">
        <v>16992</v>
      </c>
      <c r="H181">
        <v>45738</v>
      </c>
      <c r="I181">
        <v>45761</v>
      </c>
      <c r="J181">
        <v>26</v>
      </c>
      <c r="K181">
        <v>23</v>
      </c>
      <c r="L181">
        <f t="shared" si="16"/>
        <v>-3</v>
      </c>
      <c r="M181" t="str">
        <f t="shared" si="17"/>
        <v>Early</v>
      </c>
      <c r="N181">
        <v>22</v>
      </c>
      <c r="O181">
        <v>19</v>
      </c>
      <c r="P181">
        <f t="shared" si="18"/>
        <v>0.86363636363636365</v>
      </c>
      <c r="Q181">
        <v>63</v>
      </c>
      <c r="R181">
        <v>738.8</v>
      </c>
      <c r="S181">
        <v>17992</v>
      </c>
      <c r="T181" t="s">
        <v>45</v>
      </c>
      <c r="U181">
        <v>3</v>
      </c>
      <c r="V181">
        <v>9</v>
      </c>
      <c r="W181">
        <v>2</v>
      </c>
      <c r="X181">
        <v>0</v>
      </c>
      <c r="Y181">
        <v>2.5499999999999998</v>
      </c>
      <c r="Z181">
        <v>4.8</v>
      </c>
      <c r="AA181">
        <v>0.92</v>
      </c>
      <c r="AB181">
        <f t="shared" si="19"/>
        <v>5</v>
      </c>
      <c r="AC181">
        <f t="shared" si="20"/>
        <v>4.71</v>
      </c>
      <c r="AD181" t="str">
        <f t="shared" si="21"/>
        <v>⭐⭐⭐⭐⭐</v>
      </c>
      <c r="AE181" t="str">
        <f t="shared" si="22"/>
        <v>Maintain current resource allocation</v>
      </c>
      <c r="AF181" t="str">
        <f t="shared" si="23"/>
        <v>Best for urgent/high priority orders</v>
      </c>
    </row>
    <row r="182" spans="1:32" ht="24" customHeight="1">
      <c r="A182" t="s">
        <v>416</v>
      </c>
      <c r="B182" t="s">
        <v>78</v>
      </c>
      <c r="C182" t="s">
        <v>79</v>
      </c>
      <c r="D182" t="s">
        <v>80</v>
      </c>
      <c r="E182" t="s">
        <v>417</v>
      </c>
      <c r="F182" t="s">
        <v>67</v>
      </c>
      <c r="G182">
        <v>53411</v>
      </c>
      <c r="H182">
        <v>45702</v>
      </c>
      <c r="I182">
        <v>45778</v>
      </c>
      <c r="J182">
        <v>72</v>
      </c>
      <c r="K182">
        <v>74</v>
      </c>
      <c r="L182">
        <f t="shared" si="16"/>
        <v>2</v>
      </c>
      <c r="M182" t="str">
        <f t="shared" si="17"/>
        <v>Delayed</v>
      </c>
      <c r="N182">
        <v>15</v>
      </c>
      <c r="O182">
        <v>12</v>
      </c>
      <c r="P182">
        <f t="shared" si="18"/>
        <v>0.8</v>
      </c>
      <c r="Q182">
        <v>67</v>
      </c>
      <c r="R182">
        <v>721.8</v>
      </c>
      <c r="S182">
        <v>56411</v>
      </c>
      <c r="T182" t="s">
        <v>45</v>
      </c>
      <c r="U182">
        <v>1</v>
      </c>
      <c r="V182">
        <v>2</v>
      </c>
      <c r="W182">
        <v>0</v>
      </c>
      <c r="X182">
        <v>1</v>
      </c>
      <c r="Y182">
        <v>2.94</v>
      </c>
      <c r="Z182">
        <v>4.8</v>
      </c>
      <c r="AA182">
        <v>0.92</v>
      </c>
      <c r="AB182">
        <f t="shared" si="19"/>
        <v>5</v>
      </c>
      <c r="AC182">
        <f t="shared" si="20"/>
        <v>4.51</v>
      </c>
      <c r="AD182" t="str">
        <f t="shared" si="21"/>
        <v>⭐⭐⭐⭐⭐</v>
      </c>
      <c r="AE182" t="str">
        <f t="shared" si="22"/>
        <v>Increase daily output monitoring</v>
      </c>
      <c r="AF182" t="str">
        <f t="shared" si="23"/>
        <v>Best for urgent/high priority orders</v>
      </c>
    </row>
    <row r="183" spans="1:32" ht="24" customHeight="1">
      <c r="A183" t="s">
        <v>418</v>
      </c>
      <c r="B183" t="s">
        <v>61</v>
      </c>
      <c r="C183" t="s">
        <v>62</v>
      </c>
      <c r="D183" t="s">
        <v>63</v>
      </c>
      <c r="E183" t="s">
        <v>419</v>
      </c>
      <c r="F183" t="s">
        <v>57</v>
      </c>
      <c r="G183">
        <v>6589</v>
      </c>
      <c r="H183">
        <v>45847</v>
      </c>
      <c r="I183">
        <v>45874</v>
      </c>
      <c r="J183">
        <v>16</v>
      </c>
      <c r="K183">
        <v>24</v>
      </c>
      <c r="L183">
        <f t="shared" si="16"/>
        <v>8</v>
      </c>
      <c r="M183" t="str">
        <f t="shared" si="17"/>
        <v>Delayed</v>
      </c>
      <c r="N183">
        <v>13</v>
      </c>
      <c r="O183">
        <v>8</v>
      </c>
      <c r="P183">
        <f t="shared" si="18"/>
        <v>0.61538461538461542</v>
      </c>
      <c r="Q183">
        <v>47</v>
      </c>
      <c r="R183">
        <v>274.5</v>
      </c>
      <c r="S183">
        <v>9589</v>
      </c>
      <c r="T183" t="s">
        <v>38</v>
      </c>
      <c r="U183">
        <v>1</v>
      </c>
      <c r="V183">
        <v>10</v>
      </c>
      <c r="W183">
        <v>5</v>
      </c>
      <c r="X183">
        <v>2</v>
      </c>
      <c r="Y183">
        <v>3.82</v>
      </c>
      <c r="Z183">
        <v>4</v>
      </c>
      <c r="AA183">
        <v>0.8</v>
      </c>
      <c r="AB183">
        <f t="shared" si="19"/>
        <v>5</v>
      </c>
      <c r="AC183">
        <f t="shared" si="20"/>
        <v>3.98</v>
      </c>
      <c r="AD183" t="str">
        <f t="shared" si="21"/>
        <v>⭐⭐⭐</v>
      </c>
      <c r="AE183" t="str">
        <f t="shared" si="22"/>
        <v>Reduce risk days and add supervisor monitoring</v>
      </c>
      <c r="AF183" t="str">
        <f t="shared" si="23"/>
        <v>Use for normal priority orders</v>
      </c>
    </row>
    <row r="184" spans="1:32" ht="24" customHeight="1">
      <c r="A184" t="s">
        <v>420</v>
      </c>
      <c r="B184" t="s">
        <v>53</v>
      </c>
      <c r="C184" t="s">
        <v>54</v>
      </c>
      <c r="D184" t="s">
        <v>55</v>
      </c>
      <c r="E184" t="s">
        <v>421</v>
      </c>
      <c r="F184" t="s">
        <v>57</v>
      </c>
      <c r="G184">
        <v>9313</v>
      </c>
      <c r="H184">
        <v>45941</v>
      </c>
      <c r="I184">
        <v>45966</v>
      </c>
      <c r="J184">
        <v>23</v>
      </c>
      <c r="K184">
        <v>25</v>
      </c>
      <c r="L184">
        <f t="shared" si="16"/>
        <v>2</v>
      </c>
      <c r="M184" t="str">
        <f t="shared" si="17"/>
        <v>Delayed</v>
      </c>
      <c r="N184">
        <v>14</v>
      </c>
      <c r="O184">
        <v>10</v>
      </c>
      <c r="P184">
        <f t="shared" si="18"/>
        <v>0.7142857142857143</v>
      </c>
      <c r="Q184">
        <v>55</v>
      </c>
      <c r="R184">
        <v>372.5</v>
      </c>
      <c r="S184">
        <v>13313</v>
      </c>
      <c r="T184" t="s">
        <v>45</v>
      </c>
      <c r="U184">
        <v>3</v>
      </c>
      <c r="V184">
        <v>4</v>
      </c>
      <c r="W184">
        <v>3</v>
      </c>
      <c r="X184">
        <v>5</v>
      </c>
      <c r="Y184">
        <v>3.64</v>
      </c>
      <c r="Z184">
        <v>4.5</v>
      </c>
      <c r="AA184">
        <v>0.88</v>
      </c>
      <c r="AB184">
        <f t="shared" si="19"/>
        <v>5</v>
      </c>
      <c r="AC184">
        <f t="shared" si="20"/>
        <v>4.3099999999999996</v>
      </c>
      <c r="AD184" t="str">
        <f t="shared" si="21"/>
        <v>⭐⭐⭐⭐</v>
      </c>
      <c r="AE184" t="str">
        <f t="shared" si="22"/>
        <v>Improve workforce allocation</v>
      </c>
      <c r="AF184" t="str">
        <f t="shared" si="23"/>
        <v>Recommended for medium-high orders</v>
      </c>
    </row>
    <row r="185" spans="1:32" ht="24" customHeight="1">
      <c r="A185" t="s">
        <v>422</v>
      </c>
      <c r="B185" t="s">
        <v>61</v>
      </c>
      <c r="C185" t="s">
        <v>62</v>
      </c>
      <c r="D185" t="s">
        <v>63</v>
      </c>
      <c r="E185" t="s">
        <v>423</v>
      </c>
      <c r="F185" t="s">
        <v>57</v>
      </c>
      <c r="G185">
        <v>16256</v>
      </c>
      <c r="H185">
        <v>45719</v>
      </c>
      <c r="I185">
        <v>45760</v>
      </c>
      <c r="J185">
        <v>39</v>
      </c>
      <c r="K185">
        <v>38</v>
      </c>
      <c r="L185">
        <f t="shared" si="16"/>
        <v>-1</v>
      </c>
      <c r="M185" t="str">
        <f t="shared" si="17"/>
        <v>Early</v>
      </c>
      <c r="N185">
        <v>9</v>
      </c>
      <c r="O185">
        <v>6</v>
      </c>
      <c r="P185">
        <f t="shared" si="18"/>
        <v>0.66666666666666663</v>
      </c>
      <c r="Q185">
        <v>46</v>
      </c>
      <c r="R185">
        <v>427.8</v>
      </c>
      <c r="S185">
        <v>20256</v>
      </c>
      <c r="T185" t="s">
        <v>45</v>
      </c>
      <c r="U185">
        <v>1</v>
      </c>
      <c r="V185">
        <v>6</v>
      </c>
      <c r="W185">
        <v>3</v>
      </c>
      <c r="X185">
        <v>4</v>
      </c>
      <c r="Y185">
        <v>3.84</v>
      </c>
      <c r="Z185">
        <v>4</v>
      </c>
      <c r="AA185">
        <v>0.8</v>
      </c>
      <c r="AB185">
        <f t="shared" si="19"/>
        <v>5</v>
      </c>
      <c r="AC185">
        <f t="shared" si="20"/>
        <v>4.17</v>
      </c>
      <c r="AD185" t="str">
        <f t="shared" si="21"/>
        <v>⭐⭐⭐⭐</v>
      </c>
      <c r="AE185" t="str">
        <f t="shared" si="22"/>
        <v>Maintain current resource allocation</v>
      </c>
      <c r="AF185" t="str">
        <f t="shared" si="23"/>
        <v>Recommended for medium-high orders</v>
      </c>
    </row>
    <row r="186" spans="1:32" ht="24" customHeight="1">
      <c r="A186" t="s">
        <v>424</v>
      </c>
      <c r="B186" t="s">
        <v>78</v>
      </c>
      <c r="C186" t="s">
        <v>79</v>
      </c>
      <c r="D186" t="s">
        <v>80</v>
      </c>
      <c r="E186" t="s">
        <v>425</v>
      </c>
      <c r="F186" t="s">
        <v>67</v>
      </c>
      <c r="G186">
        <v>46315</v>
      </c>
      <c r="H186">
        <v>45799</v>
      </c>
      <c r="I186">
        <v>45864</v>
      </c>
      <c r="J186">
        <v>59</v>
      </c>
      <c r="K186">
        <v>61</v>
      </c>
      <c r="L186">
        <f t="shared" si="16"/>
        <v>2</v>
      </c>
      <c r="M186" t="str">
        <f t="shared" si="17"/>
        <v>Delayed</v>
      </c>
      <c r="N186">
        <v>19</v>
      </c>
      <c r="O186">
        <v>16</v>
      </c>
      <c r="P186">
        <f t="shared" si="18"/>
        <v>0.84210526315789469</v>
      </c>
      <c r="Q186">
        <v>52</v>
      </c>
      <c r="R186">
        <v>759.3</v>
      </c>
      <c r="S186">
        <v>46315</v>
      </c>
      <c r="T186" t="s">
        <v>38</v>
      </c>
      <c r="U186">
        <v>3</v>
      </c>
      <c r="V186">
        <v>8</v>
      </c>
      <c r="W186">
        <v>2</v>
      </c>
      <c r="X186">
        <v>4</v>
      </c>
      <c r="Y186">
        <v>2.37</v>
      </c>
      <c r="Z186">
        <v>4.8</v>
      </c>
      <c r="AA186">
        <v>0.92</v>
      </c>
      <c r="AB186">
        <f t="shared" si="19"/>
        <v>5</v>
      </c>
      <c r="AC186">
        <f t="shared" si="20"/>
        <v>4.54</v>
      </c>
      <c r="AD186" t="str">
        <f t="shared" si="21"/>
        <v>⭐⭐⭐⭐⭐</v>
      </c>
      <c r="AE186" t="str">
        <f t="shared" si="22"/>
        <v>Improve workforce allocation</v>
      </c>
      <c r="AF186" t="str">
        <f t="shared" si="23"/>
        <v>Best for urgent/high priority orders</v>
      </c>
    </row>
    <row r="187" spans="1:32" ht="24" customHeight="1">
      <c r="A187" t="s">
        <v>426</v>
      </c>
      <c r="B187" t="s">
        <v>40</v>
      </c>
      <c r="C187" t="s">
        <v>41</v>
      </c>
      <c r="D187" t="s">
        <v>42</v>
      </c>
      <c r="E187" t="s">
        <v>427</v>
      </c>
      <c r="F187" t="s">
        <v>37</v>
      </c>
      <c r="G187">
        <v>29253</v>
      </c>
      <c r="H187">
        <v>45932</v>
      </c>
      <c r="I187">
        <v>45987</v>
      </c>
      <c r="J187">
        <v>54</v>
      </c>
      <c r="K187">
        <v>53</v>
      </c>
      <c r="L187">
        <f t="shared" si="16"/>
        <v>-1</v>
      </c>
      <c r="M187" t="str">
        <f t="shared" si="17"/>
        <v>Early</v>
      </c>
      <c r="N187">
        <v>12</v>
      </c>
      <c r="O187">
        <v>10</v>
      </c>
      <c r="P187">
        <f t="shared" si="18"/>
        <v>0.83333333333333337</v>
      </c>
      <c r="Q187">
        <v>56</v>
      </c>
      <c r="R187">
        <v>551.9</v>
      </c>
      <c r="S187">
        <v>29253</v>
      </c>
      <c r="T187" t="s">
        <v>45</v>
      </c>
      <c r="U187">
        <v>2</v>
      </c>
      <c r="V187">
        <v>3</v>
      </c>
      <c r="W187">
        <v>3</v>
      </c>
      <c r="X187">
        <v>3</v>
      </c>
      <c r="Y187">
        <v>2.91</v>
      </c>
      <c r="Z187">
        <v>4.3</v>
      </c>
      <c r="AA187">
        <v>0.85</v>
      </c>
      <c r="AB187">
        <f t="shared" si="19"/>
        <v>5</v>
      </c>
      <c r="AC187">
        <f t="shared" si="20"/>
        <v>4.45</v>
      </c>
      <c r="AD187" t="str">
        <f t="shared" si="21"/>
        <v>⭐⭐⭐⭐</v>
      </c>
      <c r="AE187" t="str">
        <f t="shared" si="22"/>
        <v>Maintain current resource allocation</v>
      </c>
      <c r="AF187" t="str">
        <f t="shared" si="23"/>
        <v>Recommended for medium-high orders</v>
      </c>
    </row>
    <row r="188" spans="1:32" ht="24" customHeight="1">
      <c r="A188" t="s">
        <v>428</v>
      </c>
      <c r="B188" t="s">
        <v>69</v>
      </c>
      <c r="C188" t="s">
        <v>70</v>
      </c>
      <c r="D188" t="s">
        <v>71</v>
      </c>
      <c r="E188" t="s">
        <v>429</v>
      </c>
      <c r="F188" t="s">
        <v>44</v>
      </c>
      <c r="G188">
        <v>17911</v>
      </c>
      <c r="H188">
        <v>45848</v>
      </c>
      <c r="I188">
        <v>45896</v>
      </c>
      <c r="J188">
        <v>42</v>
      </c>
      <c r="K188">
        <v>48</v>
      </c>
      <c r="L188">
        <f t="shared" si="16"/>
        <v>6</v>
      </c>
      <c r="M188" t="str">
        <f t="shared" si="17"/>
        <v>Delayed</v>
      </c>
      <c r="N188">
        <v>14</v>
      </c>
      <c r="O188">
        <v>9</v>
      </c>
      <c r="P188">
        <f t="shared" si="18"/>
        <v>0.6428571428571429</v>
      </c>
      <c r="Q188">
        <v>37</v>
      </c>
      <c r="R188">
        <v>373.1</v>
      </c>
      <c r="S188">
        <v>18911</v>
      </c>
      <c r="T188" t="s">
        <v>45</v>
      </c>
      <c r="U188">
        <v>0</v>
      </c>
      <c r="V188">
        <v>10</v>
      </c>
      <c r="W188">
        <v>3</v>
      </c>
      <c r="X188">
        <v>5</v>
      </c>
      <c r="Y188">
        <v>3.37</v>
      </c>
      <c r="Z188">
        <v>3.8</v>
      </c>
      <c r="AA188">
        <v>0.78</v>
      </c>
      <c r="AB188">
        <f t="shared" si="19"/>
        <v>5</v>
      </c>
      <c r="AC188">
        <f t="shared" si="20"/>
        <v>3.92</v>
      </c>
      <c r="AD188" t="str">
        <f t="shared" si="21"/>
        <v>⭐⭐⭐</v>
      </c>
      <c r="AE188" t="str">
        <f t="shared" si="22"/>
        <v>Reduce risk days and add supervisor monitoring</v>
      </c>
      <c r="AF188" t="str">
        <f t="shared" si="23"/>
        <v>Use for normal priority orders</v>
      </c>
    </row>
    <row r="189" spans="1:32" ht="24" customHeight="1">
      <c r="A189" t="s">
        <v>430</v>
      </c>
      <c r="B189" t="s">
        <v>53</v>
      </c>
      <c r="C189" t="s">
        <v>54</v>
      </c>
      <c r="D189" t="s">
        <v>55</v>
      </c>
      <c r="E189" t="s">
        <v>431</v>
      </c>
      <c r="F189" t="s">
        <v>44</v>
      </c>
      <c r="G189">
        <v>11186</v>
      </c>
      <c r="H189">
        <v>45967</v>
      </c>
      <c r="I189">
        <v>46012</v>
      </c>
      <c r="J189">
        <v>39</v>
      </c>
      <c r="K189">
        <v>40</v>
      </c>
      <c r="L189">
        <f t="shared" si="16"/>
        <v>1</v>
      </c>
      <c r="M189" t="str">
        <f t="shared" si="17"/>
        <v>Delayed</v>
      </c>
      <c r="N189">
        <v>20</v>
      </c>
      <c r="O189">
        <v>17</v>
      </c>
      <c r="P189">
        <f t="shared" si="18"/>
        <v>0.85</v>
      </c>
      <c r="Q189">
        <v>54</v>
      </c>
      <c r="R189">
        <v>279.60000000000002</v>
      </c>
      <c r="S189">
        <v>13186</v>
      </c>
      <c r="T189" t="s">
        <v>45</v>
      </c>
      <c r="U189">
        <v>3</v>
      </c>
      <c r="V189">
        <v>0</v>
      </c>
      <c r="W189">
        <v>0</v>
      </c>
      <c r="X189">
        <v>0</v>
      </c>
      <c r="Y189">
        <v>3.43</v>
      </c>
      <c r="Z189">
        <v>4.5</v>
      </c>
      <c r="AA189">
        <v>0.88</v>
      </c>
      <c r="AB189">
        <f t="shared" si="19"/>
        <v>5</v>
      </c>
      <c r="AC189">
        <f t="shared" si="20"/>
        <v>4.41</v>
      </c>
      <c r="AD189" t="str">
        <f t="shared" si="21"/>
        <v>⭐⭐⭐⭐</v>
      </c>
      <c r="AE189" t="str">
        <f t="shared" si="22"/>
        <v>Increase daily output monitoring</v>
      </c>
      <c r="AF189" t="str">
        <f t="shared" si="23"/>
        <v>Recommended for medium-high orders</v>
      </c>
    </row>
    <row r="190" spans="1:32" ht="24" customHeight="1">
      <c r="A190" t="s">
        <v>432</v>
      </c>
      <c r="B190" t="s">
        <v>78</v>
      </c>
      <c r="C190" t="s">
        <v>79</v>
      </c>
      <c r="D190" t="s">
        <v>80</v>
      </c>
      <c r="E190" t="s">
        <v>433</v>
      </c>
      <c r="F190" t="s">
        <v>57</v>
      </c>
      <c r="G190">
        <v>19965</v>
      </c>
      <c r="H190">
        <v>45949</v>
      </c>
      <c r="I190">
        <v>45983</v>
      </c>
      <c r="J190">
        <v>37</v>
      </c>
      <c r="K190">
        <v>34</v>
      </c>
      <c r="L190">
        <f t="shared" si="16"/>
        <v>-3</v>
      </c>
      <c r="M190" t="str">
        <f t="shared" si="17"/>
        <v>Early</v>
      </c>
      <c r="N190">
        <v>17</v>
      </c>
      <c r="O190">
        <v>13</v>
      </c>
      <c r="P190">
        <f t="shared" si="18"/>
        <v>0.76470588235294112</v>
      </c>
      <c r="Q190">
        <v>66</v>
      </c>
      <c r="R190">
        <v>587.20000000000005</v>
      </c>
      <c r="S190">
        <v>22965</v>
      </c>
      <c r="T190" t="s">
        <v>45</v>
      </c>
      <c r="U190">
        <v>1</v>
      </c>
      <c r="V190">
        <v>3</v>
      </c>
      <c r="W190">
        <v>0</v>
      </c>
      <c r="X190">
        <v>2</v>
      </c>
      <c r="Y190">
        <v>3</v>
      </c>
      <c r="Z190">
        <v>4.8</v>
      </c>
      <c r="AA190">
        <v>0.92</v>
      </c>
      <c r="AB190">
        <f t="shared" si="19"/>
        <v>5</v>
      </c>
      <c r="AC190">
        <f t="shared" si="20"/>
        <v>4.63</v>
      </c>
      <c r="AD190" t="str">
        <f t="shared" si="21"/>
        <v>⭐⭐⭐⭐⭐</v>
      </c>
      <c r="AE190" t="str">
        <f t="shared" si="22"/>
        <v>Maintain current resource allocation</v>
      </c>
      <c r="AF190" t="str">
        <f t="shared" si="23"/>
        <v>Best for urgent/high priority orders</v>
      </c>
    </row>
    <row r="191" spans="1:32" ht="24" customHeight="1">
      <c r="A191" t="s">
        <v>434</v>
      </c>
      <c r="B191" t="s">
        <v>78</v>
      </c>
      <c r="C191" t="s">
        <v>79</v>
      </c>
      <c r="D191" t="s">
        <v>80</v>
      </c>
      <c r="E191" t="s">
        <v>435</v>
      </c>
      <c r="F191" t="s">
        <v>67</v>
      </c>
      <c r="G191">
        <v>48175</v>
      </c>
      <c r="H191">
        <v>45848</v>
      </c>
      <c r="I191">
        <v>45906</v>
      </c>
      <c r="J191">
        <v>56</v>
      </c>
      <c r="K191">
        <v>55</v>
      </c>
      <c r="L191">
        <f t="shared" si="16"/>
        <v>-1</v>
      </c>
      <c r="M191" t="str">
        <f t="shared" si="17"/>
        <v>Early</v>
      </c>
      <c r="N191">
        <v>21</v>
      </c>
      <c r="O191">
        <v>18</v>
      </c>
      <c r="P191">
        <f t="shared" si="18"/>
        <v>0.8571428571428571</v>
      </c>
      <c r="Q191">
        <v>53</v>
      </c>
      <c r="R191">
        <v>875.9</v>
      </c>
      <c r="S191">
        <v>48175</v>
      </c>
      <c r="T191" t="s">
        <v>45</v>
      </c>
      <c r="U191">
        <v>1</v>
      </c>
      <c r="V191">
        <v>0</v>
      </c>
      <c r="W191">
        <v>3</v>
      </c>
      <c r="X191">
        <v>0</v>
      </c>
      <c r="Y191">
        <v>3.73</v>
      </c>
      <c r="Z191">
        <v>4.8</v>
      </c>
      <c r="AA191">
        <v>0.92</v>
      </c>
      <c r="AB191">
        <f t="shared" si="19"/>
        <v>5</v>
      </c>
      <c r="AC191">
        <f t="shared" si="20"/>
        <v>4.7</v>
      </c>
      <c r="AD191" t="str">
        <f t="shared" si="21"/>
        <v>⭐⭐⭐⭐⭐</v>
      </c>
      <c r="AE191" t="str">
        <f t="shared" si="22"/>
        <v>Maintain current resource allocation</v>
      </c>
      <c r="AF191" t="str">
        <f t="shared" si="23"/>
        <v>Best for urgent/high priority orders</v>
      </c>
    </row>
    <row r="192" spans="1:32" ht="24" customHeight="1">
      <c r="A192" t="s">
        <v>436</v>
      </c>
      <c r="B192" t="s">
        <v>33</v>
      </c>
      <c r="C192" t="s">
        <v>34</v>
      </c>
      <c r="D192" t="s">
        <v>35</v>
      </c>
      <c r="E192" t="s">
        <v>437</v>
      </c>
      <c r="F192" t="s">
        <v>67</v>
      </c>
      <c r="G192">
        <v>59230</v>
      </c>
      <c r="H192">
        <v>45763</v>
      </c>
      <c r="I192">
        <v>45835</v>
      </c>
      <c r="J192">
        <v>72</v>
      </c>
      <c r="K192">
        <v>70</v>
      </c>
      <c r="L192">
        <f t="shared" si="16"/>
        <v>-2</v>
      </c>
      <c r="M192" t="str">
        <f t="shared" si="17"/>
        <v>Early</v>
      </c>
      <c r="N192">
        <v>14</v>
      </c>
      <c r="O192">
        <v>9</v>
      </c>
      <c r="P192">
        <f t="shared" si="18"/>
        <v>0.6428571428571429</v>
      </c>
      <c r="Q192">
        <v>35</v>
      </c>
      <c r="R192">
        <v>846.1</v>
      </c>
      <c r="S192">
        <v>60230</v>
      </c>
      <c r="T192" t="s">
        <v>45</v>
      </c>
      <c r="U192">
        <v>1</v>
      </c>
      <c r="V192">
        <v>9</v>
      </c>
      <c r="W192">
        <v>5</v>
      </c>
      <c r="X192">
        <v>2</v>
      </c>
      <c r="Y192">
        <v>3.61</v>
      </c>
      <c r="Z192">
        <v>4.2</v>
      </c>
      <c r="AA192">
        <v>0.83</v>
      </c>
      <c r="AB192">
        <f t="shared" si="19"/>
        <v>5</v>
      </c>
      <c r="AC192">
        <f t="shared" si="20"/>
        <v>4.25</v>
      </c>
      <c r="AD192" t="str">
        <f t="shared" si="21"/>
        <v>⭐⭐⭐⭐</v>
      </c>
      <c r="AE192" t="str">
        <f t="shared" si="22"/>
        <v>Maintain current resource allocation</v>
      </c>
      <c r="AF192" t="str">
        <f t="shared" si="23"/>
        <v>Recommended for medium-high orders</v>
      </c>
    </row>
    <row r="193" spans="1:32" ht="24" customHeight="1">
      <c r="A193" t="s">
        <v>438</v>
      </c>
      <c r="B193" t="s">
        <v>33</v>
      </c>
      <c r="C193" t="s">
        <v>34</v>
      </c>
      <c r="D193" t="s">
        <v>35</v>
      </c>
      <c r="E193" t="s">
        <v>439</v>
      </c>
      <c r="F193" t="s">
        <v>37</v>
      </c>
      <c r="G193">
        <v>10291</v>
      </c>
      <c r="H193">
        <v>45836</v>
      </c>
      <c r="I193">
        <v>45882</v>
      </c>
      <c r="J193">
        <v>39</v>
      </c>
      <c r="K193">
        <v>43</v>
      </c>
      <c r="L193">
        <f t="shared" si="16"/>
        <v>4</v>
      </c>
      <c r="M193" t="str">
        <f t="shared" si="17"/>
        <v>Delayed</v>
      </c>
      <c r="N193">
        <v>14</v>
      </c>
      <c r="O193">
        <v>11</v>
      </c>
      <c r="P193">
        <f t="shared" si="18"/>
        <v>0.7857142857142857</v>
      </c>
      <c r="Q193">
        <v>42</v>
      </c>
      <c r="R193">
        <v>239.3</v>
      </c>
      <c r="S193">
        <v>13291</v>
      </c>
      <c r="T193" t="s">
        <v>45</v>
      </c>
      <c r="U193">
        <v>3</v>
      </c>
      <c r="V193">
        <v>2</v>
      </c>
      <c r="W193">
        <v>1</v>
      </c>
      <c r="X193">
        <v>0</v>
      </c>
      <c r="Y193">
        <v>3.22</v>
      </c>
      <c r="Z193">
        <v>4.2</v>
      </c>
      <c r="AA193">
        <v>0.83</v>
      </c>
      <c r="AB193">
        <f t="shared" si="19"/>
        <v>5</v>
      </c>
      <c r="AC193">
        <f t="shared" si="20"/>
        <v>4.21</v>
      </c>
      <c r="AD193" t="str">
        <f t="shared" si="21"/>
        <v>⭐⭐⭐⭐</v>
      </c>
      <c r="AE193" t="str">
        <f t="shared" si="22"/>
        <v>Increase daily output monitoring</v>
      </c>
      <c r="AF193" t="str">
        <f t="shared" si="23"/>
        <v>Recommended for medium-high orders</v>
      </c>
    </row>
    <row r="194" spans="1:32" ht="24" customHeight="1">
      <c r="A194" t="s">
        <v>440</v>
      </c>
      <c r="B194" t="s">
        <v>53</v>
      </c>
      <c r="C194" t="s">
        <v>54</v>
      </c>
      <c r="D194" t="s">
        <v>55</v>
      </c>
      <c r="E194" t="s">
        <v>441</v>
      </c>
      <c r="F194" t="s">
        <v>57</v>
      </c>
      <c r="G194">
        <v>16095</v>
      </c>
      <c r="H194">
        <v>45799</v>
      </c>
      <c r="I194">
        <v>45845</v>
      </c>
      <c r="J194">
        <v>40</v>
      </c>
      <c r="K194">
        <v>41</v>
      </c>
      <c r="L194">
        <f t="shared" ref="L194:L257" si="24">K194-J194</f>
        <v>1</v>
      </c>
      <c r="M194" t="str">
        <f t="shared" ref="M194:M257" si="25">IF(L194&gt;0,"Delayed",IF(L194&lt;0,"Early","On Time"))</f>
        <v>Delayed</v>
      </c>
      <c r="N194">
        <v>18</v>
      </c>
      <c r="O194">
        <v>15</v>
      </c>
      <c r="P194">
        <f t="shared" ref="P194:P257" si="26">O194/N194</f>
        <v>0.83333333333333337</v>
      </c>
      <c r="Q194">
        <v>53</v>
      </c>
      <c r="R194">
        <v>392.6</v>
      </c>
      <c r="S194">
        <v>18095</v>
      </c>
      <c r="T194" t="s">
        <v>45</v>
      </c>
      <c r="U194">
        <v>0</v>
      </c>
      <c r="V194">
        <v>3</v>
      </c>
      <c r="W194">
        <v>2</v>
      </c>
      <c r="X194">
        <v>0</v>
      </c>
      <c r="Y194">
        <v>2.65</v>
      </c>
      <c r="Z194">
        <v>4.5</v>
      </c>
      <c r="AA194">
        <v>0.88</v>
      </c>
      <c r="AB194">
        <f t="shared" ref="AB194:AB257" si="27">MIN(5,MAX(1,(R194/MAX(1,Q194))*0.08 + (1-Y194/100)*2.2 + Z194*0.35 + AA194*2))</f>
        <v>5</v>
      </c>
      <c r="AC194">
        <f t="shared" ref="AC194:AC257" si="28">ROUND((0.3*Z194)+(0.25*(AA194*5))+(0.2*AB194)+(0.15*(P194*5))+(0.1*IF(M194="Delayed",3.2,IF(M194="On Time",4.3,4.7))),2)</f>
        <v>4.4000000000000004</v>
      </c>
      <c r="AD194" t="str">
        <f t="shared" ref="AD194:AD257" si="29">IF(AC194&gt;=4.5,"⭐⭐⭐⭐⭐",IF(AC194&gt;=4,"⭐⭐⭐⭐",IF(AC194&gt;=3.5,"⭐⭐⭐",IF(AC194&gt;=3,"⭐⭐","⭐"))))</f>
        <v>⭐⭐⭐⭐</v>
      </c>
      <c r="AE194" t="str">
        <f t="shared" ref="AE194:AE257" si="30">IF(M194="Delayed",IF(V194&gt;8,"Reduce risk days and add supervisor monitoring",IF(W194&gt;3,"Increase machine maintenance support",IF(X194&gt;3,"Improve workforce allocation","Increase daily output monitoring"))),IF(T194="Yes","Suitable for urgent style handling","Maintain current resource allocation"))</f>
        <v>Increase daily output monitoring</v>
      </c>
      <c r="AF194" t="str">
        <f t="shared" ref="AF194:AF257" si="31">IF(AC194&gt;=4.5,"Best for urgent/high priority orders",IF(AC194&gt;=4,"Recommended for medium-high orders",IF(AC194&gt;=3.5,"Use for normal priority orders","Use only with management support")))</f>
        <v>Recommended for medium-high orders</v>
      </c>
    </row>
    <row r="195" spans="1:32" ht="24" customHeight="1">
      <c r="A195" t="s">
        <v>442</v>
      </c>
      <c r="B195" t="s">
        <v>53</v>
      </c>
      <c r="C195" t="s">
        <v>54</v>
      </c>
      <c r="D195" t="s">
        <v>55</v>
      </c>
      <c r="E195" t="s">
        <v>443</v>
      </c>
      <c r="F195" t="s">
        <v>44</v>
      </c>
      <c r="G195">
        <v>11790</v>
      </c>
      <c r="H195">
        <v>45872</v>
      </c>
      <c r="I195">
        <v>45909</v>
      </c>
      <c r="J195">
        <v>30</v>
      </c>
      <c r="K195">
        <v>34</v>
      </c>
      <c r="L195">
        <f t="shared" si="24"/>
        <v>4</v>
      </c>
      <c r="M195" t="str">
        <f t="shared" si="25"/>
        <v>Delayed</v>
      </c>
      <c r="N195">
        <v>15</v>
      </c>
      <c r="O195">
        <v>13</v>
      </c>
      <c r="P195">
        <f t="shared" si="26"/>
        <v>0.8666666666666667</v>
      </c>
      <c r="Q195">
        <v>59</v>
      </c>
      <c r="R195">
        <v>346.8</v>
      </c>
      <c r="S195">
        <v>13790</v>
      </c>
      <c r="T195" t="s">
        <v>38</v>
      </c>
      <c r="U195">
        <v>2</v>
      </c>
      <c r="V195">
        <v>6</v>
      </c>
      <c r="W195">
        <v>4</v>
      </c>
      <c r="X195">
        <v>0</v>
      </c>
      <c r="Y195">
        <v>2.4700000000000002</v>
      </c>
      <c r="Z195">
        <v>4.5</v>
      </c>
      <c r="AA195">
        <v>0.88</v>
      </c>
      <c r="AB195">
        <f t="shared" si="27"/>
        <v>5</v>
      </c>
      <c r="AC195">
        <f t="shared" si="28"/>
        <v>4.42</v>
      </c>
      <c r="AD195" t="str">
        <f t="shared" si="29"/>
        <v>⭐⭐⭐⭐</v>
      </c>
      <c r="AE195" t="str">
        <f t="shared" si="30"/>
        <v>Increase machine maintenance support</v>
      </c>
      <c r="AF195" t="str">
        <f t="shared" si="31"/>
        <v>Recommended for medium-high orders</v>
      </c>
    </row>
    <row r="196" spans="1:32" ht="24" customHeight="1">
      <c r="A196" t="s">
        <v>444</v>
      </c>
      <c r="B196" t="s">
        <v>53</v>
      </c>
      <c r="C196" t="s">
        <v>54</v>
      </c>
      <c r="D196" t="s">
        <v>55</v>
      </c>
      <c r="E196" t="s">
        <v>445</v>
      </c>
      <c r="F196" t="s">
        <v>37</v>
      </c>
      <c r="G196">
        <v>28744</v>
      </c>
      <c r="H196">
        <v>45790</v>
      </c>
      <c r="I196">
        <v>45838</v>
      </c>
      <c r="J196">
        <v>44</v>
      </c>
      <c r="K196">
        <v>43</v>
      </c>
      <c r="L196">
        <f t="shared" si="24"/>
        <v>-1</v>
      </c>
      <c r="M196" t="str">
        <f t="shared" si="25"/>
        <v>Early</v>
      </c>
      <c r="N196">
        <v>18</v>
      </c>
      <c r="O196">
        <v>14</v>
      </c>
      <c r="P196">
        <f t="shared" si="26"/>
        <v>0.77777777777777779</v>
      </c>
      <c r="Q196">
        <v>49</v>
      </c>
      <c r="R196">
        <v>668.5</v>
      </c>
      <c r="S196">
        <v>32744</v>
      </c>
      <c r="T196" t="s">
        <v>45</v>
      </c>
      <c r="U196">
        <v>1</v>
      </c>
      <c r="V196">
        <v>3</v>
      </c>
      <c r="W196">
        <v>0</v>
      </c>
      <c r="X196">
        <v>0</v>
      </c>
      <c r="Y196">
        <v>2.91</v>
      </c>
      <c r="Z196">
        <v>4.5</v>
      </c>
      <c r="AA196">
        <v>0.88</v>
      </c>
      <c r="AB196">
        <f t="shared" si="27"/>
        <v>5</v>
      </c>
      <c r="AC196">
        <f t="shared" si="28"/>
        <v>4.5</v>
      </c>
      <c r="AD196" t="str">
        <f t="shared" si="29"/>
        <v>⭐⭐⭐⭐⭐</v>
      </c>
      <c r="AE196" t="str">
        <f t="shared" si="30"/>
        <v>Maintain current resource allocation</v>
      </c>
      <c r="AF196" t="str">
        <f t="shared" si="31"/>
        <v>Best for urgent/high priority orders</v>
      </c>
    </row>
    <row r="197" spans="1:32" ht="24" customHeight="1">
      <c r="A197" t="s">
        <v>446</v>
      </c>
      <c r="B197" t="s">
        <v>61</v>
      </c>
      <c r="C197" t="s">
        <v>62</v>
      </c>
      <c r="D197" t="s">
        <v>63</v>
      </c>
      <c r="E197" t="s">
        <v>447</v>
      </c>
      <c r="F197" t="s">
        <v>67</v>
      </c>
      <c r="G197">
        <v>42926</v>
      </c>
      <c r="H197">
        <v>45685</v>
      </c>
      <c r="I197">
        <v>45755</v>
      </c>
      <c r="J197">
        <v>62</v>
      </c>
      <c r="K197">
        <v>65</v>
      </c>
      <c r="L197">
        <f t="shared" si="24"/>
        <v>3</v>
      </c>
      <c r="M197" t="str">
        <f t="shared" si="25"/>
        <v>Delayed</v>
      </c>
      <c r="N197">
        <v>13</v>
      </c>
      <c r="O197">
        <v>9</v>
      </c>
      <c r="P197">
        <f t="shared" si="26"/>
        <v>0.69230769230769229</v>
      </c>
      <c r="Q197">
        <v>44</v>
      </c>
      <c r="R197">
        <v>660.4</v>
      </c>
      <c r="S197">
        <v>42926</v>
      </c>
      <c r="T197" t="s">
        <v>45</v>
      </c>
      <c r="U197">
        <v>3</v>
      </c>
      <c r="V197">
        <v>10</v>
      </c>
      <c r="W197">
        <v>3</v>
      </c>
      <c r="X197">
        <v>1</v>
      </c>
      <c r="Y197">
        <v>2.91</v>
      </c>
      <c r="Z197">
        <v>4</v>
      </c>
      <c r="AA197">
        <v>0.8</v>
      </c>
      <c r="AB197">
        <f t="shared" si="27"/>
        <v>5</v>
      </c>
      <c r="AC197">
        <f t="shared" si="28"/>
        <v>4.04</v>
      </c>
      <c r="AD197" t="str">
        <f t="shared" si="29"/>
        <v>⭐⭐⭐⭐</v>
      </c>
      <c r="AE197" t="str">
        <f t="shared" si="30"/>
        <v>Reduce risk days and add supervisor monitoring</v>
      </c>
      <c r="AF197" t="str">
        <f t="shared" si="31"/>
        <v>Recommended for medium-high orders</v>
      </c>
    </row>
    <row r="198" spans="1:32" ht="24" customHeight="1">
      <c r="A198" t="s">
        <v>448</v>
      </c>
      <c r="B198" t="s">
        <v>33</v>
      </c>
      <c r="C198" t="s">
        <v>34</v>
      </c>
      <c r="D198" t="s">
        <v>35</v>
      </c>
      <c r="E198" t="s">
        <v>449</v>
      </c>
      <c r="F198" t="s">
        <v>37</v>
      </c>
      <c r="G198">
        <v>16374</v>
      </c>
      <c r="H198">
        <v>45699</v>
      </c>
      <c r="I198">
        <v>45747</v>
      </c>
      <c r="J198">
        <v>40</v>
      </c>
      <c r="K198">
        <v>45</v>
      </c>
      <c r="L198">
        <f t="shared" si="24"/>
        <v>5</v>
      </c>
      <c r="M198" t="str">
        <f t="shared" si="25"/>
        <v>Delayed</v>
      </c>
      <c r="N198">
        <v>13</v>
      </c>
      <c r="O198">
        <v>9</v>
      </c>
      <c r="P198">
        <f t="shared" si="26"/>
        <v>0.69230769230769229</v>
      </c>
      <c r="Q198">
        <v>52</v>
      </c>
      <c r="R198">
        <v>363.9</v>
      </c>
      <c r="S198">
        <v>19374</v>
      </c>
      <c r="T198" t="s">
        <v>38</v>
      </c>
      <c r="U198">
        <v>1</v>
      </c>
      <c r="V198">
        <v>8</v>
      </c>
      <c r="W198">
        <v>1</v>
      </c>
      <c r="X198">
        <v>6</v>
      </c>
      <c r="Y198">
        <v>2.91</v>
      </c>
      <c r="Z198">
        <v>4.2</v>
      </c>
      <c r="AA198">
        <v>0.83</v>
      </c>
      <c r="AB198">
        <f t="shared" si="27"/>
        <v>5</v>
      </c>
      <c r="AC198">
        <f t="shared" si="28"/>
        <v>4.1399999999999997</v>
      </c>
      <c r="AD198" t="str">
        <f t="shared" si="29"/>
        <v>⭐⭐⭐⭐</v>
      </c>
      <c r="AE198" t="str">
        <f t="shared" si="30"/>
        <v>Improve workforce allocation</v>
      </c>
      <c r="AF198" t="str">
        <f t="shared" si="31"/>
        <v>Recommended for medium-high orders</v>
      </c>
    </row>
    <row r="199" spans="1:32" ht="24" customHeight="1">
      <c r="A199" t="s">
        <v>450</v>
      </c>
      <c r="B199" t="s">
        <v>53</v>
      </c>
      <c r="C199" t="s">
        <v>54</v>
      </c>
      <c r="D199" t="s">
        <v>55</v>
      </c>
      <c r="E199" t="s">
        <v>451</v>
      </c>
      <c r="F199" t="s">
        <v>67</v>
      </c>
      <c r="G199">
        <v>41900</v>
      </c>
      <c r="H199">
        <v>45877</v>
      </c>
      <c r="I199">
        <v>45935</v>
      </c>
      <c r="J199">
        <v>55</v>
      </c>
      <c r="K199">
        <v>55</v>
      </c>
      <c r="L199">
        <f t="shared" si="24"/>
        <v>0</v>
      </c>
      <c r="M199" t="str">
        <f t="shared" si="25"/>
        <v>On Time</v>
      </c>
      <c r="N199">
        <v>14</v>
      </c>
      <c r="O199">
        <v>10</v>
      </c>
      <c r="P199">
        <f t="shared" si="26"/>
        <v>0.7142857142857143</v>
      </c>
      <c r="Q199">
        <v>57</v>
      </c>
      <c r="R199">
        <v>761.8</v>
      </c>
      <c r="S199">
        <v>44900</v>
      </c>
      <c r="T199" t="s">
        <v>45</v>
      </c>
      <c r="U199">
        <v>3</v>
      </c>
      <c r="V199">
        <v>8</v>
      </c>
      <c r="W199">
        <v>3</v>
      </c>
      <c r="X199">
        <v>5</v>
      </c>
      <c r="Y199">
        <v>2.93</v>
      </c>
      <c r="Z199">
        <v>4.5</v>
      </c>
      <c r="AA199">
        <v>0.88</v>
      </c>
      <c r="AB199">
        <f t="shared" si="27"/>
        <v>5</v>
      </c>
      <c r="AC199">
        <f t="shared" si="28"/>
        <v>4.42</v>
      </c>
      <c r="AD199" t="str">
        <f t="shared" si="29"/>
        <v>⭐⭐⭐⭐</v>
      </c>
      <c r="AE199" t="str">
        <f t="shared" si="30"/>
        <v>Maintain current resource allocation</v>
      </c>
      <c r="AF199" t="str">
        <f t="shared" si="31"/>
        <v>Recommended for medium-high orders</v>
      </c>
    </row>
    <row r="200" spans="1:32" ht="24" customHeight="1">
      <c r="A200" t="s">
        <v>452</v>
      </c>
      <c r="B200" t="s">
        <v>53</v>
      </c>
      <c r="C200" t="s">
        <v>54</v>
      </c>
      <c r="D200" t="s">
        <v>55</v>
      </c>
      <c r="E200" t="s">
        <v>453</v>
      </c>
      <c r="F200" t="s">
        <v>37</v>
      </c>
      <c r="G200">
        <v>16534</v>
      </c>
      <c r="H200">
        <v>45915</v>
      </c>
      <c r="I200">
        <v>45955</v>
      </c>
      <c r="J200">
        <v>35</v>
      </c>
      <c r="K200">
        <v>36</v>
      </c>
      <c r="L200">
        <f t="shared" si="24"/>
        <v>1</v>
      </c>
      <c r="M200" t="str">
        <f t="shared" si="25"/>
        <v>Delayed</v>
      </c>
      <c r="N200">
        <v>13</v>
      </c>
      <c r="O200">
        <v>11</v>
      </c>
      <c r="P200">
        <f t="shared" si="26"/>
        <v>0.84615384615384615</v>
      </c>
      <c r="Q200">
        <v>51</v>
      </c>
      <c r="R200">
        <v>459.3</v>
      </c>
      <c r="S200">
        <v>17534</v>
      </c>
      <c r="T200" t="s">
        <v>45</v>
      </c>
      <c r="U200">
        <v>2</v>
      </c>
      <c r="V200">
        <v>8</v>
      </c>
      <c r="W200">
        <v>0</v>
      </c>
      <c r="X200">
        <v>1</v>
      </c>
      <c r="Y200">
        <v>2.97</v>
      </c>
      <c r="Z200">
        <v>4.5</v>
      </c>
      <c r="AA200">
        <v>0.88</v>
      </c>
      <c r="AB200">
        <f t="shared" si="27"/>
        <v>5</v>
      </c>
      <c r="AC200">
        <f t="shared" si="28"/>
        <v>4.4000000000000004</v>
      </c>
      <c r="AD200" t="str">
        <f t="shared" si="29"/>
        <v>⭐⭐⭐⭐</v>
      </c>
      <c r="AE200" t="str">
        <f t="shared" si="30"/>
        <v>Increase daily output monitoring</v>
      </c>
      <c r="AF200" t="str">
        <f t="shared" si="31"/>
        <v>Recommended for medium-high orders</v>
      </c>
    </row>
    <row r="201" spans="1:32" ht="24" customHeight="1">
      <c r="A201" t="s">
        <v>454</v>
      </c>
      <c r="B201" t="s">
        <v>53</v>
      </c>
      <c r="C201" t="s">
        <v>54</v>
      </c>
      <c r="D201" t="s">
        <v>55</v>
      </c>
      <c r="E201" t="s">
        <v>455</v>
      </c>
      <c r="F201" t="s">
        <v>37</v>
      </c>
      <c r="G201">
        <v>11498</v>
      </c>
      <c r="H201">
        <v>45742</v>
      </c>
      <c r="I201">
        <v>45776</v>
      </c>
      <c r="J201">
        <v>33</v>
      </c>
      <c r="K201">
        <v>31</v>
      </c>
      <c r="L201">
        <f t="shared" si="24"/>
        <v>-2</v>
      </c>
      <c r="M201" t="str">
        <f t="shared" si="25"/>
        <v>Early</v>
      </c>
      <c r="N201">
        <v>15</v>
      </c>
      <c r="O201">
        <v>12</v>
      </c>
      <c r="P201">
        <f t="shared" si="26"/>
        <v>0.8</v>
      </c>
      <c r="Q201">
        <v>59</v>
      </c>
      <c r="R201">
        <v>370.9</v>
      </c>
      <c r="S201">
        <v>13498</v>
      </c>
      <c r="T201" t="s">
        <v>45</v>
      </c>
      <c r="U201">
        <v>1</v>
      </c>
      <c r="V201">
        <v>5</v>
      </c>
      <c r="W201">
        <v>0</v>
      </c>
      <c r="X201">
        <v>2</v>
      </c>
      <c r="Y201">
        <v>2.98</v>
      </c>
      <c r="Z201">
        <v>4.5</v>
      </c>
      <c r="AA201">
        <v>0.88</v>
      </c>
      <c r="AB201">
        <f t="shared" si="27"/>
        <v>5</v>
      </c>
      <c r="AC201">
        <f t="shared" si="28"/>
        <v>4.5199999999999996</v>
      </c>
      <c r="AD201" t="str">
        <f t="shared" si="29"/>
        <v>⭐⭐⭐⭐⭐</v>
      </c>
      <c r="AE201" t="str">
        <f t="shared" si="30"/>
        <v>Maintain current resource allocation</v>
      </c>
      <c r="AF201" t="str">
        <f t="shared" si="31"/>
        <v>Best for urgent/high priority orders</v>
      </c>
    </row>
    <row r="202" spans="1:32" ht="24" customHeight="1">
      <c r="A202" t="s">
        <v>456</v>
      </c>
      <c r="B202" t="s">
        <v>78</v>
      </c>
      <c r="C202" t="s">
        <v>79</v>
      </c>
      <c r="D202" t="s">
        <v>80</v>
      </c>
      <c r="E202" t="s">
        <v>457</v>
      </c>
      <c r="F202" t="s">
        <v>67</v>
      </c>
      <c r="G202">
        <v>46920</v>
      </c>
      <c r="H202">
        <v>45668</v>
      </c>
      <c r="I202">
        <v>45722</v>
      </c>
      <c r="J202">
        <v>55</v>
      </c>
      <c r="K202">
        <v>54</v>
      </c>
      <c r="L202">
        <f t="shared" si="24"/>
        <v>-1</v>
      </c>
      <c r="M202" t="str">
        <f t="shared" si="25"/>
        <v>Early</v>
      </c>
      <c r="N202">
        <v>19</v>
      </c>
      <c r="O202">
        <v>17</v>
      </c>
      <c r="P202">
        <f t="shared" si="26"/>
        <v>0.89473684210526316</v>
      </c>
      <c r="Q202">
        <v>51</v>
      </c>
      <c r="R202">
        <v>868.9</v>
      </c>
      <c r="S202">
        <v>50920</v>
      </c>
      <c r="T202" t="s">
        <v>45</v>
      </c>
      <c r="U202">
        <v>0</v>
      </c>
      <c r="V202">
        <v>4</v>
      </c>
      <c r="W202">
        <v>3</v>
      </c>
      <c r="X202">
        <v>1</v>
      </c>
      <c r="Y202">
        <v>2.56</v>
      </c>
      <c r="Z202">
        <v>4.8</v>
      </c>
      <c r="AA202">
        <v>0.92</v>
      </c>
      <c r="AB202">
        <f t="shared" si="27"/>
        <v>5</v>
      </c>
      <c r="AC202">
        <f t="shared" si="28"/>
        <v>4.7300000000000004</v>
      </c>
      <c r="AD202" t="str">
        <f t="shared" si="29"/>
        <v>⭐⭐⭐⭐⭐</v>
      </c>
      <c r="AE202" t="str">
        <f t="shared" si="30"/>
        <v>Maintain current resource allocation</v>
      </c>
      <c r="AF202" t="str">
        <f t="shared" si="31"/>
        <v>Best for urgent/high priority orders</v>
      </c>
    </row>
    <row r="203" spans="1:32" ht="24" customHeight="1">
      <c r="A203" t="s">
        <v>458</v>
      </c>
      <c r="B203" t="s">
        <v>33</v>
      </c>
      <c r="C203" t="s">
        <v>34</v>
      </c>
      <c r="D203" t="s">
        <v>35</v>
      </c>
      <c r="E203" t="s">
        <v>459</v>
      </c>
      <c r="F203" t="s">
        <v>57</v>
      </c>
      <c r="G203">
        <v>11230</v>
      </c>
      <c r="H203">
        <v>45976</v>
      </c>
      <c r="I203">
        <v>46008</v>
      </c>
      <c r="J203">
        <v>27</v>
      </c>
      <c r="K203">
        <v>28</v>
      </c>
      <c r="L203">
        <f t="shared" si="24"/>
        <v>1</v>
      </c>
      <c r="M203" t="str">
        <f t="shared" si="25"/>
        <v>Delayed</v>
      </c>
      <c r="N203">
        <v>14</v>
      </c>
      <c r="O203">
        <v>10</v>
      </c>
      <c r="P203">
        <f t="shared" si="26"/>
        <v>0.7142857142857143</v>
      </c>
      <c r="Q203">
        <v>37</v>
      </c>
      <c r="R203">
        <v>401.1</v>
      </c>
      <c r="S203">
        <v>15230</v>
      </c>
      <c r="T203" t="s">
        <v>45</v>
      </c>
      <c r="U203">
        <v>2</v>
      </c>
      <c r="V203">
        <v>2</v>
      </c>
      <c r="W203">
        <v>2</v>
      </c>
      <c r="X203">
        <v>3</v>
      </c>
      <c r="Y203">
        <v>2.6</v>
      </c>
      <c r="Z203">
        <v>4.2</v>
      </c>
      <c r="AA203">
        <v>0.83</v>
      </c>
      <c r="AB203">
        <f t="shared" si="27"/>
        <v>5</v>
      </c>
      <c r="AC203">
        <f t="shared" si="28"/>
        <v>4.1500000000000004</v>
      </c>
      <c r="AD203" t="str">
        <f t="shared" si="29"/>
        <v>⭐⭐⭐⭐</v>
      </c>
      <c r="AE203" t="str">
        <f t="shared" si="30"/>
        <v>Increase daily output monitoring</v>
      </c>
      <c r="AF203" t="str">
        <f t="shared" si="31"/>
        <v>Recommended for medium-high orders</v>
      </c>
    </row>
    <row r="204" spans="1:32" ht="24" customHeight="1">
      <c r="A204" t="s">
        <v>460</v>
      </c>
      <c r="B204" t="s">
        <v>33</v>
      </c>
      <c r="C204" t="s">
        <v>34</v>
      </c>
      <c r="D204" t="s">
        <v>35</v>
      </c>
      <c r="E204" t="s">
        <v>461</v>
      </c>
      <c r="F204" t="s">
        <v>57</v>
      </c>
      <c r="G204">
        <v>13381</v>
      </c>
      <c r="H204">
        <v>45764</v>
      </c>
      <c r="I204">
        <v>45795</v>
      </c>
      <c r="J204">
        <v>27</v>
      </c>
      <c r="K204">
        <v>26</v>
      </c>
      <c r="L204">
        <f t="shared" si="24"/>
        <v>-1</v>
      </c>
      <c r="M204" t="str">
        <f t="shared" si="25"/>
        <v>Early</v>
      </c>
      <c r="N204">
        <v>13</v>
      </c>
      <c r="O204">
        <v>9</v>
      </c>
      <c r="P204">
        <f t="shared" si="26"/>
        <v>0.69230769230769229</v>
      </c>
      <c r="Q204">
        <v>47</v>
      </c>
      <c r="R204">
        <v>514.70000000000005</v>
      </c>
      <c r="S204">
        <v>15381</v>
      </c>
      <c r="T204" t="s">
        <v>45</v>
      </c>
      <c r="U204">
        <v>1</v>
      </c>
      <c r="V204">
        <v>6</v>
      </c>
      <c r="W204">
        <v>1</v>
      </c>
      <c r="X204">
        <v>0</v>
      </c>
      <c r="Y204">
        <v>3.71</v>
      </c>
      <c r="Z204">
        <v>4.2</v>
      </c>
      <c r="AA204">
        <v>0.83</v>
      </c>
      <c r="AB204">
        <f t="shared" si="27"/>
        <v>5</v>
      </c>
      <c r="AC204">
        <f t="shared" si="28"/>
        <v>4.29</v>
      </c>
      <c r="AD204" t="str">
        <f t="shared" si="29"/>
        <v>⭐⭐⭐⭐</v>
      </c>
      <c r="AE204" t="str">
        <f t="shared" si="30"/>
        <v>Maintain current resource allocation</v>
      </c>
      <c r="AF204" t="str">
        <f t="shared" si="31"/>
        <v>Recommended for medium-high orders</v>
      </c>
    </row>
    <row r="205" spans="1:32" ht="24" customHeight="1">
      <c r="A205" t="s">
        <v>462</v>
      </c>
      <c r="B205" t="s">
        <v>69</v>
      </c>
      <c r="C205" t="s">
        <v>70</v>
      </c>
      <c r="D205" t="s">
        <v>71</v>
      </c>
      <c r="E205" t="s">
        <v>463</v>
      </c>
      <c r="F205" t="s">
        <v>44</v>
      </c>
      <c r="G205">
        <v>2089</v>
      </c>
      <c r="H205">
        <v>45987</v>
      </c>
      <c r="I205">
        <v>46006</v>
      </c>
      <c r="J205">
        <v>16</v>
      </c>
      <c r="K205">
        <v>18</v>
      </c>
      <c r="L205">
        <f t="shared" si="24"/>
        <v>2</v>
      </c>
      <c r="M205" t="str">
        <f t="shared" si="25"/>
        <v>Delayed</v>
      </c>
      <c r="N205">
        <v>9</v>
      </c>
      <c r="O205">
        <v>7</v>
      </c>
      <c r="P205">
        <f t="shared" si="26"/>
        <v>0.77777777777777779</v>
      </c>
      <c r="Q205">
        <v>29</v>
      </c>
      <c r="R205">
        <v>116.1</v>
      </c>
      <c r="S205">
        <v>2089</v>
      </c>
      <c r="T205" t="s">
        <v>45</v>
      </c>
      <c r="U205">
        <v>2</v>
      </c>
      <c r="V205">
        <v>8</v>
      </c>
      <c r="W205">
        <v>5</v>
      </c>
      <c r="X205">
        <v>1</v>
      </c>
      <c r="Y205">
        <v>3.18</v>
      </c>
      <c r="Z205">
        <v>3.8</v>
      </c>
      <c r="AA205">
        <v>0.78</v>
      </c>
      <c r="AB205">
        <f t="shared" si="27"/>
        <v>5</v>
      </c>
      <c r="AC205">
        <f t="shared" si="28"/>
        <v>4.0199999999999996</v>
      </c>
      <c r="AD205" t="str">
        <f t="shared" si="29"/>
        <v>⭐⭐⭐⭐</v>
      </c>
      <c r="AE205" t="str">
        <f t="shared" si="30"/>
        <v>Increase machine maintenance support</v>
      </c>
      <c r="AF205" t="str">
        <f t="shared" si="31"/>
        <v>Recommended for medium-high orders</v>
      </c>
    </row>
    <row r="206" spans="1:32" ht="24" customHeight="1">
      <c r="A206" t="s">
        <v>464</v>
      </c>
      <c r="B206" t="s">
        <v>40</v>
      </c>
      <c r="C206" t="s">
        <v>41</v>
      </c>
      <c r="D206" t="s">
        <v>42</v>
      </c>
      <c r="E206" t="s">
        <v>465</v>
      </c>
      <c r="F206" t="s">
        <v>44</v>
      </c>
      <c r="G206">
        <v>17213</v>
      </c>
      <c r="H206">
        <v>45826</v>
      </c>
      <c r="I206">
        <v>45859</v>
      </c>
      <c r="J206">
        <v>25</v>
      </c>
      <c r="K206">
        <v>31</v>
      </c>
      <c r="L206">
        <f t="shared" si="24"/>
        <v>6</v>
      </c>
      <c r="M206" t="str">
        <f t="shared" si="25"/>
        <v>Delayed</v>
      </c>
      <c r="N206">
        <v>12</v>
      </c>
      <c r="O206">
        <v>9</v>
      </c>
      <c r="P206">
        <f t="shared" si="26"/>
        <v>0.75</v>
      </c>
      <c r="Q206">
        <v>39</v>
      </c>
      <c r="R206">
        <v>555.29999999999995</v>
      </c>
      <c r="S206">
        <v>17213</v>
      </c>
      <c r="T206" t="s">
        <v>38</v>
      </c>
      <c r="U206">
        <v>6</v>
      </c>
      <c r="V206">
        <v>8</v>
      </c>
      <c r="W206">
        <v>3</v>
      </c>
      <c r="X206">
        <v>0</v>
      </c>
      <c r="Y206">
        <v>3.57</v>
      </c>
      <c r="Z206">
        <v>4.3</v>
      </c>
      <c r="AA206">
        <v>0.85</v>
      </c>
      <c r="AB206">
        <f t="shared" si="27"/>
        <v>5</v>
      </c>
      <c r="AC206">
        <f t="shared" si="28"/>
        <v>4.24</v>
      </c>
      <c r="AD206" t="str">
        <f t="shared" si="29"/>
        <v>⭐⭐⭐⭐</v>
      </c>
      <c r="AE206" t="str">
        <f t="shared" si="30"/>
        <v>Increase daily output monitoring</v>
      </c>
      <c r="AF206" t="str">
        <f t="shared" si="31"/>
        <v>Recommended for medium-high orders</v>
      </c>
    </row>
    <row r="207" spans="1:32" ht="24" customHeight="1">
      <c r="A207" t="s">
        <v>466</v>
      </c>
      <c r="B207" t="s">
        <v>69</v>
      </c>
      <c r="C207" t="s">
        <v>70</v>
      </c>
      <c r="D207" t="s">
        <v>71</v>
      </c>
      <c r="E207" t="s">
        <v>467</v>
      </c>
      <c r="F207" t="s">
        <v>44</v>
      </c>
      <c r="G207">
        <v>14210</v>
      </c>
      <c r="H207">
        <v>45688</v>
      </c>
      <c r="I207">
        <v>45730</v>
      </c>
      <c r="J207">
        <v>34</v>
      </c>
      <c r="K207">
        <v>41</v>
      </c>
      <c r="L207">
        <f t="shared" si="24"/>
        <v>7</v>
      </c>
      <c r="M207" t="str">
        <f t="shared" si="25"/>
        <v>Delayed</v>
      </c>
      <c r="N207">
        <v>14</v>
      </c>
      <c r="O207">
        <v>10</v>
      </c>
      <c r="P207">
        <f t="shared" si="26"/>
        <v>0.7142857142857143</v>
      </c>
      <c r="Q207">
        <v>32</v>
      </c>
      <c r="R207">
        <v>346.6</v>
      </c>
      <c r="S207">
        <v>14210</v>
      </c>
      <c r="T207" t="s">
        <v>38</v>
      </c>
      <c r="U207">
        <v>1</v>
      </c>
      <c r="V207">
        <v>15</v>
      </c>
      <c r="W207">
        <v>2</v>
      </c>
      <c r="X207">
        <v>5</v>
      </c>
      <c r="Y207">
        <v>2.81</v>
      </c>
      <c r="Z207">
        <v>3.8</v>
      </c>
      <c r="AA207">
        <v>0.78</v>
      </c>
      <c r="AB207">
        <f t="shared" si="27"/>
        <v>5</v>
      </c>
      <c r="AC207">
        <f t="shared" si="28"/>
        <v>3.97</v>
      </c>
      <c r="AD207" t="str">
        <f t="shared" si="29"/>
        <v>⭐⭐⭐</v>
      </c>
      <c r="AE207" t="str">
        <f t="shared" si="30"/>
        <v>Reduce risk days and add supervisor monitoring</v>
      </c>
      <c r="AF207" t="str">
        <f t="shared" si="31"/>
        <v>Use for normal priority orders</v>
      </c>
    </row>
    <row r="208" spans="1:32" ht="24" customHeight="1">
      <c r="A208" t="s">
        <v>468</v>
      </c>
      <c r="B208" t="s">
        <v>78</v>
      </c>
      <c r="C208" t="s">
        <v>79</v>
      </c>
      <c r="D208" t="s">
        <v>80</v>
      </c>
      <c r="E208" t="s">
        <v>469</v>
      </c>
      <c r="F208" t="s">
        <v>57</v>
      </c>
      <c r="G208">
        <v>7969</v>
      </c>
      <c r="H208">
        <v>45818</v>
      </c>
      <c r="I208">
        <v>45838</v>
      </c>
      <c r="J208">
        <v>25</v>
      </c>
      <c r="K208">
        <v>20</v>
      </c>
      <c r="L208">
        <f t="shared" si="24"/>
        <v>-5</v>
      </c>
      <c r="M208" t="str">
        <f t="shared" si="25"/>
        <v>Early</v>
      </c>
      <c r="N208">
        <v>17</v>
      </c>
      <c r="O208">
        <v>14</v>
      </c>
      <c r="P208">
        <f t="shared" si="26"/>
        <v>0.82352941176470584</v>
      </c>
      <c r="Q208">
        <v>65</v>
      </c>
      <c r="R208">
        <v>398.4</v>
      </c>
      <c r="S208">
        <v>7969</v>
      </c>
      <c r="T208" t="s">
        <v>45</v>
      </c>
      <c r="U208">
        <v>3</v>
      </c>
      <c r="V208">
        <v>2</v>
      </c>
      <c r="W208">
        <v>2</v>
      </c>
      <c r="X208">
        <v>0</v>
      </c>
      <c r="Y208">
        <v>2.75</v>
      </c>
      <c r="Z208">
        <v>4.8</v>
      </c>
      <c r="AA208">
        <v>0.92</v>
      </c>
      <c r="AB208">
        <f t="shared" si="27"/>
        <v>5</v>
      </c>
      <c r="AC208">
        <f t="shared" si="28"/>
        <v>4.68</v>
      </c>
      <c r="AD208" t="str">
        <f t="shared" si="29"/>
        <v>⭐⭐⭐⭐⭐</v>
      </c>
      <c r="AE208" t="str">
        <f t="shared" si="30"/>
        <v>Maintain current resource allocation</v>
      </c>
      <c r="AF208" t="str">
        <f t="shared" si="31"/>
        <v>Best for urgent/high priority orders</v>
      </c>
    </row>
    <row r="209" spans="1:32" ht="24" customHeight="1">
      <c r="A209" t="s">
        <v>470</v>
      </c>
      <c r="B209" t="s">
        <v>33</v>
      </c>
      <c r="C209" t="s">
        <v>34</v>
      </c>
      <c r="D209" t="s">
        <v>35</v>
      </c>
      <c r="E209" t="s">
        <v>471</v>
      </c>
      <c r="F209" t="s">
        <v>67</v>
      </c>
      <c r="G209">
        <v>57009</v>
      </c>
      <c r="H209">
        <v>45663</v>
      </c>
      <c r="I209">
        <v>45741</v>
      </c>
      <c r="J209">
        <v>71</v>
      </c>
      <c r="K209">
        <v>73</v>
      </c>
      <c r="L209">
        <f t="shared" si="24"/>
        <v>2</v>
      </c>
      <c r="M209" t="str">
        <f t="shared" si="25"/>
        <v>Delayed</v>
      </c>
      <c r="N209">
        <v>16</v>
      </c>
      <c r="O209">
        <v>11</v>
      </c>
      <c r="P209">
        <f t="shared" si="26"/>
        <v>0.6875</v>
      </c>
      <c r="Q209">
        <v>51</v>
      </c>
      <c r="R209">
        <v>780.9</v>
      </c>
      <c r="S209">
        <v>61009</v>
      </c>
      <c r="T209" t="s">
        <v>45</v>
      </c>
      <c r="U209">
        <v>0</v>
      </c>
      <c r="V209">
        <v>6</v>
      </c>
      <c r="W209">
        <v>1</v>
      </c>
      <c r="X209">
        <v>1</v>
      </c>
      <c r="Y209">
        <v>2.69</v>
      </c>
      <c r="Z209">
        <v>4.2</v>
      </c>
      <c r="AA209">
        <v>0.83</v>
      </c>
      <c r="AB209">
        <f t="shared" si="27"/>
        <v>5</v>
      </c>
      <c r="AC209">
        <f t="shared" si="28"/>
        <v>4.13</v>
      </c>
      <c r="AD209" t="str">
        <f t="shared" si="29"/>
        <v>⭐⭐⭐⭐</v>
      </c>
      <c r="AE209" t="str">
        <f t="shared" si="30"/>
        <v>Increase daily output monitoring</v>
      </c>
      <c r="AF209" t="str">
        <f t="shared" si="31"/>
        <v>Recommended for medium-high orders</v>
      </c>
    </row>
    <row r="210" spans="1:32" ht="24" customHeight="1">
      <c r="A210" t="s">
        <v>472</v>
      </c>
      <c r="B210" t="s">
        <v>69</v>
      </c>
      <c r="C210" t="s">
        <v>70</v>
      </c>
      <c r="D210" t="s">
        <v>71</v>
      </c>
      <c r="E210" t="s">
        <v>473</v>
      </c>
      <c r="F210" t="s">
        <v>57</v>
      </c>
      <c r="G210">
        <v>19244</v>
      </c>
      <c r="H210">
        <v>45913</v>
      </c>
      <c r="I210">
        <v>45951</v>
      </c>
      <c r="J210">
        <v>29</v>
      </c>
      <c r="K210">
        <v>35</v>
      </c>
      <c r="L210">
        <f t="shared" si="24"/>
        <v>6</v>
      </c>
      <c r="M210" t="str">
        <f t="shared" si="25"/>
        <v>Delayed</v>
      </c>
      <c r="N210">
        <v>14</v>
      </c>
      <c r="O210">
        <v>11</v>
      </c>
      <c r="P210">
        <f t="shared" si="26"/>
        <v>0.7857142857142857</v>
      </c>
      <c r="Q210">
        <v>29</v>
      </c>
      <c r="R210">
        <v>549.79999999999995</v>
      </c>
      <c r="S210">
        <v>22244</v>
      </c>
      <c r="T210" t="s">
        <v>38</v>
      </c>
      <c r="U210">
        <v>3</v>
      </c>
      <c r="V210">
        <v>8</v>
      </c>
      <c r="W210">
        <v>3</v>
      </c>
      <c r="X210">
        <v>5</v>
      </c>
      <c r="Y210">
        <v>3.56</v>
      </c>
      <c r="Z210">
        <v>3.8</v>
      </c>
      <c r="AA210">
        <v>0.78</v>
      </c>
      <c r="AB210">
        <f t="shared" si="27"/>
        <v>5</v>
      </c>
      <c r="AC210">
        <f t="shared" si="28"/>
        <v>4.0199999999999996</v>
      </c>
      <c r="AD210" t="str">
        <f t="shared" si="29"/>
        <v>⭐⭐⭐⭐</v>
      </c>
      <c r="AE210" t="str">
        <f t="shared" si="30"/>
        <v>Improve workforce allocation</v>
      </c>
      <c r="AF210" t="str">
        <f t="shared" si="31"/>
        <v>Recommended for medium-high orders</v>
      </c>
    </row>
    <row r="211" spans="1:32" ht="24" customHeight="1">
      <c r="A211" t="s">
        <v>474</v>
      </c>
      <c r="B211" t="s">
        <v>53</v>
      </c>
      <c r="C211" t="s">
        <v>54</v>
      </c>
      <c r="D211" t="s">
        <v>55</v>
      </c>
      <c r="E211" t="s">
        <v>475</v>
      </c>
      <c r="F211" t="s">
        <v>57</v>
      </c>
      <c r="G211">
        <v>6681</v>
      </c>
      <c r="H211">
        <v>45832</v>
      </c>
      <c r="I211">
        <v>45860</v>
      </c>
      <c r="J211">
        <v>22</v>
      </c>
      <c r="K211">
        <v>26</v>
      </c>
      <c r="L211">
        <f t="shared" si="24"/>
        <v>4</v>
      </c>
      <c r="M211" t="str">
        <f t="shared" si="25"/>
        <v>Delayed</v>
      </c>
      <c r="N211">
        <v>17</v>
      </c>
      <c r="O211">
        <v>15</v>
      </c>
      <c r="P211">
        <f t="shared" si="26"/>
        <v>0.88235294117647056</v>
      </c>
      <c r="Q211">
        <v>61</v>
      </c>
      <c r="R211">
        <v>257</v>
      </c>
      <c r="S211">
        <v>7681</v>
      </c>
      <c r="T211" t="s">
        <v>45</v>
      </c>
      <c r="U211">
        <v>3</v>
      </c>
      <c r="V211">
        <v>1</v>
      </c>
      <c r="W211">
        <v>2</v>
      </c>
      <c r="X211">
        <v>1</v>
      </c>
      <c r="Y211">
        <v>3.38</v>
      </c>
      <c r="Z211">
        <v>4.5</v>
      </c>
      <c r="AA211">
        <v>0.88</v>
      </c>
      <c r="AB211">
        <f t="shared" si="27"/>
        <v>5</v>
      </c>
      <c r="AC211">
        <f t="shared" si="28"/>
        <v>4.43</v>
      </c>
      <c r="AD211" t="str">
        <f t="shared" si="29"/>
        <v>⭐⭐⭐⭐</v>
      </c>
      <c r="AE211" t="str">
        <f t="shared" si="30"/>
        <v>Increase daily output monitoring</v>
      </c>
      <c r="AF211" t="str">
        <f t="shared" si="31"/>
        <v>Recommended for medium-high orders</v>
      </c>
    </row>
    <row r="212" spans="1:32" ht="24" customHeight="1">
      <c r="A212" t="s">
        <v>476</v>
      </c>
      <c r="B212" t="s">
        <v>61</v>
      </c>
      <c r="C212" t="s">
        <v>62</v>
      </c>
      <c r="D212" t="s">
        <v>63</v>
      </c>
      <c r="E212" t="s">
        <v>477</v>
      </c>
      <c r="F212" t="s">
        <v>67</v>
      </c>
      <c r="G212">
        <v>50878</v>
      </c>
      <c r="H212">
        <v>45807</v>
      </c>
      <c r="I212">
        <v>45888</v>
      </c>
      <c r="J212">
        <v>72</v>
      </c>
      <c r="K212">
        <v>77</v>
      </c>
      <c r="L212">
        <f t="shared" si="24"/>
        <v>5</v>
      </c>
      <c r="M212" t="str">
        <f t="shared" si="25"/>
        <v>Delayed</v>
      </c>
      <c r="N212">
        <v>10</v>
      </c>
      <c r="O212">
        <v>7</v>
      </c>
      <c r="P212">
        <f t="shared" si="26"/>
        <v>0.7</v>
      </c>
      <c r="Q212">
        <v>37</v>
      </c>
      <c r="R212">
        <v>660.8</v>
      </c>
      <c r="S212">
        <v>50878</v>
      </c>
      <c r="T212" t="s">
        <v>45</v>
      </c>
      <c r="U212">
        <v>2</v>
      </c>
      <c r="V212">
        <v>3</v>
      </c>
      <c r="W212">
        <v>2</v>
      </c>
      <c r="X212">
        <v>1</v>
      </c>
      <c r="Y212">
        <v>2.91</v>
      </c>
      <c r="Z212">
        <v>4</v>
      </c>
      <c r="AA212">
        <v>0.8</v>
      </c>
      <c r="AB212">
        <f t="shared" si="27"/>
        <v>5</v>
      </c>
      <c r="AC212">
        <f t="shared" si="28"/>
        <v>4.05</v>
      </c>
      <c r="AD212" t="str">
        <f t="shared" si="29"/>
        <v>⭐⭐⭐⭐</v>
      </c>
      <c r="AE212" t="str">
        <f t="shared" si="30"/>
        <v>Increase daily output monitoring</v>
      </c>
      <c r="AF212" t="str">
        <f t="shared" si="31"/>
        <v>Recommended for medium-high orders</v>
      </c>
    </row>
    <row r="213" spans="1:32" ht="24" customHeight="1">
      <c r="A213" t="s">
        <v>478</v>
      </c>
      <c r="B213" t="s">
        <v>40</v>
      </c>
      <c r="C213" t="s">
        <v>41</v>
      </c>
      <c r="D213" t="s">
        <v>42</v>
      </c>
      <c r="E213" t="s">
        <v>479</v>
      </c>
      <c r="F213" t="s">
        <v>37</v>
      </c>
      <c r="G213">
        <v>15379</v>
      </c>
      <c r="H213">
        <v>45870</v>
      </c>
      <c r="I213">
        <v>45915</v>
      </c>
      <c r="J213">
        <v>39</v>
      </c>
      <c r="K213">
        <v>45</v>
      </c>
      <c r="L213">
        <f t="shared" si="24"/>
        <v>6</v>
      </c>
      <c r="M213" t="str">
        <f t="shared" si="25"/>
        <v>Delayed</v>
      </c>
      <c r="N213">
        <v>18</v>
      </c>
      <c r="O213">
        <v>15</v>
      </c>
      <c r="P213">
        <f t="shared" si="26"/>
        <v>0.83333333333333337</v>
      </c>
      <c r="Q213">
        <v>44</v>
      </c>
      <c r="R213">
        <v>341.8</v>
      </c>
      <c r="S213">
        <v>17379</v>
      </c>
      <c r="T213" t="s">
        <v>38</v>
      </c>
      <c r="U213">
        <v>0</v>
      </c>
      <c r="V213">
        <v>12</v>
      </c>
      <c r="W213">
        <v>4</v>
      </c>
      <c r="X213">
        <v>4</v>
      </c>
      <c r="Y213">
        <v>4.1100000000000003</v>
      </c>
      <c r="Z213">
        <v>4.3</v>
      </c>
      <c r="AA213">
        <v>0.85</v>
      </c>
      <c r="AB213">
        <f t="shared" si="27"/>
        <v>5</v>
      </c>
      <c r="AC213">
        <f t="shared" si="28"/>
        <v>4.3</v>
      </c>
      <c r="AD213" t="str">
        <f t="shared" si="29"/>
        <v>⭐⭐⭐⭐</v>
      </c>
      <c r="AE213" t="str">
        <f t="shared" si="30"/>
        <v>Reduce risk days and add supervisor monitoring</v>
      </c>
      <c r="AF213" t="str">
        <f t="shared" si="31"/>
        <v>Recommended for medium-high orders</v>
      </c>
    </row>
    <row r="214" spans="1:32" ht="24" customHeight="1">
      <c r="A214" t="s">
        <v>480</v>
      </c>
      <c r="B214" t="s">
        <v>69</v>
      </c>
      <c r="C214" t="s">
        <v>70</v>
      </c>
      <c r="D214" t="s">
        <v>71</v>
      </c>
      <c r="E214" t="s">
        <v>481</v>
      </c>
      <c r="F214" t="s">
        <v>37</v>
      </c>
      <c r="G214">
        <v>24762</v>
      </c>
      <c r="H214">
        <v>45748</v>
      </c>
      <c r="I214">
        <v>45794</v>
      </c>
      <c r="J214">
        <v>38</v>
      </c>
      <c r="K214">
        <v>41</v>
      </c>
      <c r="L214">
        <f t="shared" si="24"/>
        <v>3</v>
      </c>
      <c r="M214" t="str">
        <f t="shared" si="25"/>
        <v>Delayed</v>
      </c>
      <c r="N214">
        <v>8</v>
      </c>
      <c r="O214">
        <v>6</v>
      </c>
      <c r="P214">
        <f t="shared" si="26"/>
        <v>0.75</v>
      </c>
      <c r="Q214">
        <v>40</v>
      </c>
      <c r="R214">
        <v>604</v>
      </c>
      <c r="S214">
        <v>28762</v>
      </c>
      <c r="T214" t="s">
        <v>45</v>
      </c>
      <c r="U214">
        <v>3</v>
      </c>
      <c r="V214">
        <v>9</v>
      </c>
      <c r="W214">
        <v>3</v>
      </c>
      <c r="X214">
        <v>1</v>
      </c>
      <c r="Y214">
        <v>4.0999999999999996</v>
      </c>
      <c r="Z214">
        <v>3.8</v>
      </c>
      <c r="AA214">
        <v>0.78</v>
      </c>
      <c r="AB214">
        <f t="shared" si="27"/>
        <v>5</v>
      </c>
      <c r="AC214">
        <f t="shared" si="28"/>
        <v>4</v>
      </c>
      <c r="AD214" t="str">
        <f t="shared" si="29"/>
        <v>⭐⭐⭐⭐</v>
      </c>
      <c r="AE214" t="str">
        <f t="shared" si="30"/>
        <v>Reduce risk days and add supervisor monitoring</v>
      </c>
      <c r="AF214" t="str">
        <f t="shared" si="31"/>
        <v>Recommended for medium-high orders</v>
      </c>
    </row>
    <row r="215" spans="1:32" ht="24" customHeight="1">
      <c r="A215" t="s">
        <v>482</v>
      </c>
      <c r="B215" t="s">
        <v>33</v>
      </c>
      <c r="C215" t="s">
        <v>34</v>
      </c>
      <c r="D215" t="s">
        <v>35</v>
      </c>
      <c r="E215" t="s">
        <v>483</v>
      </c>
      <c r="F215" t="s">
        <v>67</v>
      </c>
      <c r="G215">
        <v>52694</v>
      </c>
      <c r="H215">
        <v>45726</v>
      </c>
      <c r="I215">
        <v>45800</v>
      </c>
      <c r="J215">
        <v>74</v>
      </c>
      <c r="K215">
        <v>73</v>
      </c>
      <c r="L215">
        <f t="shared" si="24"/>
        <v>-1</v>
      </c>
      <c r="M215" t="str">
        <f t="shared" si="25"/>
        <v>Early</v>
      </c>
      <c r="N215">
        <v>13</v>
      </c>
      <c r="O215">
        <v>9</v>
      </c>
      <c r="P215">
        <f t="shared" si="26"/>
        <v>0.69230769230769229</v>
      </c>
      <c r="Q215">
        <v>44</v>
      </c>
      <c r="R215">
        <v>721.8</v>
      </c>
      <c r="S215">
        <v>54694</v>
      </c>
      <c r="T215" t="s">
        <v>45</v>
      </c>
      <c r="U215">
        <v>3</v>
      </c>
      <c r="V215">
        <v>3</v>
      </c>
      <c r="W215">
        <v>1</v>
      </c>
      <c r="X215">
        <v>6</v>
      </c>
      <c r="Y215">
        <v>3.5</v>
      </c>
      <c r="Z215">
        <v>4.2</v>
      </c>
      <c r="AA215">
        <v>0.83</v>
      </c>
      <c r="AB215">
        <f t="shared" si="27"/>
        <v>5</v>
      </c>
      <c r="AC215">
        <f t="shared" si="28"/>
        <v>4.29</v>
      </c>
      <c r="AD215" t="str">
        <f t="shared" si="29"/>
        <v>⭐⭐⭐⭐</v>
      </c>
      <c r="AE215" t="str">
        <f t="shared" si="30"/>
        <v>Maintain current resource allocation</v>
      </c>
      <c r="AF215" t="str">
        <f t="shared" si="31"/>
        <v>Recommended for medium-high orders</v>
      </c>
    </row>
    <row r="216" spans="1:32" ht="24" customHeight="1">
      <c r="A216" t="s">
        <v>484</v>
      </c>
      <c r="B216" t="s">
        <v>40</v>
      </c>
      <c r="C216" t="s">
        <v>41</v>
      </c>
      <c r="D216" t="s">
        <v>42</v>
      </c>
      <c r="E216" t="s">
        <v>485</v>
      </c>
      <c r="F216" t="s">
        <v>44</v>
      </c>
      <c r="G216">
        <v>12286</v>
      </c>
      <c r="H216">
        <v>45945</v>
      </c>
      <c r="I216">
        <v>45993</v>
      </c>
      <c r="J216">
        <v>41</v>
      </c>
      <c r="K216">
        <v>45</v>
      </c>
      <c r="L216">
        <f t="shared" si="24"/>
        <v>4</v>
      </c>
      <c r="M216" t="str">
        <f t="shared" si="25"/>
        <v>Delayed</v>
      </c>
      <c r="N216">
        <v>13</v>
      </c>
      <c r="O216">
        <v>11</v>
      </c>
      <c r="P216">
        <f t="shared" si="26"/>
        <v>0.84615384615384615</v>
      </c>
      <c r="Q216">
        <v>43</v>
      </c>
      <c r="R216">
        <v>273</v>
      </c>
      <c r="S216">
        <v>16286</v>
      </c>
      <c r="T216" t="s">
        <v>45</v>
      </c>
      <c r="U216">
        <v>2</v>
      </c>
      <c r="V216">
        <v>6</v>
      </c>
      <c r="W216">
        <v>4</v>
      </c>
      <c r="X216">
        <v>2</v>
      </c>
      <c r="Y216">
        <v>2.96</v>
      </c>
      <c r="Z216">
        <v>4.3</v>
      </c>
      <c r="AA216">
        <v>0.85</v>
      </c>
      <c r="AB216">
        <f t="shared" si="27"/>
        <v>5</v>
      </c>
      <c r="AC216">
        <f t="shared" si="28"/>
        <v>4.3099999999999996</v>
      </c>
      <c r="AD216" t="str">
        <f t="shared" si="29"/>
        <v>⭐⭐⭐⭐</v>
      </c>
      <c r="AE216" t="str">
        <f t="shared" si="30"/>
        <v>Increase machine maintenance support</v>
      </c>
      <c r="AF216" t="str">
        <f t="shared" si="31"/>
        <v>Recommended for medium-high orders</v>
      </c>
    </row>
    <row r="217" spans="1:32" ht="24" customHeight="1">
      <c r="A217" t="s">
        <v>486</v>
      </c>
      <c r="B217" t="s">
        <v>33</v>
      </c>
      <c r="C217" t="s">
        <v>34</v>
      </c>
      <c r="D217" t="s">
        <v>35</v>
      </c>
      <c r="E217" t="s">
        <v>487</v>
      </c>
      <c r="F217" t="s">
        <v>57</v>
      </c>
      <c r="G217">
        <v>9684</v>
      </c>
      <c r="H217">
        <v>45732</v>
      </c>
      <c r="I217">
        <v>45765</v>
      </c>
      <c r="J217">
        <v>30</v>
      </c>
      <c r="K217">
        <v>33</v>
      </c>
      <c r="L217">
        <f t="shared" si="24"/>
        <v>3</v>
      </c>
      <c r="M217" t="str">
        <f t="shared" si="25"/>
        <v>Delayed</v>
      </c>
      <c r="N217">
        <v>10</v>
      </c>
      <c r="O217">
        <v>7</v>
      </c>
      <c r="P217">
        <f t="shared" si="26"/>
        <v>0.7</v>
      </c>
      <c r="Q217">
        <v>39</v>
      </c>
      <c r="R217">
        <v>293.5</v>
      </c>
      <c r="S217">
        <v>11684</v>
      </c>
      <c r="T217" t="s">
        <v>45</v>
      </c>
      <c r="U217">
        <v>2</v>
      </c>
      <c r="V217">
        <v>1</v>
      </c>
      <c r="W217">
        <v>3</v>
      </c>
      <c r="X217">
        <v>0</v>
      </c>
      <c r="Y217">
        <v>3.24</v>
      </c>
      <c r="Z217">
        <v>4.2</v>
      </c>
      <c r="AA217">
        <v>0.83</v>
      </c>
      <c r="AB217">
        <f t="shared" si="27"/>
        <v>5</v>
      </c>
      <c r="AC217">
        <f t="shared" si="28"/>
        <v>4.1399999999999997</v>
      </c>
      <c r="AD217" t="str">
        <f t="shared" si="29"/>
        <v>⭐⭐⭐⭐</v>
      </c>
      <c r="AE217" t="str">
        <f t="shared" si="30"/>
        <v>Increase daily output monitoring</v>
      </c>
      <c r="AF217" t="str">
        <f t="shared" si="31"/>
        <v>Recommended for medium-high orders</v>
      </c>
    </row>
    <row r="218" spans="1:32" ht="24" customHeight="1">
      <c r="A218" t="s">
        <v>488</v>
      </c>
      <c r="B218" t="s">
        <v>33</v>
      </c>
      <c r="C218" t="s">
        <v>34</v>
      </c>
      <c r="D218" t="s">
        <v>35</v>
      </c>
      <c r="E218" t="s">
        <v>489</v>
      </c>
      <c r="F218" t="s">
        <v>44</v>
      </c>
      <c r="G218">
        <v>19733</v>
      </c>
      <c r="H218">
        <v>45805</v>
      </c>
      <c r="I218">
        <v>45834</v>
      </c>
      <c r="J218">
        <v>25</v>
      </c>
      <c r="K218">
        <v>24</v>
      </c>
      <c r="L218">
        <f t="shared" si="24"/>
        <v>-1</v>
      </c>
      <c r="M218" t="str">
        <f t="shared" si="25"/>
        <v>Early</v>
      </c>
      <c r="N218">
        <v>13</v>
      </c>
      <c r="O218">
        <v>10</v>
      </c>
      <c r="P218">
        <f t="shared" si="26"/>
        <v>0.76923076923076927</v>
      </c>
      <c r="Q218">
        <v>51</v>
      </c>
      <c r="R218">
        <v>822.2</v>
      </c>
      <c r="S218">
        <v>22733</v>
      </c>
      <c r="T218" t="s">
        <v>45</v>
      </c>
      <c r="U218">
        <v>1</v>
      </c>
      <c r="V218">
        <v>1</v>
      </c>
      <c r="W218">
        <v>3</v>
      </c>
      <c r="X218">
        <v>1</v>
      </c>
      <c r="Y218">
        <v>2.4</v>
      </c>
      <c r="Z218">
        <v>4.2</v>
      </c>
      <c r="AA218">
        <v>0.83</v>
      </c>
      <c r="AB218">
        <f t="shared" si="27"/>
        <v>5</v>
      </c>
      <c r="AC218">
        <f t="shared" si="28"/>
        <v>4.34</v>
      </c>
      <c r="AD218" t="str">
        <f t="shared" si="29"/>
        <v>⭐⭐⭐⭐</v>
      </c>
      <c r="AE218" t="str">
        <f t="shared" si="30"/>
        <v>Maintain current resource allocation</v>
      </c>
      <c r="AF218" t="str">
        <f t="shared" si="31"/>
        <v>Recommended for medium-high orders</v>
      </c>
    </row>
    <row r="219" spans="1:32" ht="24" customHeight="1">
      <c r="A219" t="s">
        <v>490</v>
      </c>
      <c r="B219" t="s">
        <v>33</v>
      </c>
      <c r="C219" t="s">
        <v>34</v>
      </c>
      <c r="D219" t="s">
        <v>35</v>
      </c>
      <c r="E219" t="s">
        <v>491</v>
      </c>
      <c r="F219" t="s">
        <v>57</v>
      </c>
      <c r="G219">
        <v>11825</v>
      </c>
      <c r="H219">
        <v>45757</v>
      </c>
      <c r="I219">
        <v>45796</v>
      </c>
      <c r="J219">
        <v>34</v>
      </c>
      <c r="K219">
        <v>37</v>
      </c>
      <c r="L219">
        <f t="shared" si="24"/>
        <v>3</v>
      </c>
      <c r="M219" t="str">
        <f t="shared" si="25"/>
        <v>Delayed</v>
      </c>
      <c r="N219">
        <v>17</v>
      </c>
      <c r="O219">
        <v>14</v>
      </c>
      <c r="P219">
        <f t="shared" si="26"/>
        <v>0.82352941176470584</v>
      </c>
      <c r="Q219">
        <v>45</v>
      </c>
      <c r="R219">
        <v>319.60000000000002</v>
      </c>
      <c r="S219">
        <v>15825</v>
      </c>
      <c r="T219" t="s">
        <v>45</v>
      </c>
      <c r="U219">
        <v>1</v>
      </c>
      <c r="V219">
        <v>5</v>
      </c>
      <c r="W219">
        <v>5</v>
      </c>
      <c r="X219">
        <v>4</v>
      </c>
      <c r="Y219">
        <v>4.07</v>
      </c>
      <c r="Z219">
        <v>4.2</v>
      </c>
      <c r="AA219">
        <v>0.83</v>
      </c>
      <c r="AB219">
        <f t="shared" si="27"/>
        <v>5</v>
      </c>
      <c r="AC219">
        <f t="shared" si="28"/>
        <v>4.24</v>
      </c>
      <c r="AD219" t="str">
        <f t="shared" si="29"/>
        <v>⭐⭐⭐⭐</v>
      </c>
      <c r="AE219" t="str">
        <f t="shared" si="30"/>
        <v>Increase machine maintenance support</v>
      </c>
      <c r="AF219" t="str">
        <f t="shared" si="31"/>
        <v>Recommended for medium-high orders</v>
      </c>
    </row>
    <row r="220" spans="1:32" ht="24" customHeight="1">
      <c r="A220" t="s">
        <v>492</v>
      </c>
      <c r="B220" t="s">
        <v>40</v>
      </c>
      <c r="C220" t="s">
        <v>41</v>
      </c>
      <c r="D220" t="s">
        <v>42</v>
      </c>
      <c r="E220" t="s">
        <v>493</v>
      </c>
      <c r="F220" t="s">
        <v>37</v>
      </c>
      <c r="G220">
        <v>15694</v>
      </c>
      <c r="H220">
        <v>45978</v>
      </c>
      <c r="I220">
        <v>46027</v>
      </c>
      <c r="J220">
        <v>40</v>
      </c>
      <c r="K220">
        <v>45</v>
      </c>
      <c r="L220">
        <f t="shared" si="24"/>
        <v>5</v>
      </c>
      <c r="M220" t="str">
        <f t="shared" si="25"/>
        <v>Delayed</v>
      </c>
      <c r="N220">
        <v>16</v>
      </c>
      <c r="O220">
        <v>12</v>
      </c>
      <c r="P220">
        <f t="shared" si="26"/>
        <v>0.75</v>
      </c>
      <c r="Q220">
        <v>42</v>
      </c>
      <c r="R220">
        <v>348.8</v>
      </c>
      <c r="S220">
        <v>15694</v>
      </c>
      <c r="T220" t="s">
        <v>38</v>
      </c>
      <c r="U220">
        <v>1</v>
      </c>
      <c r="V220">
        <v>10</v>
      </c>
      <c r="W220">
        <v>2</v>
      </c>
      <c r="X220">
        <v>4</v>
      </c>
      <c r="Y220">
        <v>3.7</v>
      </c>
      <c r="Z220">
        <v>4.3</v>
      </c>
      <c r="AA220">
        <v>0.85</v>
      </c>
      <c r="AB220">
        <f t="shared" si="27"/>
        <v>5</v>
      </c>
      <c r="AC220">
        <f t="shared" si="28"/>
        <v>4.24</v>
      </c>
      <c r="AD220" t="str">
        <f t="shared" si="29"/>
        <v>⭐⭐⭐⭐</v>
      </c>
      <c r="AE220" t="str">
        <f t="shared" si="30"/>
        <v>Reduce risk days and add supervisor monitoring</v>
      </c>
      <c r="AF220" t="str">
        <f t="shared" si="31"/>
        <v>Recommended for medium-high orders</v>
      </c>
    </row>
    <row r="221" spans="1:32" ht="24" customHeight="1">
      <c r="A221" t="s">
        <v>494</v>
      </c>
      <c r="B221" t="s">
        <v>61</v>
      </c>
      <c r="C221" t="s">
        <v>62</v>
      </c>
      <c r="D221" t="s">
        <v>63</v>
      </c>
      <c r="E221" t="s">
        <v>495</v>
      </c>
      <c r="F221" t="s">
        <v>44</v>
      </c>
      <c r="G221">
        <v>13733</v>
      </c>
      <c r="H221">
        <v>45836</v>
      </c>
      <c r="I221">
        <v>45866</v>
      </c>
      <c r="J221">
        <v>26</v>
      </c>
      <c r="K221">
        <v>29</v>
      </c>
      <c r="L221">
        <f t="shared" si="24"/>
        <v>3</v>
      </c>
      <c r="M221" t="str">
        <f t="shared" si="25"/>
        <v>Delayed</v>
      </c>
      <c r="N221">
        <v>11</v>
      </c>
      <c r="O221">
        <v>8</v>
      </c>
      <c r="P221">
        <f t="shared" si="26"/>
        <v>0.72727272727272729</v>
      </c>
      <c r="Q221">
        <v>47</v>
      </c>
      <c r="R221">
        <v>473.6</v>
      </c>
      <c r="S221">
        <v>16733</v>
      </c>
      <c r="T221" t="s">
        <v>45</v>
      </c>
      <c r="U221">
        <v>0</v>
      </c>
      <c r="V221">
        <v>5</v>
      </c>
      <c r="W221">
        <v>3</v>
      </c>
      <c r="X221">
        <v>4</v>
      </c>
      <c r="Y221">
        <v>3.45</v>
      </c>
      <c r="Z221">
        <v>4</v>
      </c>
      <c r="AA221">
        <v>0.8</v>
      </c>
      <c r="AB221">
        <f t="shared" si="27"/>
        <v>5</v>
      </c>
      <c r="AC221">
        <f t="shared" si="28"/>
        <v>4.07</v>
      </c>
      <c r="AD221" t="str">
        <f t="shared" si="29"/>
        <v>⭐⭐⭐⭐</v>
      </c>
      <c r="AE221" t="str">
        <f t="shared" si="30"/>
        <v>Improve workforce allocation</v>
      </c>
      <c r="AF221" t="str">
        <f t="shared" si="31"/>
        <v>Recommended for medium-high orders</v>
      </c>
    </row>
    <row r="222" spans="1:32" ht="24" customHeight="1">
      <c r="A222" t="s">
        <v>496</v>
      </c>
      <c r="B222" t="s">
        <v>69</v>
      </c>
      <c r="C222" t="s">
        <v>70</v>
      </c>
      <c r="D222" t="s">
        <v>71</v>
      </c>
      <c r="E222" t="s">
        <v>497</v>
      </c>
      <c r="F222" t="s">
        <v>44</v>
      </c>
      <c r="G222">
        <v>13822</v>
      </c>
      <c r="H222">
        <v>45934</v>
      </c>
      <c r="I222">
        <v>45978</v>
      </c>
      <c r="J222">
        <v>33</v>
      </c>
      <c r="K222">
        <v>39</v>
      </c>
      <c r="L222">
        <f t="shared" si="24"/>
        <v>6</v>
      </c>
      <c r="M222" t="str">
        <f t="shared" si="25"/>
        <v>Delayed</v>
      </c>
      <c r="N222">
        <v>11</v>
      </c>
      <c r="O222">
        <v>9</v>
      </c>
      <c r="P222">
        <f t="shared" si="26"/>
        <v>0.81818181818181823</v>
      </c>
      <c r="Q222">
        <v>37</v>
      </c>
      <c r="R222">
        <v>354.4</v>
      </c>
      <c r="S222">
        <v>16822</v>
      </c>
      <c r="T222" t="s">
        <v>38</v>
      </c>
      <c r="U222">
        <v>6</v>
      </c>
      <c r="V222">
        <v>8</v>
      </c>
      <c r="W222">
        <v>1</v>
      </c>
      <c r="X222">
        <v>5</v>
      </c>
      <c r="Y222">
        <v>3.82</v>
      </c>
      <c r="Z222">
        <v>3.8</v>
      </c>
      <c r="AA222">
        <v>0.78</v>
      </c>
      <c r="AB222">
        <f t="shared" si="27"/>
        <v>5</v>
      </c>
      <c r="AC222">
        <f t="shared" si="28"/>
        <v>4.05</v>
      </c>
      <c r="AD222" t="str">
        <f t="shared" si="29"/>
        <v>⭐⭐⭐⭐</v>
      </c>
      <c r="AE222" t="str">
        <f t="shared" si="30"/>
        <v>Improve workforce allocation</v>
      </c>
      <c r="AF222" t="str">
        <f t="shared" si="31"/>
        <v>Recommended for medium-high orders</v>
      </c>
    </row>
    <row r="223" spans="1:32" ht="24" customHeight="1">
      <c r="A223" t="s">
        <v>498</v>
      </c>
      <c r="B223" t="s">
        <v>53</v>
      </c>
      <c r="C223" t="s">
        <v>54</v>
      </c>
      <c r="D223" t="s">
        <v>55</v>
      </c>
      <c r="E223" t="s">
        <v>499</v>
      </c>
      <c r="F223" t="s">
        <v>44</v>
      </c>
      <c r="G223">
        <v>18670</v>
      </c>
      <c r="H223">
        <v>45978</v>
      </c>
      <c r="I223">
        <v>46016</v>
      </c>
      <c r="J223">
        <v>38</v>
      </c>
      <c r="K223">
        <v>38</v>
      </c>
      <c r="L223">
        <f t="shared" si="24"/>
        <v>0</v>
      </c>
      <c r="M223" t="str">
        <f t="shared" si="25"/>
        <v>On Time</v>
      </c>
      <c r="N223">
        <v>14</v>
      </c>
      <c r="O223">
        <v>10</v>
      </c>
      <c r="P223">
        <f t="shared" si="26"/>
        <v>0.7142857142857143</v>
      </c>
      <c r="Q223">
        <v>61</v>
      </c>
      <c r="R223">
        <v>491.3</v>
      </c>
      <c r="S223">
        <v>22670</v>
      </c>
      <c r="T223" t="s">
        <v>45</v>
      </c>
      <c r="U223">
        <v>0</v>
      </c>
      <c r="V223">
        <v>3</v>
      </c>
      <c r="W223">
        <v>1</v>
      </c>
      <c r="X223">
        <v>4</v>
      </c>
      <c r="Y223">
        <v>3.22</v>
      </c>
      <c r="Z223">
        <v>4.5</v>
      </c>
      <c r="AA223">
        <v>0.88</v>
      </c>
      <c r="AB223">
        <f t="shared" si="27"/>
        <v>5</v>
      </c>
      <c r="AC223">
        <f t="shared" si="28"/>
        <v>4.42</v>
      </c>
      <c r="AD223" t="str">
        <f t="shared" si="29"/>
        <v>⭐⭐⭐⭐</v>
      </c>
      <c r="AE223" t="str">
        <f t="shared" si="30"/>
        <v>Maintain current resource allocation</v>
      </c>
      <c r="AF223" t="str">
        <f t="shared" si="31"/>
        <v>Recommended for medium-high orders</v>
      </c>
    </row>
    <row r="224" spans="1:32" ht="24" customHeight="1">
      <c r="A224" t="s">
        <v>500</v>
      </c>
      <c r="B224" t="s">
        <v>78</v>
      </c>
      <c r="C224" t="s">
        <v>79</v>
      </c>
      <c r="D224" t="s">
        <v>80</v>
      </c>
      <c r="E224" t="s">
        <v>501</v>
      </c>
      <c r="F224" t="s">
        <v>67</v>
      </c>
      <c r="G224">
        <v>43405</v>
      </c>
      <c r="H224">
        <v>45695</v>
      </c>
      <c r="I224">
        <v>45752</v>
      </c>
      <c r="J224">
        <v>61</v>
      </c>
      <c r="K224">
        <v>57</v>
      </c>
      <c r="L224">
        <f t="shared" si="24"/>
        <v>-4</v>
      </c>
      <c r="M224" t="str">
        <f t="shared" si="25"/>
        <v>Early</v>
      </c>
      <c r="N224">
        <v>16</v>
      </c>
      <c r="O224">
        <v>14</v>
      </c>
      <c r="P224">
        <f t="shared" si="26"/>
        <v>0.875</v>
      </c>
      <c r="Q224">
        <v>54</v>
      </c>
      <c r="R224">
        <v>761.5</v>
      </c>
      <c r="S224">
        <v>43405</v>
      </c>
      <c r="T224" t="s">
        <v>45</v>
      </c>
      <c r="U224">
        <v>3</v>
      </c>
      <c r="V224">
        <v>0</v>
      </c>
      <c r="W224">
        <v>0</v>
      </c>
      <c r="X224">
        <v>1</v>
      </c>
      <c r="Y224">
        <v>2.87</v>
      </c>
      <c r="Z224">
        <v>4.8</v>
      </c>
      <c r="AA224">
        <v>0.92</v>
      </c>
      <c r="AB224">
        <f t="shared" si="27"/>
        <v>5</v>
      </c>
      <c r="AC224">
        <f t="shared" si="28"/>
        <v>4.72</v>
      </c>
      <c r="AD224" t="str">
        <f t="shared" si="29"/>
        <v>⭐⭐⭐⭐⭐</v>
      </c>
      <c r="AE224" t="str">
        <f t="shared" si="30"/>
        <v>Maintain current resource allocation</v>
      </c>
      <c r="AF224" t="str">
        <f t="shared" si="31"/>
        <v>Best for urgent/high priority orders</v>
      </c>
    </row>
    <row r="225" spans="1:32" ht="24" customHeight="1">
      <c r="A225" t="s">
        <v>502</v>
      </c>
      <c r="B225" t="s">
        <v>78</v>
      </c>
      <c r="C225" t="s">
        <v>79</v>
      </c>
      <c r="D225" t="s">
        <v>80</v>
      </c>
      <c r="E225" t="s">
        <v>503</v>
      </c>
      <c r="F225" t="s">
        <v>44</v>
      </c>
      <c r="G225">
        <v>9459</v>
      </c>
      <c r="H225">
        <v>45695</v>
      </c>
      <c r="I225">
        <v>45726</v>
      </c>
      <c r="J225">
        <v>30</v>
      </c>
      <c r="K225">
        <v>29</v>
      </c>
      <c r="L225">
        <f t="shared" si="24"/>
        <v>-1</v>
      </c>
      <c r="M225" t="str">
        <f t="shared" si="25"/>
        <v>Early</v>
      </c>
      <c r="N225">
        <v>16</v>
      </c>
      <c r="O225">
        <v>14</v>
      </c>
      <c r="P225">
        <f t="shared" si="26"/>
        <v>0.875</v>
      </c>
      <c r="Q225">
        <v>52</v>
      </c>
      <c r="R225">
        <v>326.2</v>
      </c>
      <c r="S225">
        <v>13459</v>
      </c>
      <c r="T225" t="s">
        <v>45</v>
      </c>
      <c r="U225">
        <v>0</v>
      </c>
      <c r="V225">
        <v>1</v>
      </c>
      <c r="W225">
        <v>0</v>
      </c>
      <c r="X225">
        <v>3</v>
      </c>
      <c r="Y225">
        <v>2.93</v>
      </c>
      <c r="Z225">
        <v>4.8</v>
      </c>
      <c r="AA225">
        <v>0.92</v>
      </c>
      <c r="AB225">
        <f t="shared" si="27"/>
        <v>5</v>
      </c>
      <c r="AC225">
        <f t="shared" si="28"/>
        <v>4.72</v>
      </c>
      <c r="AD225" t="str">
        <f t="shared" si="29"/>
        <v>⭐⭐⭐⭐⭐</v>
      </c>
      <c r="AE225" t="str">
        <f t="shared" si="30"/>
        <v>Maintain current resource allocation</v>
      </c>
      <c r="AF225" t="str">
        <f t="shared" si="31"/>
        <v>Best for urgent/high priority orders</v>
      </c>
    </row>
    <row r="226" spans="1:32" ht="24" customHeight="1">
      <c r="A226" t="s">
        <v>504</v>
      </c>
      <c r="B226" t="s">
        <v>69</v>
      </c>
      <c r="C226" t="s">
        <v>70</v>
      </c>
      <c r="D226" t="s">
        <v>71</v>
      </c>
      <c r="E226" t="s">
        <v>505</v>
      </c>
      <c r="F226" t="s">
        <v>37</v>
      </c>
      <c r="G226">
        <v>19874</v>
      </c>
      <c r="H226">
        <v>45849</v>
      </c>
      <c r="I226">
        <v>45877</v>
      </c>
      <c r="J226">
        <v>26</v>
      </c>
      <c r="K226">
        <v>28</v>
      </c>
      <c r="L226">
        <f t="shared" si="24"/>
        <v>2</v>
      </c>
      <c r="M226" t="str">
        <f t="shared" si="25"/>
        <v>Delayed</v>
      </c>
      <c r="N226">
        <v>10</v>
      </c>
      <c r="O226">
        <v>7</v>
      </c>
      <c r="P226">
        <f t="shared" si="26"/>
        <v>0.7</v>
      </c>
      <c r="Q226">
        <v>31</v>
      </c>
      <c r="R226">
        <v>709.8</v>
      </c>
      <c r="S226">
        <v>22874</v>
      </c>
      <c r="T226" t="s">
        <v>45</v>
      </c>
      <c r="U226">
        <v>2</v>
      </c>
      <c r="V226">
        <v>10</v>
      </c>
      <c r="W226">
        <v>2</v>
      </c>
      <c r="X226">
        <v>3</v>
      </c>
      <c r="Y226">
        <v>3.64</v>
      </c>
      <c r="Z226">
        <v>3.8</v>
      </c>
      <c r="AA226">
        <v>0.78</v>
      </c>
      <c r="AB226">
        <f t="shared" si="27"/>
        <v>5</v>
      </c>
      <c r="AC226">
        <f t="shared" si="28"/>
        <v>3.96</v>
      </c>
      <c r="AD226" t="str">
        <f t="shared" si="29"/>
        <v>⭐⭐⭐</v>
      </c>
      <c r="AE226" t="str">
        <f t="shared" si="30"/>
        <v>Reduce risk days and add supervisor monitoring</v>
      </c>
      <c r="AF226" t="str">
        <f t="shared" si="31"/>
        <v>Use for normal priority orders</v>
      </c>
    </row>
    <row r="227" spans="1:32" ht="24" customHeight="1">
      <c r="A227" t="s">
        <v>506</v>
      </c>
      <c r="B227" t="s">
        <v>40</v>
      </c>
      <c r="C227" t="s">
        <v>41</v>
      </c>
      <c r="D227" t="s">
        <v>42</v>
      </c>
      <c r="E227" t="s">
        <v>507</v>
      </c>
      <c r="F227" t="s">
        <v>67</v>
      </c>
      <c r="G227">
        <v>41368</v>
      </c>
      <c r="H227">
        <v>45752</v>
      </c>
      <c r="I227">
        <v>45811</v>
      </c>
      <c r="J227">
        <v>55</v>
      </c>
      <c r="K227">
        <v>58</v>
      </c>
      <c r="L227">
        <f t="shared" si="24"/>
        <v>3</v>
      </c>
      <c r="M227" t="str">
        <f t="shared" si="25"/>
        <v>Delayed</v>
      </c>
      <c r="N227">
        <v>16</v>
      </c>
      <c r="O227">
        <v>12</v>
      </c>
      <c r="P227">
        <f t="shared" si="26"/>
        <v>0.75</v>
      </c>
      <c r="Q227">
        <v>54</v>
      </c>
      <c r="R227">
        <v>713.2</v>
      </c>
      <c r="S227">
        <v>42368</v>
      </c>
      <c r="T227" t="s">
        <v>45</v>
      </c>
      <c r="U227">
        <v>1</v>
      </c>
      <c r="V227">
        <v>4</v>
      </c>
      <c r="W227">
        <v>1</v>
      </c>
      <c r="X227">
        <v>4</v>
      </c>
      <c r="Y227">
        <v>3.31</v>
      </c>
      <c r="Z227">
        <v>4.3</v>
      </c>
      <c r="AA227">
        <v>0.85</v>
      </c>
      <c r="AB227">
        <f t="shared" si="27"/>
        <v>5</v>
      </c>
      <c r="AC227">
        <f t="shared" si="28"/>
        <v>4.24</v>
      </c>
      <c r="AD227" t="str">
        <f t="shared" si="29"/>
        <v>⭐⭐⭐⭐</v>
      </c>
      <c r="AE227" t="str">
        <f t="shared" si="30"/>
        <v>Improve workforce allocation</v>
      </c>
      <c r="AF227" t="str">
        <f t="shared" si="31"/>
        <v>Recommended for medium-high orders</v>
      </c>
    </row>
    <row r="228" spans="1:32" ht="24" customHeight="1">
      <c r="A228" t="s">
        <v>508</v>
      </c>
      <c r="B228" t="s">
        <v>33</v>
      </c>
      <c r="C228" t="s">
        <v>34</v>
      </c>
      <c r="D228" t="s">
        <v>35</v>
      </c>
      <c r="E228" t="s">
        <v>509</v>
      </c>
      <c r="F228" t="s">
        <v>44</v>
      </c>
      <c r="G228">
        <v>5755</v>
      </c>
      <c r="H228">
        <v>45955</v>
      </c>
      <c r="I228">
        <v>45970</v>
      </c>
      <c r="J228">
        <v>18</v>
      </c>
      <c r="K228">
        <v>12</v>
      </c>
      <c r="L228">
        <f t="shared" si="24"/>
        <v>-6</v>
      </c>
      <c r="M228" t="str">
        <f t="shared" si="25"/>
        <v>Early</v>
      </c>
      <c r="N228">
        <v>17</v>
      </c>
      <c r="O228">
        <v>13</v>
      </c>
      <c r="P228">
        <f t="shared" si="26"/>
        <v>0.76470588235294112</v>
      </c>
      <c r="Q228">
        <v>36</v>
      </c>
      <c r="R228">
        <v>479.6</v>
      </c>
      <c r="S228">
        <v>7755</v>
      </c>
      <c r="T228" t="s">
        <v>45</v>
      </c>
      <c r="U228">
        <v>0</v>
      </c>
      <c r="V228">
        <v>5</v>
      </c>
      <c r="W228">
        <v>2</v>
      </c>
      <c r="X228">
        <v>3</v>
      </c>
      <c r="Y228">
        <v>3.2</v>
      </c>
      <c r="Z228">
        <v>4.2</v>
      </c>
      <c r="AA228">
        <v>0.83</v>
      </c>
      <c r="AB228">
        <f t="shared" si="27"/>
        <v>5</v>
      </c>
      <c r="AC228">
        <f t="shared" si="28"/>
        <v>4.34</v>
      </c>
      <c r="AD228" t="str">
        <f t="shared" si="29"/>
        <v>⭐⭐⭐⭐</v>
      </c>
      <c r="AE228" t="str">
        <f t="shared" si="30"/>
        <v>Maintain current resource allocation</v>
      </c>
      <c r="AF228" t="str">
        <f t="shared" si="31"/>
        <v>Recommended for medium-high orders</v>
      </c>
    </row>
    <row r="229" spans="1:32" ht="24" customHeight="1">
      <c r="A229" t="s">
        <v>510</v>
      </c>
      <c r="B229" t="s">
        <v>69</v>
      </c>
      <c r="C229" t="s">
        <v>70</v>
      </c>
      <c r="D229" t="s">
        <v>71</v>
      </c>
      <c r="E229" t="s">
        <v>511</v>
      </c>
      <c r="F229" t="s">
        <v>44</v>
      </c>
      <c r="G229">
        <v>9685</v>
      </c>
      <c r="H229">
        <v>45819</v>
      </c>
      <c r="I229">
        <v>45840</v>
      </c>
      <c r="J229">
        <v>17</v>
      </c>
      <c r="K229">
        <v>18</v>
      </c>
      <c r="L229">
        <f t="shared" si="24"/>
        <v>1</v>
      </c>
      <c r="M229" t="str">
        <f t="shared" si="25"/>
        <v>Delayed</v>
      </c>
      <c r="N229">
        <v>12</v>
      </c>
      <c r="O229">
        <v>9</v>
      </c>
      <c r="P229">
        <f t="shared" si="26"/>
        <v>0.75</v>
      </c>
      <c r="Q229">
        <v>31</v>
      </c>
      <c r="R229">
        <v>538.1</v>
      </c>
      <c r="S229">
        <v>13685</v>
      </c>
      <c r="T229" t="s">
        <v>45</v>
      </c>
      <c r="U229">
        <v>2</v>
      </c>
      <c r="V229">
        <v>9</v>
      </c>
      <c r="W229">
        <v>4</v>
      </c>
      <c r="X229">
        <v>4</v>
      </c>
      <c r="Y229">
        <v>3.44</v>
      </c>
      <c r="Z229">
        <v>3.8</v>
      </c>
      <c r="AA229">
        <v>0.78</v>
      </c>
      <c r="AB229">
        <f t="shared" si="27"/>
        <v>5</v>
      </c>
      <c r="AC229">
        <f t="shared" si="28"/>
        <v>4</v>
      </c>
      <c r="AD229" t="str">
        <f t="shared" si="29"/>
        <v>⭐⭐⭐⭐</v>
      </c>
      <c r="AE229" t="str">
        <f t="shared" si="30"/>
        <v>Reduce risk days and add supervisor monitoring</v>
      </c>
      <c r="AF229" t="str">
        <f t="shared" si="31"/>
        <v>Recommended for medium-high orders</v>
      </c>
    </row>
    <row r="230" spans="1:32" ht="24" customHeight="1">
      <c r="A230" t="s">
        <v>512</v>
      </c>
      <c r="B230" t="s">
        <v>78</v>
      </c>
      <c r="C230" t="s">
        <v>79</v>
      </c>
      <c r="D230" t="s">
        <v>80</v>
      </c>
      <c r="E230" t="s">
        <v>513</v>
      </c>
      <c r="F230" t="s">
        <v>44</v>
      </c>
      <c r="G230">
        <v>9258</v>
      </c>
      <c r="H230">
        <v>45968</v>
      </c>
      <c r="I230">
        <v>45998</v>
      </c>
      <c r="J230">
        <v>27</v>
      </c>
      <c r="K230">
        <v>30</v>
      </c>
      <c r="L230">
        <f t="shared" si="24"/>
        <v>3</v>
      </c>
      <c r="M230" t="str">
        <f t="shared" si="25"/>
        <v>Delayed</v>
      </c>
      <c r="N230">
        <v>22</v>
      </c>
      <c r="O230">
        <v>19</v>
      </c>
      <c r="P230">
        <f t="shared" si="26"/>
        <v>0.86363636363636365</v>
      </c>
      <c r="Q230">
        <v>61</v>
      </c>
      <c r="R230">
        <v>308.60000000000002</v>
      </c>
      <c r="S230">
        <v>11258</v>
      </c>
      <c r="T230" t="s">
        <v>45</v>
      </c>
      <c r="U230">
        <v>3</v>
      </c>
      <c r="V230">
        <v>0</v>
      </c>
      <c r="W230">
        <v>2</v>
      </c>
      <c r="X230">
        <v>3</v>
      </c>
      <c r="Y230">
        <v>2.63</v>
      </c>
      <c r="Z230">
        <v>4.8</v>
      </c>
      <c r="AA230">
        <v>0.92</v>
      </c>
      <c r="AB230">
        <f t="shared" si="27"/>
        <v>5</v>
      </c>
      <c r="AC230">
        <f t="shared" si="28"/>
        <v>4.5599999999999996</v>
      </c>
      <c r="AD230" t="str">
        <f t="shared" si="29"/>
        <v>⭐⭐⭐⭐⭐</v>
      </c>
      <c r="AE230" t="str">
        <f t="shared" si="30"/>
        <v>Increase daily output monitoring</v>
      </c>
      <c r="AF230" t="str">
        <f t="shared" si="31"/>
        <v>Best for urgent/high priority orders</v>
      </c>
    </row>
    <row r="231" spans="1:32" ht="24" customHeight="1">
      <c r="A231" t="s">
        <v>514</v>
      </c>
      <c r="B231" t="s">
        <v>61</v>
      </c>
      <c r="C231" t="s">
        <v>62</v>
      </c>
      <c r="D231" t="s">
        <v>63</v>
      </c>
      <c r="E231" t="s">
        <v>515</v>
      </c>
      <c r="F231" t="s">
        <v>67</v>
      </c>
      <c r="G231">
        <v>46436</v>
      </c>
      <c r="H231">
        <v>45676</v>
      </c>
      <c r="I231">
        <v>45749</v>
      </c>
      <c r="J231">
        <v>63</v>
      </c>
      <c r="K231">
        <v>69</v>
      </c>
      <c r="L231">
        <f t="shared" si="24"/>
        <v>6</v>
      </c>
      <c r="M231" t="str">
        <f t="shared" si="25"/>
        <v>Delayed</v>
      </c>
      <c r="N231">
        <v>9</v>
      </c>
      <c r="O231">
        <v>7</v>
      </c>
      <c r="P231">
        <f t="shared" si="26"/>
        <v>0.77777777777777779</v>
      </c>
      <c r="Q231">
        <v>48</v>
      </c>
      <c r="R231">
        <v>673</v>
      </c>
      <c r="S231">
        <v>49436</v>
      </c>
      <c r="T231" t="s">
        <v>45</v>
      </c>
      <c r="U231">
        <v>1</v>
      </c>
      <c r="V231">
        <v>6</v>
      </c>
      <c r="W231">
        <v>1</v>
      </c>
      <c r="X231">
        <v>0</v>
      </c>
      <c r="Y231">
        <v>2.75</v>
      </c>
      <c r="Z231">
        <v>4</v>
      </c>
      <c r="AA231">
        <v>0.8</v>
      </c>
      <c r="AB231">
        <f t="shared" si="27"/>
        <v>5</v>
      </c>
      <c r="AC231">
        <f t="shared" si="28"/>
        <v>4.0999999999999996</v>
      </c>
      <c r="AD231" t="str">
        <f t="shared" si="29"/>
        <v>⭐⭐⭐⭐</v>
      </c>
      <c r="AE231" t="str">
        <f t="shared" si="30"/>
        <v>Increase daily output monitoring</v>
      </c>
      <c r="AF231" t="str">
        <f t="shared" si="31"/>
        <v>Recommended for medium-high orders</v>
      </c>
    </row>
    <row r="232" spans="1:32" ht="24" customHeight="1">
      <c r="A232" t="s">
        <v>516</v>
      </c>
      <c r="B232" t="s">
        <v>53</v>
      </c>
      <c r="C232" t="s">
        <v>54</v>
      </c>
      <c r="D232" t="s">
        <v>55</v>
      </c>
      <c r="E232" t="s">
        <v>517</v>
      </c>
      <c r="F232" t="s">
        <v>57</v>
      </c>
      <c r="G232">
        <v>10993</v>
      </c>
      <c r="H232">
        <v>45886</v>
      </c>
      <c r="I232">
        <v>45927</v>
      </c>
      <c r="J232">
        <v>36</v>
      </c>
      <c r="K232">
        <v>40</v>
      </c>
      <c r="L232">
        <f t="shared" si="24"/>
        <v>4</v>
      </c>
      <c r="M232" t="str">
        <f t="shared" si="25"/>
        <v>Delayed</v>
      </c>
      <c r="N232">
        <v>18</v>
      </c>
      <c r="O232">
        <v>14</v>
      </c>
      <c r="P232">
        <f t="shared" si="26"/>
        <v>0.77777777777777779</v>
      </c>
      <c r="Q232">
        <v>51</v>
      </c>
      <c r="R232">
        <v>274.8</v>
      </c>
      <c r="S232">
        <v>14993</v>
      </c>
      <c r="T232" t="s">
        <v>38</v>
      </c>
      <c r="U232">
        <v>5</v>
      </c>
      <c r="V232">
        <v>7</v>
      </c>
      <c r="W232">
        <v>0</v>
      </c>
      <c r="X232">
        <v>3</v>
      </c>
      <c r="Y232">
        <v>3.32</v>
      </c>
      <c r="Z232">
        <v>4.5</v>
      </c>
      <c r="AA232">
        <v>0.88</v>
      </c>
      <c r="AB232">
        <f t="shared" si="27"/>
        <v>5</v>
      </c>
      <c r="AC232">
        <f t="shared" si="28"/>
        <v>4.3499999999999996</v>
      </c>
      <c r="AD232" t="str">
        <f t="shared" si="29"/>
        <v>⭐⭐⭐⭐</v>
      </c>
      <c r="AE232" t="str">
        <f t="shared" si="30"/>
        <v>Increase daily output monitoring</v>
      </c>
      <c r="AF232" t="str">
        <f t="shared" si="31"/>
        <v>Recommended for medium-high orders</v>
      </c>
    </row>
    <row r="233" spans="1:32" ht="24" customHeight="1">
      <c r="A233" t="s">
        <v>518</v>
      </c>
      <c r="B233" t="s">
        <v>78</v>
      </c>
      <c r="C233" t="s">
        <v>79</v>
      </c>
      <c r="D233" t="s">
        <v>80</v>
      </c>
      <c r="E233" t="s">
        <v>519</v>
      </c>
      <c r="F233" t="s">
        <v>67</v>
      </c>
      <c r="G233">
        <v>51757</v>
      </c>
      <c r="H233">
        <v>45823</v>
      </c>
      <c r="I233">
        <v>45881</v>
      </c>
      <c r="J233">
        <v>56</v>
      </c>
      <c r="K233">
        <v>58</v>
      </c>
      <c r="L233">
        <f t="shared" si="24"/>
        <v>2</v>
      </c>
      <c r="M233" t="str">
        <f t="shared" si="25"/>
        <v>Delayed</v>
      </c>
      <c r="N233">
        <v>20</v>
      </c>
      <c r="O233">
        <v>17</v>
      </c>
      <c r="P233">
        <f t="shared" si="26"/>
        <v>0.85</v>
      </c>
      <c r="Q233">
        <v>64</v>
      </c>
      <c r="R233">
        <v>892.4</v>
      </c>
      <c r="S233">
        <v>51757</v>
      </c>
      <c r="T233" t="s">
        <v>38</v>
      </c>
      <c r="U233">
        <v>0</v>
      </c>
      <c r="V233">
        <v>9</v>
      </c>
      <c r="W233">
        <v>1</v>
      </c>
      <c r="X233">
        <v>3</v>
      </c>
      <c r="Y233">
        <v>3.57</v>
      </c>
      <c r="Z233">
        <v>4.8</v>
      </c>
      <c r="AA233">
        <v>0.92</v>
      </c>
      <c r="AB233">
        <f t="shared" si="27"/>
        <v>5</v>
      </c>
      <c r="AC233">
        <f t="shared" si="28"/>
        <v>4.55</v>
      </c>
      <c r="AD233" t="str">
        <f t="shared" si="29"/>
        <v>⭐⭐⭐⭐⭐</v>
      </c>
      <c r="AE233" t="str">
        <f t="shared" si="30"/>
        <v>Reduce risk days and add supervisor monitoring</v>
      </c>
      <c r="AF233" t="str">
        <f t="shared" si="31"/>
        <v>Best for urgent/high priority orders</v>
      </c>
    </row>
    <row r="234" spans="1:32" ht="24" customHeight="1">
      <c r="A234" t="s">
        <v>520</v>
      </c>
      <c r="B234" t="s">
        <v>33</v>
      </c>
      <c r="C234" t="s">
        <v>34</v>
      </c>
      <c r="D234" t="s">
        <v>35</v>
      </c>
      <c r="E234" t="s">
        <v>521</v>
      </c>
      <c r="F234" t="s">
        <v>44</v>
      </c>
      <c r="G234">
        <v>19837</v>
      </c>
      <c r="H234">
        <v>45661</v>
      </c>
      <c r="I234">
        <v>45709</v>
      </c>
      <c r="J234">
        <v>42</v>
      </c>
      <c r="K234">
        <v>44</v>
      </c>
      <c r="L234">
        <f t="shared" si="24"/>
        <v>2</v>
      </c>
      <c r="M234" t="str">
        <f t="shared" si="25"/>
        <v>Delayed</v>
      </c>
      <c r="N234">
        <v>13</v>
      </c>
      <c r="O234">
        <v>10</v>
      </c>
      <c r="P234">
        <f t="shared" si="26"/>
        <v>0.76923076923076927</v>
      </c>
      <c r="Q234">
        <v>45</v>
      </c>
      <c r="R234">
        <v>450.8</v>
      </c>
      <c r="S234">
        <v>21837</v>
      </c>
      <c r="T234" t="s">
        <v>38</v>
      </c>
      <c r="U234">
        <v>3</v>
      </c>
      <c r="V234">
        <v>5</v>
      </c>
      <c r="W234">
        <v>1</v>
      </c>
      <c r="X234">
        <v>1</v>
      </c>
      <c r="Y234">
        <v>3.45</v>
      </c>
      <c r="Z234">
        <v>4.2</v>
      </c>
      <c r="AA234">
        <v>0.83</v>
      </c>
      <c r="AB234">
        <f t="shared" si="27"/>
        <v>5</v>
      </c>
      <c r="AC234">
        <f t="shared" si="28"/>
        <v>4.1900000000000004</v>
      </c>
      <c r="AD234" t="str">
        <f t="shared" si="29"/>
        <v>⭐⭐⭐⭐</v>
      </c>
      <c r="AE234" t="str">
        <f t="shared" si="30"/>
        <v>Increase daily output monitoring</v>
      </c>
      <c r="AF234" t="str">
        <f t="shared" si="31"/>
        <v>Recommended for medium-high orders</v>
      </c>
    </row>
    <row r="235" spans="1:32" ht="24" customHeight="1">
      <c r="A235" t="s">
        <v>522</v>
      </c>
      <c r="B235" t="s">
        <v>69</v>
      </c>
      <c r="C235" t="s">
        <v>70</v>
      </c>
      <c r="D235" t="s">
        <v>71</v>
      </c>
      <c r="E235" t="s">
        <v>523</v>
      </c>
      <c r="F235" t="s">
        <v>57</v>
      </c>
      <c r="G235">
        <v>8768</v>
      </c>
      <c r="H235">
        <v>45904</v>
      </c>
      <c r="I235">
        <v>45931</v>
      </c>
      <c r="J235">
        <v>17</v>
      </c>
      <c r="K235">
        <v>22</v>
      </c>
      <c r="L235">
        <f t="shared" si="24"/>
        <v>5</v>
      </c>
      <c r="M235" t="str">
        <f t="shared" si="25"/>
        <v>Delayed</v>
      </c>
      <c r="N235">
        <v>9</v>
      </c>
      <c r="O235">
        <v>7</v>
      </c>
      <c r="P235">
        <f t="shared" si="26"/>
        <v>0.77777777777777779</v>
      </c>
      <c r="Q235">
        <v>40</v>
      </c>
      <c r="R235">
        <v>398.5</v>
      </c>
      <c r="S235">
        <v>10768</v>
      </c>
      <c r="T235" t="s">
        <v>45</v>
      </c>
      <c r="U235">
        <v>0</v>
      </c>
      <c r="V235">
        <v>1</v>
      </c>
      <c r="W235">
        <v>3</v>
      </c>
      <c r="X235">
        <v>4</v>
      </c>
      <c r="Y235">
        <v>3.91</v>
      </c>
      <c r="Z235">
        <v>3.8</v>
      </c>
      <c r="AA235">
        <v>0.78</v>
      </c>
      <c r="AB235">
        <f t="shared" si="27"/>
        <v>5</v>
      </c>
      <c r="AC235">
        <f t="shared" si="28"/>
        <v>4.0199999999999996</v>
      </c>
      <c r="AD235" t="str">
        <f t="shared" si="29"/>
        <v>⭐⭐⭐⭐</v>
      </c>
      <c r="AE235" t="str">
        <f t="shared" si="30"/>
        <v>Improve workforce allocation</v>
      </c>
      <c r="AF235" t="str">
        <f t="shared" si="31"/>
        <v>Recommended for medium-high orders</v>
      </c>
    </row>
    <row r="236" spans="1:32" ht="24" customHeight="1">
      <c r="A236" t="s">
        <v>524</v>
      </c>
      <c r="B236" t="s">
        <v>40</v>
      </c>
      <c r="C236" t="s">
        <v>41</v>
      </c>
      <c r="D236" t="s">
        <v>42</v>
      </c>
      <c r="E236" t="s">
        <v>525</v>
      </c>
      <c r="F236" t="s">
        <v>67</v>
      </c>
      <c r="G236">
        <v>53464</v>
      </c>
      <c r="H236">
        <v>45667</v>
      </c>
      <c r="I236">
        <v>45731</v>
      </c>
      <c r="J236">
        <v>55</v>
      </c>
      <c r="K236">
        <v>59</v>
      </c>
      <c r="L236">
        <f t="shared" si="24"/>
        <v>4</v>
      </c>
      <c r="M236" t="str">
        <f t="shared" si="25"/>
        <v>Delayed</v>
      </c>
      <c r="N236">
        <v>13</v>
      </c>
      <c r="O236">
        <v>9</v>
      </c>
      <c r="P236">
        <f t="shared" si="26"/>
        <v>0.69230769230769229</v>
      </c>
      <c r="Q236">
        <v>46</v>
      </c>
      <c r="R236">
        <v>906.2</v>
      </c>
      <c r="S236">
        <v>54464</v>
      </c>
      <c r="T236" t="s">
        <v>45</v>
      </c>
      <c r="U236">
        <v>3</v>
      </c>
      <c r="V236">
        <v>8</v>
      </c>
      <c r="W236">
        <v>4</v>
      </c>
      <c r="X236">
        <v>4</v>
      </c>
      <c r="Y236">
        <v>2.68</v>
      </c>
      <c r="Z236">
        <v>4.3</v>
      </c>
      <c r="AA236">
        <v>0.85</v>
      </c>
      <c r="AB236">
        <f t="shared" si="27"/>
        <v>5</v>
      </c>
      <c r="AC236">
        <f t="shared" si="28"/>
        <v>4.1900000000000004</v>
      </c>
      <c r="AD236" t="str">
        <f t="shared" si="29"/>
        <v>⭐⭐⭐⭐</v>
      </c>
      <c r="AE236" t="str">
        <f t="shared" si="30"/>
        <v>Increase machine maintenance support</v>
      </c>
      <c r="AF236" t="str">
        <f t="shared" si="31"/>
        <v>Recommended for medium-high orders</v>
      </c>
    </row>
    <row r="237" spans="1:32" ht="24" customHeight="1">
      <c r="A237" t="s">
        <v>526</v>
      </c>
      <c r="B237" t="s">
        <v>33</v>
      </c>
      <c r="C237" t="s">
        <v>34</v>
      </c>
      <c r="D237" t="s">
        <v>35</v>
      </c>
      <c r="E237" t="s">
        <v>527</v>
      </c>
      <c r="F237" t="s">
        <v>44</v>
      </c>
      <c r="G237">
        <v>9097</v>
      </c>
      <c r="H237">
        <v>45743</v>
      </c>
      <c r="I237">
        <v>45773</v>
      </c>
      <c r="J237">
        <v>23</v>
      </c>
      <c r="K237">
        <v>25</v>
      </c>
      <c r="L237">
        <f t="shared" si="24"/>
        <v>2</v>
      </c>
      <c r="M237" t="str">
        <f t="shared" si="25"/>
        <v>Delayed</v>
      </c>
      <c r="N237">
        <v>12</v>
      </c>
      <c r="O237">
        <v>10</v>
      </c>
      <c r="P237">
        <f t="shared" si="26"/>
        <v>0.83333333333333337</v>
      </c>
      <c r="Q237">
        <v>39</v>
      </c>
      <c r="R237">
        <v>363.9</v>
      </c>
      <c r="S237">
        <v>13097</v>
      </c>
      <c r="T237" t="s">
        <v>45</v>
      </c>
      <c r="U237">
        <v>2</v>
      </c>
      <c r="V237">
        <v>3</v>
      </c>
      <c r="W237">
        <v>1</v>
      </c>
      <c r="X237">
        <v>3</v>
      </c>
      <c r="Y237">
        <v>3.65</v>
      </c>
      <c r="Z237">
        <v>4.2</v>
      </c>
      <c r="AA237">
        <v>0.83</v>
      </c>
      <c r="AB237">
        <f t="shared" si="27"/>
        <v>5</v>
      </c>
      <c r="AC237">
        <f t="shared" si="28"/>
        <v>4.24</v>
      </c>
      <c r="AD237" t="str">
        <f t="shared" si="29"/>
        <v>⭐⭐⭐⭐</v>
      </c>
      <c r="AE237" t="str">
        <f t="shared" si="30"/>
        <v>Increase daily output monitoring</v>
      </c>
      <c r="AF237" t="str">
        <f t="shared" si="31"/>
        <v>Recommended for medium-high orders</v>
      </c>
    </row>
    <row r="238" spans="1:32" ht="24" customHeight="1">
      <c r="A238" t="s">
        <v>528</v>
      </c>
      <c r="B238" t="s">
        <v>33</v>
      </c>
      <c r="C238" t="s">
        <v>34</v>
      </c>
      <c r="D238" t="s">
        <v>35</v>
      </c>
      <c r="E238" t="s">
        <v>529</v>
      </c>
      <c r="F238" t="s">
        <v>57</v>
      </c>
      <c r="G238">
        <v>8765</v>
      </c>
      <c r="H238">
        <v>45930</v>
      </c>
      <c r="I238">
        <v>45956</v>
      </c>
      <c r="J238">
        <v>22</v>
      </c>
      <c r="K238">
        <v>22</v>
      </c>
      <c r="L238">
        <f t="shared" si="24"/>
        <v>0</v>
      </c>
      <c r="M238" t="str">
        <f t="shared" si="25"/>
        <v>On Time</v>
      </c>
      <c r="N238">
        <v>16</v>
      </c>
      <c r="O238">
        <v>13</v>
      </c>
      <c r="P238">
        <f t="shared" si="26"/>
        <v>0.8125</v>
      </c>
      <c r="Q238">
        <v>37</v>
      </c>
      <c r="R238">
        <v>398.4</v>
      </c>
      <c r="S238">
        <v>9765</v>
      </c>
      <c r="T238" t="s">
        <v>45</v>
      </c>
      <c r="U238">
        <v>3</v>
      </c>
      <c r="V238">
        <v>7</v>
      </c>
      <c r="W238">
        <v>3</v>
      </c>
      <c r="X238">
        <v>4</v>
      </c>
      <c r="Y238">
        <v>3.7</v>
      </c>
      <c r="Z238">
        <v>4.2</v>
      </c>
      <c r="AA238">
        <v>0.83</v>
      </c>
      <c r="AB238">
        <f t="shared" si="27"/>
        <v>5</v>
      </c>
      <c r="AC238">
        <f t="shared" si="28"/>
        <v>4.34</v>
      </c>
      <c r="AD238" t="str">
        <f t="shared" si="29"/>
        <v>⭐⭐⭐⭐</v>
      </c>
      <c r="AE238" t="str">
        <f t="shared" si="30"/>
        <v>Maintain current resource allocation</v>
      </c>
      <c r="AF238" t="str">
        <f t="shared" si="31"/>
        <v>Recommended for medium-high orders</v>
      </c>
    </row>
    <row r="239" spans="1:32" ht="24" customHeight="1">
      <c r="A239" t="s">
        <v>530</v>
      </c>
      <c r="B239" t="s">
        <v>61</v>
      </c>
      <c r="C239" t="s">
        <v>62</v>
      </c>
      <c r="D239" t="s">
        <v>63</v>
      </c>
      <c r="E239" t="s">
        <v>531</v>
      </c>
      <c r="F239" t="s">
        <v>37</v>
      </c>
      <c r="G239">
        <v>14270</v>
      </c>
      <c r="H239">
        <v>45904</v>
      </c>
      <c r="I239">
        <v>45949</v>
      </c>
      <c r="J239">
        <v>41</v>
      </c>
      <c r="K239">
        <v>42</v>
      </c>
      <c r="L239">
        <f t="shared" si="24"/>
        <v>1</v>
      </c>
      <c r="M239" t="str">
        <f t="shared" si="25"/>
        <v>Delayed</v>
      </c>
      <c r="N239">
        <v>14</v>
      </c>
      <c r="O239">
        <v>11</v>
      </c>
      <c r="P239">
        <f t="shared" si="26"/>
        <v>0.7857142857142857</v>
      </c>
      <c r="Q239">
        <v>46</v>
      </c>
      <c r="R239">
        <v>339.8</v>
      </c>
      <c r="S239">
        <v>17270</v>
      </c>
      <c r="T239" t="s">
        <v>45</v>
      </c>
      <c r="U239">
        <v>1</v>
      </c>
      <c r="V239">
        <v>4</v>
      </c>
      <c r="W239">
        <v>5</v>
      </c>
      <c r="X239">
        <v>1</v>
      </c>
      <c r="Y239">
        <v>2.86</v>
      </c>
      <c r="Z239">
        <v>4</v>
      </c>
      <c r="AA239">
        <v>0.8</v>
      </c>
      <c r="AB239">
        <f t="shared" si="27"/>
        <v>5</v>
      </c>
      <c r="AC239">
        <f t="shared" si="28"/>
        <v>4.1100000000000003</v>
      </c>
      <c r="AD239" t="str">
        <f t="shared" si="29"/>
        <v>⭐⭐⭐⭐</v>
      </c>
      <c r="AE239" t="str">
        <f t="shared" si="30"/>
        <v>Increase machine maintenance support</v>
      </c>
      <c r="AF239" t="str">
        <f t="shared" si="31"/>
        <v>Recommended for medium-high orders</v>
      </c>
    </row>
    <row r="240" spans="1:32" ht="24" customHeight="1">
      <c r="A240" t="s">
        <v>532</v>
      </c>
      <c r="B240" t="s">
        <v>53</v>
      </c>
      <c r="C240" t="s">
        <v>54</v>
      </c>
      <c r="D240" t="s">
        <v>55</v>
      </c>
      <c r="E240" t="s">
        <v>533</v>
      </c>
      <c r="F240" t="s">
        <v>37</v>
      </c>
      <c r="G240">
        <v>14387</v>
      </c>
      <c r="H240">
        <v>45763</v>
      </c>
      <c r="I240">
        <v>45806</v>
      </c>
      <c r="J240">
        <v>32</v>
      </c>
      <c r="K240">
        <v>38</v>
      </c>
      <c r="L240">
        <f t="shared" si="24"/>
        <v>6</v>
      </c>
      <c r="M240" t="str">
        <f t="shared" si="25"/>
        <v>Delayed</v>
      </c>
      <c r="N240">
        <v>19</v>
      </c>
      <c r="O240">
        <v>14</v>
      </c>
      <c r="P240">
        <f t="shared" si="26"/>
        <v>0.73684210526315785</v>
      </c>
      <c r="Q240">
        <v>44</v>
      </c>
      <c r="R240">
        <v>378.6</v>
      </c>
      <c r="S240">
        <v>14387</v>
      </c>
      <c r="T240" t="s">
        <v>45</v>
      </c>
      <c r="U240">
        <v>0</v>
      </c>
      <c r="V240">
        <v>4</v>
      </c>
      <c r="W240">
        <v>5</v>
      </c>
      <c r="X240">
        <v>1</v>
      </c>
      <c r="Y240">
        <v>2.62</v>
      </c>
      <c r="Z240">
        <v>4.5</v>
      </c>
      <c r="AA240">
        <v>0.88</v>
      </c>
      <c r="AB240">
        <f t="shared" si="27"/>
        <v>5</v>
      </c>
      <c r="AC240">
        <f t="shared" si="28"/>
        <v>4.32</v>
      </c>
      <c r="AD240" t="str">
        <f t="shared" si="29"/>
        <v>⭐⭐⭐⭐</v>
      </c>
      <c r="AE240" t="str">
        <f t="shared" si="30"/>
        <v>Increase machine maintenance support</v>
      </c>
      <c r="AF240" t="str">
        <f t="shared" si="31"/>
        <v>Recommended for medium-high orders</v>
      </c>
    </row>
    <row r="241" spans="1:32" ht="24" customHeight="1">
      <c r="A241" t="s">
        <v>534</v>
      </c>
      <c r="B241" t="s">
        <v>61</v>
      </c>
      <c r="C241" t="s">
        <v>62</v>
      </c>
      <c r="D241" t="s">
        <v>63</v>
      </c>
      <c r="E241" t="s">
        <v>535</v>
      </c>
      <c r="F241" t="s">
        <v>57</v>
      </c>
      <c r="G241">
        <v>6746</v>
      </c>
      <c r="H241">
        <v>45940</v>
      </c>
      <c r="I241">
        <v>45961</v>
      </c>
      <c r="J241">
        <v>18</v>
      </c>
      <c r="K241">
        <v>17</v>
      </c>
      <c r="L241">
        <f t="shared" si="24"/>
        <v>-1</v>
      </c>
      <c r="M241" t="str">
        <f t="shared" si="25"/>
        <v>Early</v>
      </c>
      <c r="N241">
        <v>13</v>
      </c>
      <c r="O241">
        <v>10</v>
      </c>
      <c r="P241">
        <f t="shared" si="26"/>
        <v>0.76923076923076927</v>
      </c>
      <c r="Q241">
        <v>42</v>
      </c>
      <c r="R241">
        <v>396.8</v>
      </c>
      <c r="S241">
        <v>7746</v>
      </c>
      <c r="T241" t="s">
        <v>45</v>
      </c>
      <c r="U241">
        <v>3</v>
      </c>
      <c r="V241">
        <v>6</v>
      </c>
      <c r="W241">
        <v>2</v>
      </c>
      <c r="X241">
        <v>2</v>
      </c>
      <c r="Y241">
        <v>3.17</v>
      </c>
      <c r="Z241">
        <v>4</v>
      </c>
      <c r="AA241">
        <v>0.8</v>
      </c>
      <c r="AB241">
        <f t="shared" si="27"/>
        <v>5</v>
      </c>
      <c r="AC241">
        <f t="shared" si="28"/>
        <v>4.25</v>
      </c>
      <c r="AD241" t="str">
        <f t="shared" si="29"/>
        <v>⭐⭐⭐⭐</v>
      </c>
      <c r="AE241" t="str">
        <f t="shared" si="30"/>
        <v>Maintain current resource allocation</v>
      </c>
      <c r="AF241" t="str">
        <f t="shared" si="31"/>
        <v>Recommended for medium-high orders</v>
      </c>
    </row>
    <row r="242" spans="1:32" ht="24" customHeight="1">
      <c r="A242" t="s">
        <v>536</v>
      </c>
      <c r="B242" t="s">
        <v>40</v>
      </c>
      <c r="C242" t="s">
        <v>41</v>
      </c>
      <c r="D242" t="s">
        <v>42</v>
      </c>
      <c r="E242" t="s">
        <v>537</v>
      </c>
      <c r="F242" t="s">
        <v>44</v>
      </c>
      <c r="G242">
        <v>10315</v>
      </c>
      <c r="H242">
        <v>45831</v>
      </c>
      <c r="I242">
        <v>45873</v>
      </c>
      <c r="J242">
        <v>33</v>
      </c>
      <c r="K242">
        <v>38</v>
      </c>
      <c r="L242">
        <f t="shared" si="24"/>
        <v>5</v>
      </c>
      <c r="M242" t="str">
        <f t="shared" si="25"/>
        <v>Delayed</v>
      </c>
      <c r="N242">
        <v>12</v>
      </c>
      <c r="O242">
        <v>10</v>
      </c>
      <c r="P242">
        <f t="shared" si="26"/>
        <v>0.83333333333333337</v>
      </c>
      <c r="Q242">
        <v>52</v>
      </c>
      <c r="R242">
        <v>271.39999999999998</v>
      </c>
      <c r="S242">
        <v>11315</v>
      </c>
      <c r="T242" t="s">
        <v>45</v>
      </c>
      <c r="U242">
        <v>0</v>
      </c>
      <c r="V242">
        <v>5</v>
      </c>
      <c r="W242">
        <v>1</v>
      </c>
      <c r="X242">
        <v>5</v>
      </c>
      <c r="Y242">
        <v>3.25</v>
      </c>
      <c r="Z242">
        <v>4.3</v>
      </c>
      <c r="AA242">
        <v>0.85</v>
      </c>
      <c r="AB242">
        <f t="shared" si="27"/>
        <v>5</v>
      </c>
      <c r="AC242">
        <f t="shared" si="28"/>
        <v>4.3</v>
      </c>
      <c r="AD242" t="str">
        <f t="shared" si="29"/>
        <v>⭐⭐⭐⭐</v>
      </c>
      <c r="AE242" t="str">
        <f t="shared" si="30"/>
        <v>Improve workforce allocation</v>
      </c>
      <c r="AF242" t="str">
        <f t="shared" si="31"/>
        <v>Recommended for medium-high orders</v>
      </c>
    </row>
    <row r="243" spans="1:32" ht="24" customHeight="1">
      <c r="A243" t="s">
        <v>538</v>
      </c>
      <c r="B243" t="s">
        <v>33</v>
      </c>
      <c r="C243" t="s">
        <v>34</v>
      </c>
      <c r="D243" t="s">
        <v>35</v>
      </c>
      <c r="E243" t="s">
        <v>539</v>
      </c>
      <c r="F243" t="s">
        <v>37</v>
      </c>
      <c r="G243">
        <v>22750</v>
      </c>
      <c r="H243">
        <v>45854</v>
      </c>
      <c r="I243">
        <v>45882</v>
      </c>
      <c r="J243">
        <v>24</v>
      </c>
      <c r="K243">
        <v>25</v>
      </c>
      <c r="L243">
        <f t="shared" si="24"/>
        <v>1</v>
      </c>
      <c r="M243" t="str">
        <f t="shared" si="25"/>
        <v>Delayed</v>
      </c>
      <c r="N243">
        <v>14</v>
      </c>
      <c r="O243">
        <v>10</v>
      </c>
      <c r="P243">
        <f t="shared" si="26"/>
        <v>0.7142857142857143</v>
      </c>
      <c r="Q243">
        <v>36</v>
      </c>
      <c r="R243">
        <v>910</v>
      </c>
      <c r="S243">
        <v>26750</v>
      </c>
      <c r="T243" t="s">
        <v>45</v>
      </c>
      <c r="U243">
        <v>0</v>
      </c>
      <c r="V243">
        <v>8</v>
      </c>
      <c r="W243">
        <v>3</v>
      </c>
      <c r="X243">
        <v>0</v>
      </c>
      <c r="Y243">
        <v>3.09</v>
      </c>
      <c r="Z243">
        <v>4.2</v>
      </c>
      <c r="AA243">
        <v>0.83</v>
      </c>
      <c r="AB243">
        <f t="shared" si="27"/>
        <v>5</v>
      </c>
      <c r="AC243">
        <f t="shared" si="28"/>
        <v>4.1500000000000004</v>
      </c>
      <c r="AD243" t="str">
        <f t="shared" si="29"/>
        <v>⭐⭐⭐⭐</v>
      </c>
      <c r="AE243" t="str">
        <f t="shared" si="30"/>
        <v>Increase daily output monitoring</v>
      </c>
      <c r="AF243" t="str">
        <f t="shared" si="31"/>
        <v>Recommended for medium-high orders</v>
      </c>
    </row>
    <row r="244" spans="1:32" ht="24" customHeight="1">
      <c r="A244" t="s">
        <v>540</v>
      </c>
      <c r="B244" t="s">
        <v>33</v>
      </c>
      <c r="C244" t="s">
        <v>34</v>
      </c>
      <c r="D244" t="s">
        <v>35</v>
      </c>
      <c r="E244" t="s">
        <v>541</v>
      </c>
      <c r="F244" t="s">
        <v>44</v>
      </c>
      <c r="G244">
        <v>7743</v>
      </c>
      <c r="H244">
        <v>45842</v>
      </c>
      <c r="I244">
        <v>45870</v>
      </c>
      <c r="J244">
        <v>26</v>
      </c>
      <c r="K244">
        <v>27</v>
      </c>
      <c r="L244">
        <f t="shared" si="24"/>
        <v>1</v>
      </c>
      <c r="M244" t="str">
        <f t="shared" si="25"/>
        <v>Delayed</v>
      </c>
      <c r="N244">
        <v>13</v>
      </c>
      <c r="O244">
        <v>9</v>
      </c>
      <c r="P244">
        <f t="shared" si="26"/>
        <v>0.69230769230769229</v>
      </c>
      <c r="Q244">
        <v>50</v>
      </c>
      <c r="R244">
        <v>286.8</v>
      </c>
      <c r="S244">
        <v>11743</v>
      </c>
      <c r="T244" t="s">
        <v>45</v>
      </c>
      <c r="U244">
        <v>1</v>
      </c>
      <c r="V244">
        <v>11</v>
      </c>
      <c r="W244">
        <v>3</v>
      </c>
      <c r="X244">
        <v>5</v>
      </c>
      <c r="Y244">
        <v>2.7</v>
      </c>
      <c r="Z244">
        <v>4.2</v>
      </c>
      <c r="AA244">
        <v>0.83</v>
      </c>
      <c r="AB244">
        <f t="shared" si="27"/>
        <v>5</v>
      </c>
      <c r="AC244">
        <f t="shared" si="28"/>
        <v>4.1399999999999997</v>
      </c>
      <c r="AD244" t="str">
        <f t="shared" si="29"/>
        <v>⭐⭐⭐⭐</v>
      </c>
      <c r="AE244" t="str">
        <f t="shared" si="30"/>
        <v>Reduce risk days and add supervisor monitoring</v>
      </c>
      <c r="AF244" t="str">
        <f t="shared" si="31"/>
        <v>Recommended for medium-high orders</v>
      </c>
    </row>
    <row r="245" spans="1:32" ht="24" customHeight="1">
      <c r="A245" t="s">
        <v>542</v>
      </c>
      <c r="B245" t="s">
        <v>33</v>
      </c>
      <c r="C245" t="s">
        <v>34</v>
      </c>
      <c r="D245" t="s">
        <v>35</v>
      </c>
      <c r="E245" t="s">
        <v>543</v>
      </c>
      <c r="F245" t="s">
        <v>67</v>
      </c>
      <c r="G245">
        <v>49041</v>
      </c>
      <c r="H245">
        <v>45835</v>
      </c>
      <c r="I245">
        <v>45902</v>
      </c>
      <c r="J245">
        <v>67</v>
      </c>
      <c r="K245">
        <v>65</v>
      </c>
      <c r="L245">
        <f t="shared" si="24"/>
        <v>-2</v>
      </c>
      <c r="M245" t="str">
        <f t="shared" si="25"/>
        <v>Early</v>
      </c>
      <c r="N245">
        <v>11</v>
      </c>
      <c r="O245">
        <v>9</v>
      </c>
      <c r="P245">
        <f t="shared" si="26"/>
        <v>0.81818181818181823</v>
      </c>
      <c r="Q245">
        <v>51</v>
      </c>
      <c r="R245">
        <v>754.5</v>
      </c>
      <c r="S245">
        <v>51041</v>
      </c>
      <c r="T245" t="s">
        <v>45</v>
      </c>
      <c r="U245">
        <v>2</v>
      </c>
      <c r="V245">
        <v>2</v>
      </c>
      <c r="W245">
        <v>1</v>
      </c>
      <c r="X245">
        <v>4</v>
      </c>
      <c r="Y245">
        <v>3.12</v>
      </c>
      <c r="Z245">
        <v>4.2</v>
      </c>
      <c r="AA245">
        <v>0.83</v>
      </c>
      <c r="AB245">
        <f t="shared" si="27"/>
        <v>5</v>
      </c>
      <c r="AC245">
        <f t="shared" si="28"/>
        <v>4.38</v>
      </c>
      <c r="AD245" t="str">
        <f t="shared" si="29"/>
        <v>⭐⭐⭐⭐</v>
      </c>
      <c r="AE245" t="str">
        <f t="shared" si="30"/>
        <v>Maintain current resource allocation</v>
      </c>
      <c r="AF245" t="str">
        <f t="shared" si="31"/>
        <v>Recommended for medium-high orders</v>
      </c>
    </row>
    <row r="246" spans="1:32" ht="24" customHeight="1">
      <c r="A246" t="s">
        <v>544</v>
      </c>
      <c r="B246" t="s">
        <v>53</v>
      </c>
      <c r="C246" t="s">
        <v>54</v>
      </c>
      <c r="D246" t="s">
        <v>55</v>
      </c>
      <c r="E246" t="s">
        <v>545</v>
      </c>
      <c r="F246" t="s">
        <v>67</v>
      </c>
      <c r="G246">
        <v>53236</v>
      </c>
      <c r="H246">
        <v>45905</v>
      </c>
      <c r="I246">
        <v>45981</v>
      </c>
      <c r="J246">
        <v>73</v>
      </c>
      <c r="K246">
        <v>75</v>
      </c>
      <c r="L246">
        <f t="shared" si="24"/>
        <v>2</v>
      </c>
      <c r="M246" t="str">
        <f t="shared" si="25"/>
        <v>Delayed</v>
      </c>
      <c r="N246">
        <v>17</v>
      </c>
      <c r="O246">
        <v>15</v>
      </c>
      <c r="P246">
        <f t="shared" si="26"/>
        <v>0.88235294117647056</v>
      </c>
      <c r="Q246">
        <v>62</v>
      </c>
      <c r="R246">
        <v>709.8</v>
      </c>
      <c r="S246">
        <v>55236</v>
      </c>
      <c r="T246" t="s">
        <v>38</v>
      </c>
      <c r="U246">
        <v>5</v>
      </c>
      <c r="V246">
        <v>6</v>
      </c>
      <c r="W246">
        <v>3</v>
      </c>
      <c r="X246">
        <v>0</v>
      </c>
      <c r="Y246">
        <v>2.64</v>
      </c>
      <c r="Z246">
        <v>4.5</v>
      </c>
      <c r="AA246">
        <v>0.88</v>
      </c>
      <c r="AB246">
        <f t="shared" si="27"/>
        <v>5</v>
      </c>
      <c r="AC246">
        <f t="shared" si="28"/>
        <v>4.43</v>
      </c>
      <c r="AD246" t="str">
        <f t="shared" si="29"/>
        <v>⭐⭐⭐⭐</v>
      </c>
      <c r="AE246" t="str">
        <f t="shared" si="30"/>
        <v>Increase daily output monitoring</v>
      </c>
      <c r="AF246" t="str">
        <f t="shared" si="31"/>
        <v>Recommended for medium-high orders</v>
      </c>
    </row>
    <row r="247" spans="1:32" ht="24" customHeight="1">
      <c r="A247" t="s">
        <v>546</v>
      </c>
      <c r="B247" t="s">
        <v>61</v>
      </c>
      <c r="C247" t="s">
        <v>62</v>
      </c>
      <c r="D247" t="s">
        <v>63</v>
      </c>
      <c r="E247" t="s">
        <v>547</v>
      </c>
      <c r="F247" t="s">
        <v>57</v>
      </c>
      <c r="G247">
        <v>19688</v>
      </c>
      <c r="H247">
        <v>45838</v>
      </c>
      <c r="I247">
        <v>45883</v>
      </c>
      <c r="J247">
        <v>42</v>
      </c>
      <c r="K247">
        <v>41</v>
      </c>
      <c r="L247">
        <f t="shared" si="24"/>
        <v>-1</v>
      </c>
      <c r="M247" t="str">
        <f t="shared" si="25"/>
        <v>Early</v>
      </c>
      <c r="N247">
        <v>12</v>
      </c>
      <c r="O247">
        <v>9</v>
      </c>
      <c r="P247">
        <f t="shared" si="26"/>
        <v>0.75</v>
      </c>
      <c r="Q247">
        <v>37</v>
      </c>
      <c r="R247">
        <v>480.2</v>
      </c>
      <c r="S247">
        <v>21688</v>
      </c>
      <c r="T247" t="s">
        <v>45</v>
      </c>
      <c r="U247">
        <v>3</v>
      </c>
      <c r="V247">
        <v>8</v>
      </c>
      <c r="W247">
        <v>2</v>
      </c>
      <c r="X247">
        <v>3</v>
      </c>
      <c r="Y247">
        <v>3.83</v>
      </c>
      <c r="Z247">
        <v>4</v>
      </c>
      <c r="AA247">
        <v>0.8</v>
      </c>
      <c r="AB247">
        <f t="shared" si="27"/>
        <v>5</v>
      </c>
      <c r="AC247">
        <f t="shared" si="28"/>
        <v>4.2300000000000004</v>
      </c>
      <c r="AD247" t="str">
        <f t="shared" si="29"/>
        <v>⭐⭐⭐⭐</v>
      </c>
      <c r="AE247" t="str">
        <f t="shared" si="30"/>
        <v>Maintain current resource allocation</v>
      </c>
      <c r="AF247" t="str">
        <f t="shared" si="31"/>
        <v>Recommended for medium-high orders</v>
      </c>
    </row>
    <row r="248" spans="1:32" ht="24" customHeight="1">
      <c r="A248" t="s">
        <v>548</v>
      </c>
      <c r="B248" t="s">
        <v>40</v>
      </c>
      <c r="C248" t="s">
        <v>41</v>
      </c>
      <c r="D248" t="s">
        <v>42</v>
      </c>
      <c r="E248" t="s">
        <v>549</v>
      </c>
      <c r="F248" t="s">
        <v>44</v>
      </c>
      <c r="G248">
        <v>11413</v>
      </c>
      <c r="H248">
        <v>45755</v>
      </c>
      <c r="I248">
        <v>45785</v>
      </c>
      <c r="J248">
        <v>26</v>
      </c>
      <c r="K248">
        <v>27</v>
      </c>
      <c r="L248">
        <f t="shared" si="24"/>
        <v>1</v>
      </c>
      <c r="M248" t="str">
        <f t="shared" si="25"/>
        <v>Delayed</v>
      </c>
      <c r="N248">
        <v>16</v>
      </c>
      <c r="O248">
        <v>12</v>
      </c>
      <c r="P248">
        <f t="shared" si="26"/>
        <v>0.75</v>
      </c>
      <c r="Q248">
        <v>56</v>
      </c>
      <c r="R248">
        <v>422.7</v>
      </c>
      <c r="S248">
        <v>13413</v>
      </c>
      <c r="T248" t="s">
        <v>45</v>
      </c>
      <c r="U248">
        <v>1</v>
      </c>
      <c r="V248">
        <v>5</v>
      </c>
      <c r="W248">
        <v>1</v>
      </c>
      <c r="X248">
        <v>1</v>
      </c>
      <c r="Y248">
        <v>3.79</v>
      </c>
      <c r="Z248">
        <v>4.3</v>
      </c>
      <c r="AA248">
        <v>0.85</v>
      </c>
      <c r="AB248">
        <f t="shared" si="27"/>
        <v>5</v>
      </c>
      <c r="AC248">
        <f t="shared" si="28"/>
        <v>4.24</v>
      </c>
      <c r="AD248" t="str">
        <f t="shared" si="29"/>
        <v>⭐⭐⭐⭐</v>
      </c>
      <c r="AE248" t="str">
        <f t="shared" si="30"/>
        <v>Increase daily output monitoring</v>
      </c>
      <c r="AF248" t="str">
        <f t="shared" si="31"/>
        <v>Recommended for medium-high orders</v>
      </c>
    </row>
    <row r="249" spans="1:32" ht="24" customHeight="1">
      <c r="A249" t="s">
        <v>550</v>
      </c>
      <c r="B249" t="s">
        <v>61</v>
      </c>
      <c r="C249" t="s">
        <v>62</v>
      </c>
      <c r="D249" t="s">
        <v>63</v>
      </c>
      <c r="E249" t="s">
        <v>551</v>
      </c>
      <c r="F249" t="s">
        <v>67</v>
      </c>
      <c r="G249">
        <v>48696</v>
      </c>
      <c r="H249">
        <v>45904</v>
      </c>
      <c r="I249">
        <v>45971</v>
      </c>
      <c r="J249">
        <v>61</v>
      </c>
      <c r="K249">
        <v>65</v>
      </c>
      <c r="L249">
        <f t="shared" si="24"/>
        <v>4</v>
      </c>
      <c r="M249" t="str">
        <f t="shared" si="25"/>
        <v>Delayed</v>
      </c>
      <c r="N249">
        <v>16</v>
      </c>
      <c r="O249">
        <v>11</v>
      </c>
      <c r="P249">
        <f t="shared" si="26"/>
        <v>0.6875</v>
      </c>
      <c r="Q249">
        <v>47</v>
      </c>
      <c r="R249">
        <v>749.2</v>
      </c>
      <c r="S249">
        <v>48696</v>
      </c>
      <c r="T249" t="s">
        <v>38</v>
      </c>
      <c r="U249">
        <v>6</v>
      </c>
      <c r="V249">
        <v>7</v>
      </c>
      <c r="W249">
        <v>4</v>
      </c>
      <c r="X249">
        <v>1</v>
      </c>
      <c r="Y249">
        <v>3.08</v>
      </c>
      <c r="Z249">
        <v>4</v>
      </c>
      <c r="AA249">
        <v>0.8</v>
      </c>
      <c r="AB249">
        <f t="shared" si="27"/>
        <v>5</v>
      </c>
      <c r="AC249">
        <f t="shared" si="28"/>
        <v>4.04</v>
      </c>
      <c r="AD249" t="str">
        <f t="shared" si="29"/>
        <v>⭐⭐⭐⭐</v>
      </c>
      <c r="AE249" t="str">
        <f t="shared" si="30"/>
        <v>Increase machine maintenance support</v>
      </c>
      <c r="AF249" t="str">
        <f t="shared" si="31"/>
        <v>Recommended for medium-high orders</v>
      </c>
    </row>
    <row r="250" spans="1:32" ht="24" customHeight="1">
      <c r="A250" t="s">
        <v>552</v>
      </c>
      <c r="B250" t="s">
        <v>33</v>
      </c>
      <c r="C250" t="s">
        <v>34</v>
      </c>
      <c r="D250" t="s">
        <v>35</v>
      </c>
      <c r="E250" t="s">
        <v>553</v>
      </c>
      <c r="F250" t="s">
        <v>57</v>
      </c>
      <c r="G250">
        <v>13041</v>
      </c>
      <c r="H250">
        <v>45747</v>
      </c>
      <c r="I250">
        <v>45784</v>
      </c>
      <c r="J250">
        <v>29</v>
      </c>
      <c r="K250">
        <v>34</v>
      </c>
      <c r="L250">
        <f t="shared" si="24"/>
        <v>5</v>
      </c>
      <c r="M250" t="str">
        <f t="shared" si="25"/>
        <v>Delayed</v>
      </c>
      <c r="N250">
        <v>10</v>
      </c>
      <c r="O250">
        <v>8</v>
      </c>
      <c r="P250">
        <f t="shared" si="26"/>
        <v>0.8</v>
      </c>
      <c r="Q250">
        <v>47</v>
      </c>
      <c r="R250">
        <v>383.6</v>
      </c>
      <c r="S250">
        <v>16041</v>
      </c>
      <c r="T250" t="s">
        <v>45</v>
      </c>
      <c r="U250">
        <v>0</v>
      </c>
      <c r="V250">
        <v>8</v>
      </c>
      <c r="W250">
        <v>2</v>
      </c>
      <c r="X250">
        <v>3</v>
      </c>
      <c r="Y250">
        <v>2.75</v>
      </c>
      <c r="Z250">
        <v>4.2</v>
      </c>
      <c r="AA250">
        <v>0.83</v>
      </c>
      <c r="AB250">
        <f t="shared" si="27"/>
        <v>5</v>
      </c>
      <c r="AC250">
        <f t="shared" si="28"/>
        <v>4.22</v>
      </c>
      <c r="AD250" t="str">
        <f t="shared" si="29"/>
        <v>⭐⭐⭐⭐</v>
      </c>
      <c r="AE250" t="str">
        <f t="shared" si="30"/>
        <v>Increase daily output monitoring</v>
      </c>
      <c r="AF250" t="str">
        <f t="shared" si="31"/>
        <v>Recommended for medium-high orders</v>
      </c>
    </row>
    <row r="251" spans="1:32" ht="24" customHeight="1">
      <c r="A251" t="s">
        <v>554</v>
      </c>
      <c r="B251" t="s">
        <v>69</v>
      </c>
      <c r="C251" t="s">
        <v>70</v>
      </c>
      <c r="D251" t="s">
        <v>71</v>
      </c>
      <c r="E251" t="s">
        <v>555</v>
      </c>
      <c r="F251" t="s">
        <v>57</v>
      </c>
      <c r="G251">
        <v>16292</v>
      </c>
      <c r="H251">
        <v>45845</v>
      </c>
      <c r="I251">
        <v>45871</v>
      </c>
      <c r="J251">
        <v>24</v>
      </c>
      <c r="K251">
        <v>25</v>
      </c>
      <c r="L251">
        <f t="shared" si="24"/>
        <v>1</v>
      </c>
      <c r="M251" t="str">
        <f t="shared" si="25"/>
        <v>Delayed</v>
      </c>
      <c r="N251">
        <v>12</v>
      </c>
      <c r="O251">
        <v>8</v>
      </c>
      <c r="P251">
        <f t="shared" si="26"/>
        <v>0.66666666666666663</v>
      </c>
      <c r="Q251">
        <v>42</v>
      </c>
      <c r="R251">
        <v>651.70000000000005</v>
      </c>
      <c r="S251">
        <v>20292</v>
      </c>
      <c r="T251" t="s">
        <v>38</v>
      </c>
      <c r="U251">
        <v>2</v>
      </c>
      <c r="V251">
        <v>9</v>
      </c>
      <c r="W251">
        <v>2</v>
      </c>
      <c r="X251">
        <v>4</v>
      </c>
      <c r="Y251">
        <v>4.08</v>
      </c>
      <c r="Z251">
        <v>3.8</v>
      </c>
      <c r="AA251">
        <v>0.78</v>
      </c>
      <c r="AB251">
        <f t="shared" si="27"/>
        <v>5</v>
      </c>
      <c r="AC251">
        <f t="shared" si="28"/>
        <v>3.94</v>
      </c>
      <c r="AD251" t="str">
        <f t="shared" si="29"/>
        <v>⭐⭐⭐</v>
      </c>
      <c r="AE251" t="str">
        <f t="shared" si="30"/>
        <v>Reduce risk days and add supervisor monitoring</v>
      </c>
      <c r="AF251" t="str">
        <f t="shared" si="31"/>
        <v>Use for normal priority orders</v>
      </c>
    </row>
    <row r="252" spans="1:32" ht="24" customHeight="1">
      <c r="A252" t="s">
        <v>556</v>
      </c>
      <c r="B252" t="s">
        <v>40</v>
      </c>
      <c r="C252" t="s">
        <v>41</v>
      </c>
      <c r="D252" t="s">
        <v>42</v>
      </c>
      <c r="E252" t="s">
        <v>557</v>
      </c>
      <c r="F252" t="s">
        <v>67</v>
      </c>
      <c r="G252">
        <v>52199</v>
      </c>
      <c r="H252">
        <v>45734</v>
      </c>
      <c r="I252">
        <v>45807</v>
      </c>
      <c r="J252">
        <v>66</v>
      </c>
      <c r="K252">
        <v>70</v>
      </c>
      <c r="L252">
        <f t="shared" si="24"/>
        <v>4</v>
      </c>
      <c r="M252" t="str">
        <f t="shared" si="25"/>
        <v>Delayed</v>
      </c>
      <c r="N252">
        <v>14</v>
      </c>
      <c r="O252">
        <v>12</v>
      </c>
      <c r="P252">
        <f t="shared" si="26"/>
        <v>0.8571428571428571</v>
      </c>
      <c r="Q252">
        <v>46</v>
      </c>
      <c r="R252">
        <v>745.7</v>
      </c>
      <c r="S252">
        <v>53199</v>
      </c>
      <c r="T252" t="s">
        <v>45</v>
      </c>
      <c r="U252">
        <v>3</v>
      </c>
      <c r="V252">
        <v>4</v>
      </c>
      <c r="W252">
        <v>3</v>
      </c>
      <c r="X252">
        <v>4</v>
      </c>
      <c r="Y252">
        <v>3.33</v>
      </c>
      <c r="Z252">
        <v>4.3</v>
      </c>
      <c r="AA252">
        <v>0.85</v>
      </c>
      <c r="AB252">
        <f t="shared" si="27"/>
        <v>5</v>
      </c>
      <c r="AC252">
        <f t="shared" si="28"/>
        <v>4.32</v>
      </c>
      <c r="AD252" t="str">
        <f t="shared" si="29"/>
        <v>⭐⭐⭐⭐</v>
      </c>
      <c r="AE252" t="str">
        <f t="shared" si="30"/>
        <v>Improve workforce allocation</v>
      </c>
      <c r="AF252" t="str">
        <f t="shared" si="31"/>
        <v>Recommended for medium-high orders</v>
      </c>
    </row>
    <row r="253" spans="1:32" ht="24" customHeight="1">
      <c r="A253" t="s">
        <v>558</v>
      </c>
      <c r="B253" t="s">
        <v>61</v>
      </c>
      <c r="C253" t="s">
        <v>62</v>
      </c>
      <c r="D253" t="s">
        <v>63</v>
      </c>
      <c r="E253" t="s">
        <v>559</v>
      </c>
      <c r="F253" t="s">
        <v>67</v>
      </c>
      <c r="G253">
        <v>56370</v>
      </c>
      <c r="H253">
        <v>45708</v>
      </c>
      <c r="I253">
        <v>45774</v>
      </c>
      <c r="J253">
        <v>59</v>
      </c>
      <c r="K253">
        <v>61</v>
      </c>
      <c r="L253">
        <f t="shared" si="24"/>
        <v>2</v>
      </c>
      <c r="M253" t="str">
        <f t="shared" si="25"/>
        <v>Delayed</v>
      </c>
      <c r="N253">
        <v>13</v>
      </c>
      <c r="O253">
        <v>9</v>
      </c>
      <c r="P253">
        <f t="shared" si="26"/>
        <v>0.69230769230769229</v>
      </c>
      <c r="Q253">
        <v>48</v>
      </c>
      <c r="R253">
        <v>924.1</v>
      </c>
      <c r="S253">
        <v>56370</v>
      </c>
      <c r="T253" t="s">
        <v>45</v>
      </c>
      <c r="U253">
        <v>3</v>
      </c>
      <c r="V253">
        <v>5</v>
      </c>
      <c r="W253">
        <v>4</v>
      </c>
      <c r="X253">
        <v>1</v>
      </c>
      <c r="Y253">
        <v>2.52</v>
      </c>
      <c r="Z253">
        <v>4</v>
      </c>
      <c r="AA253">
        <v>0.8</v>
      </c>
      <c r="AB253">
        <f t="shared" si="27"/>
        <v>5</v>
      </c>
      <c r="AC253">
        <f t="shared" si="28"/>
        <v>4.04</v>
      </c>
      <c r="AD253" t="str">
        <f t="shared" si="29"/>
        <v>⭐⭐⭐⭐</v>
      </c>
      <c r="AE253" t="str">
        <f t="shared" si="30"/>
        <v>Increase machine maintenance support</v>
      </c>
      <c r="AF253" t="str">
        <f t="shared" si="31"/>
        <v>Recommended for medium-high orders</v>
      </c>
    </row>
    <row r="254" spans="1:32" ht="24" customHeight="1">
      <c r="A254" t="s">
        <v>560</v>
      </c>
      <c r="B254" t="s">
        <v>78</v>
      </c>
      <c r="C254" t="s">
        <v>79</v>
      </c>
      <c r="D254" t="s">
        <v>80</v>
      </c>
      <c r="E254" t="s">
        <v>561</v>
      </c>
      <c r="F254" t="s">
        <v>67</v>
      </c>
      <c r="G254">
        <v>55615</v>
      </c>
      <c r="H254">
        <v>45759</v>
      </c>
      <c r="I254">
        <v>45836</v>
      </c>
      <c r="J254">
        <v>75</v>
      </c>
      <c r="K254">
        <v>73</v>
      </c>
      <c r="L254">
        <f t="shared" si="24"/>
        <v>-2</v>
      </c>
      <c r="M254" t="str">
        <f t="shared" si="25"/>
        <v>Early</v>
      </c>
      <c r="N254">
        <v>19</v>
      </c>
      <c r="O254">
        <v>16</v>
      </c>
      <c r="P254">
        <f t="shared" si="26"/>
        <v>0.84210526315789469</v>
      </c>
      <c r="Q254">
        <v>63</v>
      </c>
      <c r="R254">
        <v>761.8</v>
      </c>
      <c r="S254">
        <v>55615</v>
      </c>
      <c r="T254" t="s">
        <v>38</v>
      </c>
      <c r="U254">
        <v>2</v>
      </c>
      <c r="V254">
        <v>5</v>
      </c>
      <c r="W254">
        <v>0</v>
      </c>
      <c r="X254">
        <v>0</v>
      </c>
      <c r="Y254">
        <v>3.68</v>
      </c>
      <c r="Z254">
        <v>4.8</v>
      </c>
      <c r="AA254">
        <v>0.92</v>
      </c>
      <c r="AB254">
        <f t="shared" si="27"/>
        <v>5</v>
      </c>
      <c r="AC254">
        <f t="shared" si="28"/>
        <v>4.6900000000000004</v>
      </c>
      <c r="AD254" t="str">
        <f t="shared" si="29"/>
        <v>⭐⭐⭐⭐⭐</v>
      </c>
      <c r="AE254" t="str">
        <f t="shared" si="30"/>
        <v>Suitable for urgent style handling</v>
      </c>
      <c r="AF254" t="str">
        <f t="shared" si="31"/>
        <v>Best for urgent/high priority orders</v>
      </c>
    </row>
    <row r="255" spans="1:32" ht="24" customHeight="1">
      <c r="A255" t="s">
        <v>562</v>
      </c>
      <c r="B255" t="s">
        <v>33</v>
      </c>
      <c r="C255" t="s">
        <v>34</v>
      </c>
      <c r="D255" t="s">
        <v>35</v>
      </c>
      <c r="E255" t="s">
        <v>563</v>
      </c>
      <c r="F255" t="s">
        <v>67</v>
      </c>
      <c r="G255">
        <v>51636</v>
      </c>
      <c r="H255">
        <v>45873</v>
      </c>
      <c r="I255">
        <v>45947</v>
      </c>
      <c r="J255">
        <v>65</v>
      </c>
      <c r="K255">
        <v>69</v>
      </c>
      <c r="L255">
        <f t="shared" si="24"/>
        <v>4</v>
      </c>
      <c r="M255" t="str">
        <f t="shared" si="25"/>
        <v>Delayed</v>
      </c>
      <c r="N255">
        <v>14</v>
      </c>
      <c r="O255">
        <v>10</v>
      </c>
      <c r="P255">
        <f t="shared" si="26"/>
        <v>0.7142857142857143</v>
      </c>
      <c r="Q255">
        <v>38</v>
      </c>
      <c r="R255">
        <v>748.3</v>
      </c>
      <c r="S255">
        <v>52636</v>
      </c>
      <c r="T255" t="s">
        <v>45</v>
      </c>
      <c r="U255">
        <v>2</v>
      </c>
      <c r="V255">
        <v>0</v>
      </c>
      <c r="W255">
        <v>0</v>
      </c>
      <c r="X255">
        <v>3</v>
      </c>
      <c r="Y255">
        <v>2.92</v>
      </c>
      <c r="Z255">
        <v>4.2</v>
      </c>
      <c r="AA255">
        <v>0.83</v>
      </c>
      <c r="AB255">
        <f t="shared" si="27"/>
        <v>5</v>
      </c>
      <c r="AC255">
        <f t="shared" si="28"/>
        <v>4.1500000000000004</v>
      </c>
      <c r="AD255" t="str">
        <f t="shared" si="29"/>
        <v>⭐⭐⭐⭐</v>
      </c>
      <c r="AE255" t="str">
        <f t="shared" si="30"/>
        <v>Increase daily output monitoring</v>
      </c>
      <c r="AF255" t="str">
        <f t="shared" si="31"/>
        <v>Recommended for medium-high orders</v>
      </c>
    </row>
    <row r="256" spans="1:32" ht="24" customHeight="1">
      <c r="A256" t="s">
        <v>564</v>
      </c>
      <c r="B256" t="s">
        <v>33</v>
      </c>
      <c r="C256" t="s">
        <v>34</v>
      </c>
      <c r="D256" t="s">
        <v>35</v>
      </c>
      <c r="E256" t="s">
        <v>565</v>
      </c>
      <c r="F256" t="s">
        <v>57</v>
      </c>
      <c r="G256">
        <v>6296</v>
      </c>
      <c r="H256">
        <v>45669</v>
      </c>
      <c r="I256">
        <v>45687</v>
      </c>
      <c r="J256">
        <v>18</v>
      </c>
      <c r="K256">
        <v>17</v>
      </c>
      <c r="L256">
        <f t="shared" si="24"/>
        <v>-1</v>
      </c>
      <c r="M256" t="str">
        <f t="shared" si="25"/>
        <v>Early</v>
      </c>
      <c r="N256">
        <v>16</v>
      </c>
      <c r="O256">
        <v>11</v>
      </c>
      <c r="P256">
        <f t="shared" si="26"/>
        <v>0.6875</v>
      </c>
      <c r="Q256">
        <v>48</v>
      </c>
      <c r="R256">
        <v>370.4</v>
      </c>
      <c r="S256">
        <v>8296</v>
      </c>
      <c r="T256" t="s">
        <v>45</v>
      </c>
      <c r="U256">
        <v>3</v>
      </c>
      <c r="V256">
        <v>4</v>
      </c>
      <c r="W256">
        <v>5</v>
      </c>
      <c r="X256">
        <v>2</v>
      </c>
      <c r="Y256">
        <v>2.95</v>
      </c>
      <c r="Z256">
        <v>4.2</v>
      </c>
      <c r="AA256">
        <v>0.83</v>
      </c>
      <c r="AB256">
        <f t="shared" si="27"/>
        <v>5</v>
      </c>
      <c r="AC256">
        <f t="shared" si="28"/>
        <v>4.28</v>
      </c>
      <c r="AD256" t="str">
        <f t="shared" si="29"/>
        <v>⭐⭐⭐⭐</v>
      </c>
      <c r="AE256" t="str">
        <f t="shared" si="30"/>
        <v>Maintain current resource allocation</v>
      </c>
      <c r="AF256" t="str">
        <f t="shared" si="31"/>
        <v>Recommended for medium-high orders</v>
      </c>
    </row>
    <row r="257" spans="1:32" ht="24" customHeight="1">
      <c r="A257" t="s">
        <v>566</v>
      </c>
      <c r="B257" t="s">
        <v>33</v>
      </c>
      <c r="C257" t="s">
        <v>34</v>
      </c>
      <c r="D257" t="s">
        <v>35</v>
      </c>
      <c r="E257" t="s">
        <v>567</v>
      </c>
      <c r="F257" t="s">
        <v>44</v>
      </c>
      <c r="G257">
        <v>8900</v>
      </c>
      <c r="H257">
        <v>45974</v>
      </c>
      <c r="I257">
        <v>45994</v>
      </c>
      <c r="J257">
        <v>18</v>
      </c>
      <c r="K257">
        <v>19</v>
      </c>
      <c r="L257">
        <f t="shared" si="24"/>
        <v>1</v>
      </c>
      <c r="M257" t="str">
        <f t="shared" si="25"/>
        <v>Delayed</v>
      </c>
      <c r="N257">
        <v>16</v>
      </c>
      <c r="O257">
        <v>12</v>
      </c>
      <c r="P257">
        <f t="shared" si="26"/>
        <v>0.75</v>
      </c>
      <c r="Q257">
        <v>36</v>
      </c>
      <c r="R257">
        <v>468.4</v>
      </c>
      <c r="S257">
        <v>8900</v>
      </c>
      <c r="T257" t="s">
        <v>45</v>
      </c>
      <c r="U257">
        <v>2</v>
      </c>
      <c r="V257">
        <v>6</v>
      </c>
      <c r="W257">
        <v>5</v>
      </c>
      <c r="X257">
        <v>5</v>
      </c>
      <c r="Y257">
        <v>3.23</v>
      </c>
      <c r="Z257">
        <v>4.2</v>
      </c>
      <c r="AA257">
        <v>0.83</v>
      </c>
      <c r="AB257">
        <f t="shared" si="27"/>
        <v>5</v>
      </c>
      <c r="AC257">
        <f t="shared" si="28"/>
        <v>4.18</v>
      </c>
      <c r="AD257" t="str">
        <f t="shared" si="29"/>
        <v>⭐⭐⭐⭐</v>
      </c>
      <c r="AE257" t="str">
        <f t="shared" si="30"/>
        <v>Increase machine maintenance support</v>
      </c>
      <c r="AF257" t="str">
        <f t="shared" si="31"/>
        <v>Recommended for medium-high orders</v>
      </c>
    </row>
    <row r="258" spans="1:32" ht="24" customHeight="1">
      <c r="A258" t="s">
        <v>568</v>
      </c>
      <c r="B258" t="s">
        <v>78</v>
      </c>
      <c r="C258" t="s">
        <v>79</v>
      </c>
      <c r="D258" t="s">
        <v>80</v>
      </c>
      <c r="E258" t="s">
        <v>569</v>
      </c>
      <c r="F258" t="s">
        <v>57</v>
      </c>
      <c r="G258">
        <v>8757</v>
      </c>
      <c r="H258">
        <v>45797</v>
      </c>
      <c r="I258">
        <v>45820</v>
      </c>
      <c r="J258">
        <v>19</v>
      </c>
      <c r="K258">
        <v>19</v>
      </c>
      <c r="L258">
        <f t="shared" ref="L258:L321" si="32">K258-J258</f>
        <v>0</v>
      </c>
      <c r="M258" t="str">
        <f t="shared" ref="M258:M321" si="33">IF(L258&gt;0,"Delayed",IF(L258&lt;0,"Early","On Time"))</f>
        <v>On Time</v>
      </c>
      <c r="N258">
        <v>15</v>
      </c>
      <c r="O258">
        <v>13</v>
      </c>
      <c r="P258">
        <f t="shared" ref="P258:P321" si="34">O258/N258</f>
        <v>0.8666666666666667</v>
      </c>
      <c r="Q258">
        <v>60</v>
      </c>
      <c r="R258">
        <v>460.9</v>
      </c>
      <c r="S258">
        <v>11757</v>
      </c>
      <c r="T258" t="s">
        <v>45</v>
      </c>
      <c r="U258">
        <v>3</v>
      </c>
      <c r="V258">
        <v>1</v>
      </c>
      <c r="W258">
        <v>2</v>
      </c>
      <c r="X258">
        <v>0</v>
      </c>
      <c r="Y258">
        <v>3.45</v>
      </c>
      <c r="Z258">
        <v>4.8</v>
      </c>
      <c r="AA258">
        <v>0.92</v>
      </c>
      <c r="AB258">
        <f t="shared" ref="AB258:AB321" si="35">MIN(5,MAX(1,(R258/MAX(1,Q258))*0.08 + (1-Y258/100)*2.2 + Z258*0.35 + AA258*2))</f>
        <v>5</v>
      </c>
      <c r="AC258">
        <f t="shared" ref="AC258:AC321" si="36">ROUND((0.3*Z258)+(0.25*(AA258*5))+(0.2*AB258)+(0.15*(P258*5))+(0.1*IF(M258="Delayed",3.2,IF(M258="On Time",4.3,4.7))),2)</f>
        <v>4.67</v>
      </c>
      <c r="AD258" t="str">
        <f t="shared" ref="AD258:AD321" si="37">IF(AC258&gt;=4.5,"⭐⭐⭐⭐⭐",IF(AC258&gt;=4,"⭐⭐⭐⭐",IF(AC258&gt;=3.5,"⭐⭐⭐",IF(AC258&gt;=3,"⭐⭐","⭐"))))</f>
        <v>⭐⭐⭐⭐⭐</v>
      </c>
      <c r="AE258" t="str">
        <f t="shared" ref="AE258:AE321" si="38">IF(M258="Delayed",IF(V258&gt;8,"Reduce risk days and add supervisor monitoring",IF(W258&gt;3,"Increase machine maintenance support",IF(X258&gt;3,"Improve workforce allocation","Increase daily output monitoring"))),IF(T258="Yes","Suitable for urgent style handling","Maintain current resource allocation"))</f>
        <v>Maintain current resource allocation</v>
      </c>
      <c r="AF258" t="str">
        <f t="shared" ref="AF258:AF321" si="39">IF(AC258&gt;=4.5,"Best for urgent/high priority orders",IF(AC258&gt;=4,"Recommended for medium-high orders",IF(AC258&gt;=3.5,"Use for normal priority orders","Use only with management support")))</f>
        <v>Best for urgent/high priority orders</v>
      </c>
    </row>
    <row r="259" spans="1:32" ht="24" customHeight="1">
      <c r="A259" t="s">
        <v>570</v>
      </c>
      <c r="B259" t="s">
        <v>40</v>
      </c>
      <c r="C259" t="s">
        <v>41</v>
      </c>
      <c r="D259" t="s">
        <v>42</v>
      </c>
      <c r="E259" t="s">
        <v>571</v>
      </c>
      <c r="F259" t="s">
        <v>67</v>
      </c>
      <c r="G259">
        <v>58480</v>
      </c>
      <c r="H259">
        <v>45737</v>
      </c>
      <c r="I259">
        <v>45807</v>
      </c>
      <c r="J259">
        <v>68</v>
      </c>
      <c r="K259">
        <v>68</v>
      </c>
      <c r="L259">
        <f t="shared" si="32"/>
        <v>0</v>
      </c>
      <c r="M259" t="str">
        <f t="shared" si="33"/>
        <v>On Time</v>
      </c>
      <c r="N259">
        <v>12</v>
      </c>
      <c r="O259">
        <v>9</v>
      </c>
      <c r="P259">
        <f t="shared" si="34"/>
        <v>0.75</v>
      </c>
      <c r="Q259">
        <v>49</v>
      </c>
      <c r="R259">
        <v>860</v>
      </c>
      <c r="S259">
        <v>61480</v>
      </c>
      <c r="T259" t="s">
        <v>45</v>
      </c>
      <c r="U259">
        <v>2</v>
      </c>
      <c r="V259">
        <v>4</v>
      </c>
      <c r="W259">
        <v>1</v>
      </c>
      <c r="X259">
        <v>1</v>
      </c>
      <c r="Y259">
        <v>3.61</v>
      </c>
      <c r="Z259">
        <v>4.3</v>
      </c>
      <c r="AA259">
        <v>0.85</v>
      </c>
      <c r="AB259">
        <f t="shared" si="35"/>
        <v>5</v>
      </c>
      <c r="AC259">
        <f t="shared" si="36"/>
        <v>4.3499999999999996</v>
      </c>
      <c r="AD259" t="str">
        <f t="shared" si="37"/>
        <v>⭐⭐⭐⭐</v>
      </c>
      <c r="AE259" t="str">
        <f t="shared" si="38"/>
        <v>Maintain current resource allocation</v>
      </c>
      <c r="AF259" t="str">
        <f t="shared" si="39"/>
        <v>Recommended for medium-high orders</v>
      </c>
    </row>
    <row r="260" spans="1:32" ht="24" customHeight="1">
      <c r="A260" t="s">
        <v>572</v>
      </c>
      <c r="B260" t="s">
        <v>78</v>
      </c>
      <c r="C260" t="s">
        <v>79</v>
      </c>
      <c r="D260" t="s">
        <v>80</v>
      </c>
      <c r="E260" t="s">
        <v>573</v>
      </c>
      <c r="F260" t="s">
        <v>67</v>
      </c>
      <c r="G260">
        <v>49396</v>
      </c>
      <c r="H260">
        <v>45881</v>
      </c>
      <c r="I260">
        <v>45952</v>
      </c>
      <c r="J260">
        <v>70</v>
      </c>
      <c r="K260">
        <v>68</v>
      </c>
      <c r="L260">
        <f t="shared" si="32"/>
        <v>-2</v>
      </c>
      <c r="M260" t="str">
        <f t="shared" si="33"/>
        <v>Early</v>
      </c>
      <c r="N260">
        <v>21</v>
      </c>
      <c r="O260">
        <v>19</v>
      </c>
      <c r="P260">
        <f t="shared" si="34"/>
        <v>0.90476190476190477</v>
      </c>
      <c r="Q260">
        <v>57</v>
      </c>
      <c r="R260">
        <v>726.4</v>
      </c>
      <c r="S260">
        <v>49396</v>
      </c>
      <c r="T260" t="s">
        <v>45</v>
      </c>
      <c r="U260">
        <v>2</v>
      </c>
      <c r="V260">
        <v>1</v>
      </c>
      <c r="W260">
        <v>0</v>
      </c>
      <c r="X260">
        <v>1</v>
      </c>
      <c r="Y260">
        <v>3.25</v>
      </c>
      <c r="Z260">
        <v>4.8</v>
      </c>
      <c r="AA260">
        <v>0.92</v>
      </c>
      <c r="AB260">
        <f t="shared" si="35"/>
        <v>5</v>
      </c>
      <c r="AC260">
        <f t="shared" si="36"/>
        <v>4.74</v>
      </c>
      <c r="AD260" t="str">
        <f t="shared" si="37"/>
        <v>⭐⭐⭐⭐⭐</v>
      </c>
      <c r="AE260" t="str">
        <f t="shared" si="38"/>
        <v>Maintain current resource allocation</v>
      </c>
      <c r="AF260" t="str">
        <f t="shared" si="39"/>
        <v>Best for urgent/high priority orders</v>
      </c>
    </row>
    <row r="261" spans="1:32" ht="24" customHeight="1">
      <c r="A261" t="s">
        <v>574</v>
      </c>
      <c r="B261" t="s">
        <v>53</v>
      </c>
      <c r="C261" t="s">
        <v>54</v>
      </c>
      <c r="D261" t="s">
        <v>55</v>
      </c>
      <c r="E261" t="s">
        <v>575</v>
      </c>
      <c r="F261" t="s">
        <v>57</v>
      </c>
      <c r="G261">
        <v>8614</v>
      </c>
      <c r="H261">
        <v>45806</v>
      </c>
      <c r="I261">
        <v>45826</v>
      </c>
      <c r="J261">
        <v>20</v>
      </c>
      <c r="K261">
        <v>20</v>
      </c>
      <c r="L261">
        <f t="shared" si="32"/>
        <v>0</v>
      </c>
      <c r="M261" t="str">
        <f t="shared" si="33"/>
        <v>On Time</v>
      </c>
      <c r="N261">
        <v>17</v>
      </c>
      <c r="O261">
        <v>13</v>
      </c>
      <c r="P261">
        <f t="shared" si="34"/>
        <v>0.76470588235294112</v>
      </c>
      <c r="Q261">
        <v>46</v>
      </c>
      <c r="R261">
        <v>430.7</v>
      </c>
      <c r="S261">
        <v>9614</v>
      </c>
      <c r="T261" t="s">
        <v>38</v>
      </c>
      <c r="U261">
        <v>1</v>
      </c>
      <c r="V261">
        <v>11</v>
      </c>
      <c r="W261">
        <v>0</v>
      </c>
      <c r="X261">
        <v>1</v>
      </c>
      <c r="Y261">
        <v>2.6</v>
      </c>
      <c r="Z261">
        <v>4.5</v>
      </c>
      <c r="AA261">
        <v>0.88</v>
      </c>
      <c r="AB261">
        <f t="shared" si="35"/>
        <v>5</v>
      </c>
      <c r="AC261">
        <f t="shared" si="36"/>
        <v>4.45</v>
      </c>
      <c r="AD261" t="str">
        <f t="shared" si="37"/>
        <v>⭐⭐⭐⭐</v>
      </c>
      <c r="AE261" t="str">
        <f t="shared" si="38"/>
        <v>Suitable for urgent style handling</v>
      </c>
      <c r="AF261" t="str">
        <f t="shared" si="39"/>
        <v>Recommended for medium-high orders</v>
      </c>
    </row>
    <row r="262" spans="1:32" ht="24" customHeight="1">
      <c r="A262" t="s">
        <v>576</v>
      </c>
      <c r="B262" t="s">
        <v>33</v>
      </c>
      <c r="C262" t="s">
        <v>34</v>
      </c>
      <c r="D262" t="s">
        <v>35</v>
      </c>
      <c r="E262" t="s">
        <v>577</v>
      </c>
      <c r="F262" t="s">
        <v>57</v>
      </c>
      <c r="G262">
        <v>16476</v>
      </c>
      <c r="H262">
        <v>45873</v>
      </c>
      <c r="I262">
        <v>45919</v>
      </c>
      <c r="J262">
        <v>39</v>
      </c>
      <c r="K262">
        <v>44</v>
      </c>
      <c r="L262">
        <f t="shared" si="32"/>
        <v>5</v>
      </c>
      <c r="M262" t="str">
        <f t="shared" si="33"/>
        <v>Delayed</v>
      </c>
      <c r="N262">
        <v>17</v>
      </c>
      <c r="O262">
        <v>13</v>
      </c>
      <c r="P262">
        <f t="shared" si="34"/>
        <v>0.76470588235294112</v>
      </c>
      <c r="Q262">
        <v>41</v>
      </c>
      <c r="R262">
        <v>374.5</v>
      </c>
      <c r="S262">
        <v>16476</v>
      </c>
      <c r="T262" t="s">
        <v>38</v>
      </c>
      <c r="U262">
        <v>1</v>
      </c>
      <c r="V262">
        <v>7</v>
      </c>
      <c r="W262">
        <v>3</v>
      </c>
      <c r="X262">
        <v>3</v>
      </c>
      <c r="Y262">
        <v>3.51</v>
      </c>
      <c r="Z262">
        <v>4.2</v>
      </c>
      <c r="AA262">
        <v>0.83</v>
      </c>
      <c r="AB262">
        <f t="shared" si="35"/>
        <v>5</v>
      </c>
      <c r="AC262">
        <f t="shared" si="36"/>
        <v>4.1900000000000004</v>
      </c>
      <c r="AD262" t="str">
        <f t="shared" si="37"/>
        <v>⭐⭐⭐⭐</v>
      </c>
      <c r="AE262" t="str">
        <f t="shared" si="38"/>
        <v>Increase daily output monitoring</v>
      </c>
      <c r="AF262" t="str">
        <f t="shared" si="39"/>
        <v>Recommended for medium-high orders</v>
      </c>
    </row>
    <row r="263" spans="1:32" ht="24" customHeight="1">
      <c r="A263" t="s">
        <v>578</v>
      </c>
      <c r="B263" t="s">
        <v>61</v>
      </c>
      <c r="C263" t="s">
        <v>62</v>
      </c>
      <c r="D263" t="s">
        <v>63</v>
      </c>
      <c r="E263" t="s">
        <v>579</v>
      </c>
      <c r="F263" t="s">
        <v>57</v>
      </c>
      <c r="G263">
        <v>12597</v>
      </c>
      <c r="H263">
        <v>45853</v>
      </c>
      <c r="I263">
        <v>45885</v>
      </c>
      <c r="J263">
        <v>25</v>
      </c>
      <c r="K263">
        <v>32</v>
      </c>
      <c r="L263">
        <f t="shared" si="32"/>
        <v>7</v>
      </c>
      <c r="M263" t="str">
        <f t="shared" si="33"/>
        <v>Delayed</v>
      </c>
      <c r="N263">
        <v>10</v>
      </c>
      <c r="O263">
        <v>7</v>
      </c>
      <c r="P263">
        <f t="shared" si="34"/>
        <v>0.7</v>
      </c>
      <c r="Q263">
        <v>35</v>
      </c>
      <c r="R263">
        <v>393.7</v>
      </c>
      <c r="S263">
        <v>13597</v>
      </c>
      <c r="T263" t="s">
        <v>45</v>
      </c>
      <c r="U263">
        <v>2</v>
      </c>
      <c r="V263">
        <v>7</v>
      </c>
      <c r="W263">
        <v>5</v>
      </c>
      <c r="X263">
        <v>0</v>
      </c>
      <c r="Y263">
        <v>3.57</v>
      </c>
      <c r="Z263">
        <v>4</v>
      </c>
      <c r="AA263">
        <v>0.8</v>
      </c>
      <c r="AB263">
        <f t="shared" si="35"/>
        <v>5</v>
      </c>
      <c r="AC263">
        <f t="shared" si="36"/>
        <v>4.05</v>
      </c>
      <c r="AD263" t="str">
        <f t="shared" si="37"/>
        <v>⭐⭐⭐⭐</v>
      </c>
      <c r="AE263" t="str">
        <f t="shared" si="38"/>
        <v>Increase machine maintenance support</v>
      </c>
      <c r="AF263" t="str">
        <f t="shared" si="39"/>
        <v>Recommended for medium-high orders</v>
      </c>
    </row>
    <row r="264" spans="1:32" ht="24" customHeight="1">
      <c r="A264" t="s">
        <v>580</v>
      </c>
      <c r="B264" t="s">
        <v>78</v>
      </c>
      <c r="C264" t="s">
        <v>79</v>
      </c>
      <c r="D264" t="s">
        <v>80</v>
      </c>
      <c r="E264" t="s">
        <v>581</v>
      </c>
      <c r="F264" t="s">
        <v>67</v>
      </c>
      <c r="G264">
        <v>54514</v>
      </c>
      <c r="H264">
        <v>45939</v>
      </c>
      <c r="I264">
        <v>46002</v>
      </c>
      <c r="J264">
        <v>62</v>
      </c>
      <c r="K264">
        <v>59</v>
      </c>
      <c r="L264">
        <f t="shared" si="32"/>
        <v>-3</v>
      </c>
      <c r="M264" t="str">
        <f t="shared" si="33"/>
        <v>Early</v>
      </c>
      <c r="N264">
        <v>18</v>
      </c>
      <c r="O264">
        <v>15</v>
      </c>
      <c r="P264">
        <f t="shared" si="34"/>
        <v>0.83333333333333337</v>
      </c>
      <c r="Q264">
        <v>59</v>
      </c>
      <c r="R264">
        <v>924</v>
      </c>
      <c r="S264">
        <v>56514</v>
      </c>
      <c r="T264" t="s">
        <v>45</v>
      </c>
      <c r="U264">
        <v>1</v>
      </c>
      <c r="V264">
        <v>6</v>
      </c>
      <c r="W264">
        <v>2</v>
      </c>
      <c r="X264">
        <v>1</v>
      </c>
      <c r="Y264">
        <v>2.81</v>
      </c>
      <c r="Z264">
        <v>4.8</v>
      </c>
      <c r="AA264">
        <v>0.92</v>
      </c>
      <c r="AB264">
        <f t="shared" si="35"/>
        <v>5</v>
      </c>
      <c r="AC264">
        <f t="shared" si="36"/>
        <v>4.6900000000000004</v>
      </c>
      <c r="AD264" t="str">
        <f t="shared" si="37"/>
        <v>⭐⭐⭐⭐⭐</v>
      </c>
      <c r="AE264" t="str">
        <f t="shared" si="38"/>
        <v>Maintain current resource allocation</v>
      </c>
      <c r="AF264" t="str">
        <f t="shared" si="39"/>
        <v>Best for urgent/high priority orders</v>
      </c>
    </row>
    <row r="265" spans="1:32" ht="24" customHeight="1">
      <c r="A265" t="s">
        <v>582</v>
      </c>
      <c r="B265" t="s">
        <v>78</v>
      </c>
      <c r="C265" t="s">
        <v>79</v>
      </c>
      <c r="D265" t="s">
        <v>80</v>
      </c>
      <c r="E265" t="s">
        <v>583</v>
      </c>
      <c r="F265" t="s">
        <v>57</v>
      </c>
      <c r="G265">
        <v>8255</v>
      </c>
      <c r="H265">
        <v>45860</v>
      </c>
      <c r="I265">
        <v>45885</v>
      </c>
      <c r="J265">
        <v>21</v>
      </c>
      <c r="K265">
        <v>24</v>
      </c>
      <c r="L265">
        <f t="shared" si="32"/>
        <v>3</v>
      </c>
      <c r="M265" t="str">
        <f t="shared" si="33"/>
        <v>Delayed</v>
      </c>
      <c r="N265">
        <v>20</v>
      </c>
      <c r="O265">
        <v>15</v>
      </c>
      <c r="P265">
        <f t="shared" si="34"/>
        <v>0.75</v>
      </c>
      <c r="Q265">
        <v>58</v>
      </c>
      <c r="R265">
        <v>344</v>
      </c>
      <c r="S265">
        <v>12255</v>
      </c>
      <c r="T265" t="s">
        <v>45</v>
      </c>
      <c r="U265">
        <v>0</v>
      </c>
      <c r="V265">
        <v>2</v>
      </c>
      <c r="W265">
        <v>2</v>
      </c>
      <c r="X265">
        <v>0</v>
      </c>
      <c r="Y265">
        <v>3.32</v>
      </c>
      <c r="Z265">
        <v>4.8</v>
      </c>
      <c r="AA265">
        <v>0.92</v>
      </c>
      <c r="AB265">
        <f t="shared" si="35"/>
        <v>5</v>
      </c>
      <c r="AC265">
        <f t="shared" si="36"/>
        <v>4.47</v>
      </c>
      <c r="AD265" t="str">
        <f t="shared" si="37"/>
        <v>⭐⭐⭐⭐</v>
      </c>
      <c r="AE265" t="str">
        <f t="shared" si="38"/>
        <v>Increase daily output monitoring</v>
      </c>
      <c r="AF265" t="str">
        <f t="shared" si="39"/>
        <v>Recommended for medium-high orders</v>
      </c>
    </row>
    <row r="266" spans="1:32" ht="24" customHeight="1">
      <c r="A266" t="s">
        <v>584</v>
      </c>
      <c r="B266" t="s">
        <v>78</v>
      </c>
      <c r="C266" t="s">
        <v>79</v>
      </c>
      <c r="D266" t="s">
        <v>80</v>
      </c>
      <c r="E266" t="s">
        <v>585</v>
      </c>
      <c r="F266" t="s">
        <v>37</v>
      </c>
      <c r="G266">
        <v>25573</v>
      </c>
      <c r="H266">
        <v>45943</v>
      </c>
      <c r="I266">
        <v>45992</v>
      </c>
      <c r="J266">
        <v>42</v>
      </c>
      <c r="K266">
        <v>44</v>
      </c>
      <c r="L266">
        <f t="shared" si="32"/>
        <v>2</v>
      </c>
      <c r="M266" t="str">
        <f t="shared" si="33"/>
        <v>Delayed</v>
      </c>
      <c r="N266">
        <v>15</v>
      </c>
      <c r="O266">
        <v>12</v>
      </c>
      <c r="P266">
        <f t="shared" si="34"/>
        <v>0.8</v>
      </c>
      <c r="Q266">
        <v>54</v>
      </c>
      <c r="R266">
        <v>581.20000000000005</v>
      </c>
      <c r="S266">
        <v>29573</v>
      </c>
      <c r="T266" t="s">
        <v>45</v>
      </c>
      <c r="U266">
        <v>0</v>
      </c>
      <c r="V266">
        <v>4</v>
      </c>
      <c r="W266">
        <v>2</v>
      </c>
      <c r="X266">
        <v>3</v>
      </c>
      <c r="Y266">
        <v>3.13</v>
      </c>
      <c r="Z266">
        <v>4.8</v>
      </c>
      <c r="AA266">
        <v>0.92</v>
      </c>
      <c r="AB266">
        <f t="shared" si="35"/>
        <v>5</v>
      </c>
      <c r="AC266">
        <f t="shared" si="36"/>
        <v>4.51</v>
      </c>
      <c r="AD266" t="str">
        <f t="shared" si="37"/>
        <v>⭐⭐⭐⭐⭐</v>
      </c>
      <c r="AE266" t="str">
        <f t="shared" si="38"/>
        <v>Increase daily output monitoring</v>
      </c>
      <c r="AF266" t="str">
        <f t="shared" si="39"/>
        <v>Best for urgent/high priority orders</v>
      </c>
    </row>
    <row r="267" spans="1:32" ht="24" customHeight="1">
      <c r="A267" t="s">
        <v>586</v>
      </c>
      <c r="B267" t="s">
        <v>61</v>
      </c>
      <c r="C267" t="s">
        <v>62</v>
      </c>
      <c r="D267" t="s">
        <v>63</v>
      </c>
      <c r="E267" t="s">
        <v>587</v>
      </c>
      <c r="F267" t="s">
        <v>57</v>
      </c>
      <c r="G267">
        <v>5349</v>
      </c>
      <c r="H267">
        <v>45936</v>
      </c>
      <c r="I267">
        <v>45971</v>
      </c>
      <c r="J267">
        <v>27</v>
      </c>
      <c r="K267">
        <v>33</v>
      </c>
      <c r="L267">
        <f t="shared" si="32"/>
        <v>6</v>
      </c>
      <c r="M267" t="str">
        <f t="shared" si="33"/>
        <v>Delayed</v>
      </c>
      <c r="N267">
        <v>13</v>
      </c>
      <c r="O267">
        <v>9</v>
      </c>
      <c r="P267">
        <f t="shared" si="34"/>
        <v>0.69230769230769229</v>
      </c>
      <c r="Q267">
        <v>45</v>
      </c>
      <c r="R267">
        <v>162.1</v>
      </c>
      <c r="S267">
        <v>6349</v>
      </c>
      <c r="T267" t="s">
        <v>45</v>
      </c>
      <c r="U267">
        <v>1</v>
      </c>
      <c r="V267">
        <v>8</v>
      </c>
      <c r="W267">
        <v>3</v>
      </c>
      <c r="X267">
        <v>1</v>
      </c>
      <c r="Y267">
        <v>3.47</v>
      </c>
      <c r="Z267">
        <v>4</v>
      </c>
      <c r="AA267">
        <v>0.8</v>
      </c>
      <c r="AB267">
        <f t="shared" si="35"/>
        <v>5</v>
      </c>
      <c r="AC267">
        <f t="shared" si="36"/>
        <v>4.04</v>
      </c>
      <c r="AD267" t="str">
        <f t="shared" si="37"/>
        <v>⭐⭐⭐⭐</v>
      </c>
      <c r="AE267" t="str">
        <f t="shared" si="38"/>
        <v>Increase daily output monitoring</v>
      </c>
      <c r="AF267" t="str">
        <f t="shared" si="39"/>
        <v>Recommended for medium-high orders</v>
      </c>
    </row>
    <row r="268" spans="1:32" ht="24" customHeight="1">
      <c r="A268" t="s">
        <v>588</v>
      </c>
      <c r="B268" t="s">
        <v>53</v>
      </c>
      <c r="C268" t="s">
        <v>54</v>
      </c>
      <c r="D268" t="s">
        <v>55</v>
      </c>
      <c r="E268" t="s">
        <v>589</v>
      </c>
      <c r="F268" t="s">
        <v>57</v>
      </c>
      <c r="G268">
        <v>19215</v>
      </c>
      <c r="H268">
        <v>45822</v>
      </c>
      <c r="I268">
        <v>45868</v>
      </c>
      <c r="J268">
        <v>41</v>
      </c>
      <c r="K268">
        <v>41</v>
      </c>
      <c r="L268">
        <f t="shared" si="32"/>
        <v>0</v>
      </c>
      <c r="M268" t="str">
        <f t="shared" si="33"/>
        <v>On Time</v>
      </c>
      <c r="N268">
        <v>19</v>
      </c>
      <c r="O268">
        <v>16</v>
      </c>
      <c r="P268">
        <f t="shared" si="34"/>
        <v>0.84210526315789469</v>
      </c>
      <c r="Q268">
        <v>44</v>
      </c>
      <c r="R268">
        <v>468.7</v>
      </c>
      <c r="S268">
        <v>23215</v>
      </c>
      <c r="T268" t="s">
        <v>38</v>
      </c>
      <c r="U268">
        <v>6</v>
      </c>
      <c r="V268">
        <v>3</v>
      </c>
      <c r="W268">
        <v>2</v>
      </c>
      <c r="X268">
        <v>0</v>
      </c>
      <c r="Y268">
        <v>2.64</v>
      </c>
      <c r="Z268">
        <v>4.5</v>
      </c>
      <c r="AA268">
        <v>0.88</v>
      </c>
      <c r="AB268">
        <f t="shared" si="35"/>
        <v>5</v>
      </c>
      <c r="AC268">
        <f t="shared" si="36"/>
        <v>4.51</v>
      </c>
      <c r="AD268" t="str">
        <f t="shared" si="37"/>
        <v>⭐⭐⭐⭐⭐</v>
      </c>
      <c r="AE268" t="str">
        <f t="shared" si="38"/>
        <v>Suitable for urgent style handling</v>
      </c>
      <c r="AF268" t="str">
        <f t="shared" si="39"/>
        <v>Best for urgent/high priority orders</v>
      </c>
    </row>
    <row r="269" spans="1:32" ht="24" customHeight="1">
      <c r="A269" t="s">
        <v>590</v>
      </c>
      <c r="B269" t="s">
        <v>78</v>
      </c>
      <c r="C269" t="s">
        <v>79</v>
      </c>
      <c r="D269" t="s">
        <v>80</v>
      </c>
      <c r="E269" t="s">
        <v>591</v>
      </c>
      <c r="F269" t="s">
        <v>57</v>
      </c>
      <c r="G269">
        <v>13586</v>
      </c>
      <c r="H269">
        <v>45749</v>
      </c>
      <c r="I269">
        <v>45786</v>
      </c>
      <c r="J269">
        <v>39</v>
      </c>
      <c r="K269">
        <v>37</v>
      </c>
      <c r="L269">
        <f t="shared" si="32"/>
        <v>-2</v>
      </c>
      <c r="M269" t="str">
        <f t="shared" si="33"/>
        <v>Early</v>
      </c>
      <c r="N269">
        <v>16</v>
      </c>
      <c r="O269">
        <v>14</v>
      </c>
      <c r="P269">
        <f t="shared" si="34"/>
        <v>0.875</v>
      </c>
      <c r="Q269">
        <v>52</v>
      </c>
      <c r="R269">
        <v>367.2</v>
      </c>
      <c r="S269">
        <v>13586</v>
      </c>
      <c r="T269" t="s">
        <v>45</v>
      </c>
      <c r="U269">
        <v>1</v>
      </c>
      <c r="V269">
        <v>5</v>
      </c>
      <c r="W269">
        <v>2</v>
      </c>
      <c r="X269">
        <v>2</v>
      </c>
      <c r="Y269">
        <v>3.11</v>
      </c>
      <c r="Z269">
        <v>4.8</v>
      </c>
      <c r="AA269">
        <v>0.92</v>
      </c>
      <c r="AB269">
        <f t="shared" si="35"/>
        <v>5</v>
      </c>
      <c r="AC269">
        <f t="shared" si="36"/>
        <v>4.72</v>
      </c>
      <c r="AD269" t="str">
        <f t="shared" si="37"/>
        <v>⭐⭐⭐⭐⭐</v>
      </c>
      <c r="AE269" t="str">
        <f t="shared" si="38"/>
        <v>Maintain current resource allocation</v>
      </c>
      <c r="AF269" t="str">
        <f t="shared" si="39"/>
        <v>Best for urgent/high priority orders</v>
      </c>
    </row>
    <row r="270" spans="1:32" ht="24" customHeight="1">
      <c r="A270" t="s">
        <v>592</v>
      </c>
      <c r="B270" t="s">
        <v>78</v>
      </c>
      <c r="C270" t="s">
        <v>79</v>
      </c>
      <c r="D270" t="s">
        <v>80</v>
      </c>
      <c r="E270" t="s">
        <v>593</v>
      </c>
      <c r="F270" t="s">
        <v>57</v>
      </c>
      <c r="G270">
        <v>6617</v>
      </c>
      <c r="H270">
        <v>45909</v>
      </c>
      <c r="I270">
        <v>45924</v>
      </c>
      <c r="J270">
        <v>16</v>
      </c>
      <c r="K270">
        <v>15</v>
      </c>
      <c r="L270">
        <f t="shared" si="32"/>
        <v>-1</v>
      </c>
      <c r="M270" t="str">
        <f t="shared" si="33"/>
        <v>Early</v>
      </c>
      <c r="N270">
        <v>19</v>
      </c>
      <c r="O270">
        <v>15</v>
      </c>
      <c r="P270">
        <f t="shared" si="34"/>
        <v>0.78947368421052633</v>
      </c>
      <c r="Q270">
        <v>57</v>
      </c>
      <c r="R270">
        <v>441.1</v>
      </c>
      <c r="S270">
        <v>10617</v>
      </c>
      <c r="T270" t="s">
        <v>45</v>
      </c>
      <c r="U270">
        <v>0</v>
      </c>
      <c r="V270">
        <v>5</v>
      </c>
      <c r="W270">
        <v>0</v>
      </c>
      <c r="X270">
        <v>0</v>
      </c>
      <c r="Y270">
        <v>3.91</v>
      </c>
      <c r="Z270">
        <v>4.8</v>
      </c>
      <c r="AA270">
        <v>0.92</v>
      </c>
      <c r="AB270">
        <f t="shared" si="35"/>
        <v>5</v>
      </c>
      <c r="AC270">
        <f t="shared" si="36"/>
        <v>4.6500000000000004</v>
      </c>
      <c r="AD270" t="str">
        <f t="shared" si="37"/>
        <v>⭐⭐⭐⭐⭐</v>
      </c>
      <c r="AE270" t="str">
        <f t="shared" si="38"/>
        <v>Maintain current resource allocation</v>
      </c>
      <c r="AF270" t="str">
        <f t="shared" si="39"/>
        <v>Best for urgent/high priority orders</v>
      </c>
    </row>
    <row r="271" spans="1:32" ht="24" customHeight="1">
      <c r="A271" t="s">
        <v>594</v>
      </c>
      <c r="B271" t="s">
        <v>40</v>
      </c>
      <c r="C271" t="s">
        <v>41</v>
      </c>
      <c r="D271" t="s">
        <v>42</v>
      </c>
      <c r="E271" t="s">
        <v>595</v>
      </c>
      <c r="F271" t="s">
        <v>37</v>
      </c>
      <c r="G271">
        <v>28285</v>
      </c>
      <c r="H271">
        <v>45709</v>
      </c>
      <c r="I271">
        <v>45764</v>
      </c>
      <c r="J271">
        <v>51</v>
      </c>
      <c r="K271">
        <v>50</v>
      </c>
      <c r="L271">
        <f t="shared" si="32"/>
        <v>-1</v>
      </c>
      <c r="M271" t="str">
        <f t="shared" si="33"/>
        <v>Early</v>
      </c>
      <c r="N271">
        <v>12</v>
      </c>
      <c r="O271">
        <v>10</v>
      </c>
      <c r="P271">
        <f t="shared" si="34"/>
        <v>0.83333333333333337</v>
      </c>
      <c r="Q271">
        <v>40</v>
      </c>
      <c r="R271">
        <v>565.70000000000005</v>
      </c>
      <c r="S271">
        <v>29285</v>
      </c>
      <c r="T271" t="s">
        <v>45</v>
      </c>
      <c r="U271">
        <v>0</v>
      </c>
      <c r="V271">
        <v>5</v>
      </c>
      <c r="W271">
        <v>2</v>
      </c>
      <c r="X271">
        <v>2</v>
      </c>
      <c r="Y271">
        <v>2.78</v>
      </c>
      <c r="Z271">
        <v>4.3</v>
      </c>
      <c r="AA271">
        <v>0.85</v>
      </c>
      <c r="AB271">
        <f t="shared" si="35"/>
        <v>5</v>
      </c>
      <c r="AC271">
        <f t="shared" si="36"/>
        <v>4.45</v>
      </c>
      <c r="AD271" t="str">
        <f t="shared" si="37"/>
        <v>⭐⭐⭐⭐</v>
      </c>
      <c r="AE271" t="str">
        <f t="shared" si="38"/>
        <v>Maintain current resource allocation</v>
      </c>
      <c r="AF271" t="str">
        <f t="shared" si="39"/>
        <v>Recommended for medium-high orders</v>
      </c>
    </row>
    <row r="272" spans="1:32" ht="24" customHeight="1">
      <c r="A272" t="s">
        <v>596</v>
      </c>
      <c r="B272" t="s">
        <v>53</v>
      </c>
      <c r="C272" t="s">
        <v>54</v>
      </c>
      <c r="D272" t="s">
        <v>55</v>
      </c>
      <c r="E272" t="s">
        <v>597</v>
      </c>
      <c r="F272" t="s">
        <v>57</v>
      </c>
      <c r="G272">
        <v>8164</v>
      </c>
      <c r="H272">
        <v>45711</v>
      </c>
      <c r="I272">
        <v>45736</v>
      </c>
      <c r="J272">
        <v>24</v>
      </c>
      <c r="K272">
        <v>24</v>
      </c>
      <c r="L272">
        <f t="shared" si="32"/>
        <v>0</v>
      </c>
      <c r="M272" t="str">
        <f t="shared" si="33"/>
        <v>On Time</v>
      </c>
      <c r="N272">
        <v>14</v>
      </c>
      <c r="O272">
        <v>12</v>
      </c>
      <c r="P272">
        <f t="shared" si="34"/>
        <v>0.8571428571428571</v>
      </c>
      <c r="Q272">
        <v>62</v>
      </c>
      <c r="R272">
        <v>340.2</v>
      </c>
      <c r="S272">
        <v>10164</v>
      </c>
      <c r="T272" t="s">
        <v>45</v>
      </c>
      <c r="U272">
        <v>3</v>
      </c>
      <c r="V272">
        <v>0</v>
      </c>
      <c r="W272">
        <v>0</v>
      </c>
      <c r="X272">
        <v>0</v>
      </c>
      <c r="Y272">
        <v>2.91</v>
      </c>
      <c r="Z272">
        <v>4.5</v>
      </c>
      <c r="AA272">
        <v>0.88</v>
      </c>
      <c r="AB272">
        <f t="shared" si="35"/>
        <v>5</v>
      </c>
      <c r="AC272">
        <f t="shared" si="36"/>
        <v>4.5199999999999996</v>
      </c>
      <c r="AD272" t="str">
        <f t="shared" si="37"/>
        <v>⭐⭐⭐⭐⭐</v>
      </c>
      <c r="AE272" t="str">
        <f t="shared" si="38"/>
        <v>Maintain current resource allocation</v>
      </c>
      <c r="AF272" t="str">
        <f t="shared" si="39"/>
        <v>Best for urgent/high priority orders</v>
      </c>
    </row>
    <row r="273" spans="1:32" ht="24" customHeight="1">
      <c r="A273" t="s">
        <v>598</v>
      </c>
      <c r="B273" t="s">
        <v>61</v>
      </c>
      <c r="C273" t="s">
        <v>62</v>
      </c>
      <c r="D273" t="s">
        <v>63</v>
      </c>
      <c r="E273" t="s">
        <v>599</v>
      </c>
      <c r="F273" t="s">
        <v>57</v>
      </c>
      <c r="G273">
        <v>10529</v>
      </c>
      <c r="H273">
        <v>45969</v>
      </c>
      <c r="I273">
        <v>46004</v>
      </c>
      <c r="J273">
        <v>29</v>
      </c>
      <c r="K273">
        <v>34</v>
      </c>
      <c r="L273">
        <f t="shared" si="32"/>
        <v>5</v>
      </c>
      <c r="M273" t="str">
        <f t="shared" si="33"/>
        <v>Delayed</v>
      </c>
      <c r="N273">
        <v>14</v>
      </c>
      <c r="O273">
        <v>11</v>
      </c>
      <c r="P273">
        <f t="shared" si="34"/>
        <v>0.7857142857142857</v>
      </c>
      <c r="Q273">
        <v>43</v>
      </c>
      <c r="R273">
        <v>309.7</v>
      </c>
      <c r="S273">
        <v>13529</v>
      </c>
      <c r="T273" t="s">
        <v>45</v>
      </c>
      <c r="U273">
        <v>2</v>
      </c>
      <c r="V273">
        <v>3</v>
      </c>
      <c r="W273">
        <v>0</v>
      </c>
      <c r="X273">
        <v>0</v>
      </c>
      <c r="Y273">
        <v>2.97</v>
      </c>
      <c r="Z273">
        <v>4</v>
      </c>
      <c r="AA273">
        <v>0.8</v>
      </c>
      <c r="AB273">
        <f t="shared" si="35"/>
        <v>5</v>
      </c>
      <c r="AC273">
        <f t="shared" si="36"/>
        <v>4.1100000000000003</v>
      </c>
      <c r="AD273" t="str">
        <f t="shared" si="37"/>
        <v>⭐⭐⭐⭐</v>
      </c>
      <c r="AE273" t="str">
        <f t="shared" si="38"/>
        <v>Increase daily output monitoring</v>
      </c>
      <c r="AF273" t="str">
        <f t="shared" si="39"/>
        <v>Recommended for medium-high orders</v>
      </c>
    </row>
    <row r="274" spans="1:32" ht="24" customHeight="1">
      <c r="A274" t="s">
        <v>600</v>
      </c>
      <c r="B274" t="s">
        <v>40</v>
      </c>
      <c r="C274" t="s">
        <v>41</v>
      </c>
      <c r="D274" t="s">
        <v>42</v>
      </c>
      <c r="E274" t="s">
        <v>601</v>
      </c>
      <c r="F274" t="s">
        <v>67</v>
      </c>
      <c r="G274">
        <v>58030</v>
      </c>
      <c r="H274">
        <v>45767</v>
      </c>
      <c r="I274">
        <v>45834</v>
      </c>
      <c r="J274">
        <v>63</v>
      </c>
      <c r="K274">
        <v>65</v>
      </c>
      <c r="L274">
        <f t="shared" si="32"/>
        <v>2</v>
      </c>
      <c r="M274" t="str">
        <f t="shared" si="33"/>
        <v>Delayed</v>
      </c>
      <c r="N274">
        <v>15</v>
      </c>
      <c r="O274">
        <v>12</v>
      </c>
      <c r="P274">
        <f t="shared" si="34"/>
        <v>0.8</v>
      </c>
      <c r="Q274">
        <v>54</v>
      </c>
      <c r="R274">
        <v>892.8</v>
      </c>
      <c r="S274">
        <v>59030</v>
      </c>
      <c r="T274" t="s">
        <v>45</v>
      </c>
      <c r="U274">
        <v>2</v>
      </c>
      <c r="V274">
        <v>0</v>
      </c>
      <c r="W274">
        <v>3</v>
      </c>
      <c r="X274">
        <v>3</v>
      </c>
      <c r="Y274">
        <v>4.45</v>
      </c>
      <c r="Z274">
        <v>4.3</v>
      </c>
      <c r="AA274">
        <v>0.85</v>
      </c>
      <c r="AB274">
        <f t="shared" si="35"/>
        <v>5</v>
      </c>
      <c r="AC274">
        <f t="shared" si="36"/>
        <v>4.2699999999999996</v>
      </c>
      <c r="AD274" t="str">
        <f t="shared" si="37"/>
        <v>⭐⭐⭐⭐</v>
      </c>
      <c r="AE274" t="str">
        <f t="shared" si="38"/>
        <v>Increase daily output monitoring</v>
      </c>
      <c r="AF274" t="str">
        <f t="shared" si="39"/>
        <v>Recommended for medium-high orders</v>
      </c>
    </row>
    <row r="275" spans="1:32" ht="24" customHeight="1">
      <c r="A275" t="s">
        <v>602</v>
      </c>
      <c r="B275" t="s">
        <v>78</v>
      </c>
      <c r="C275" t="s">
        <v>79</v>
      </c>
      <c r="D275" t="s">
        <v>80</v>
      </c>
      <c r="E275" t="s">
        <v>603</v>
      </c>
      <c r="F275" t="s">
        <v>44</v>
      </c>
      <c r="G275">
        <v>7069</v>
      </c>
      <c r="H275">
        <v>45697</v>
      </c>
      <c r="I275">
        <v>45722</v>
      </c>
      <c r="J275">
        <v>17</v>
      </c>
      <c r="K275">
        <v>20</v>
      </c>
      <c r="L275">
        <f t="shared" si="32"/>
        <v>3</v>
      </c>
      <c r="M275" t="str">
        <f t="shared" si="33"/>
        <v>Delayed</v>
      </c>
      <c r="N275">
        <v>19</v>
      </c>
      <c r="O275">
        <v>15</v>
      </c>
      <c r="P275">
        <f t="shared" si="34"/>
        <v>0.78947368421052633</v>
      </c>
      <c r="Q275">
        <v>62</v>
      </c>
      <c r="R275">
        <v>353.4</v>
      </c>
      <c r="S275">
        <v>11069</v>
      </c>
      <c r="T275" t="s">
        <v>38</v>
      </c>
      <c r="U275">
        <v>1</v>
      </c>
      <c r="V275">
        <v>6</v>
      </c>
      <c r="W275">
        <v>2</v>
      </c>
      <c r="X275">
        <v>2</v>
      </c>
      <c r="Y275">
        <v>2.68</v>
      </c>
      <c r="Z275">
        <v>4.8</v>
      </c>
      <c r="AA275">
        <v>0.92</v>
      </c>
      <c r="AB275">
        <f t="shared" si="35"/>
        <v>5</v>
      </c>
      <c r="AC275">
        <f t="shared" si="36"/>
        <v>4.5</v>
      </c>
      <c r="AD275" t="str">
        <f t="shared" si="37"/>
        <v>⭐⭐⭐⭐⭐</v>
      </c>
      <c r="AE275" t="str">
        <f t="shared" si="38"/>
        <v>Increase daily output monitoring</v>
      </c>
      <c r="AF275" t="str">
        <f t="shared" si="39"/>
        <v>Best for urgent/high priority orders</v>
      </c>
    </row>
    <row r="276" spans="1:32" ht="24" customHeight="1">
      <c r="A276" t="s">
        <v>604</v>
      </c>
      <c r="B276" t="s">
        <v>53</v>
      </c>
      <c r="C276" t="s">
        <v>54</v>
      </c>
      <c r="D276" t="s">
        <v>55</v>
      </c>
      <c r="E276" t="s">
        <v>605</v>
      </c>
      <c r="F276" t="s">
        <v>57</v>
      </c>
      <c r="G276">
        <v>12999</v>
      </c>
      <c r="H276">
        <v>45719</v>
      </c>
      <c r="I276">
        <v>45764</v>
      </c>
      <c r="J276">
        <v>42</v>
      </c>
      <c r="K276">
        <v>44</v>
      </c>
      <c r="L276">
        <f t="shared" si="32"/>
        <v>2</v>
      </c>
      <c r="M276" t="str">
        <f t="shared" si="33"/>
        <v>Delayed</v>
      </c>
      <c r="N276">
        <v>19</v>
      </c>
      <c r="O276">
        <v>14</v>
      </c>
      <c r="P276">
        <f t="shared" si="34"/>
        <v>0.73684210526315785</v>
      </c>
      <c r="Q276">
        <v>45</v>
      </c>
      <c r="R276">
        <v>295.39999999999998</v>
      </c>
      <c r="S276">
        <v>14999</v>
      </c>
      <c r="T276" t="s">
        <v>45</v>
      </c>
      <c r="U276">
        <v>2</v>
      </c>
      <c r="V276">
        <v>7</v>
      </c>
      <c r="W276">
        <v>3</v>
      </c>
      <c r="X276">
        <v>5</v>
      </c>
      <c r="Y276">
        <v>3.4</v>
      </c>
      <c r="Z276">
        <v>4.5</v>
      </c>
      <c r="AA276">
        <v>0.88</v>
      </c>
      <c r="AB276">
        <f t="shared" si="35"/>
        <v>5</v>
      </c>
      <c r="AC276">
        <f t="shared" si="36"/>
        <v>4.32</v>
      </c>
      <c r="AD276" t="str">
        <f t="shared" si="37"/>
        <v>⭐⭐⭐⭐</v>
      </c>
      <c r="AE276" t="str">
        <f t="shared" si="38"/>
        <v>Improve workforce allocation</v>
      </c>
      <c r="AF276" t="str">
        <f t="shared" si="39"/>
        <v>Recommended for medium-high orders</v>
      </c>
    </row>
    <row r="277" spans="1:32" ht="24" customHeight="1">
      <c r="A277" t="s">
        <v>606</v>
      </c>
      <c r="B277" t="s">
        <v>61</v>
      </c>
      <c r="C277" t="s">
        <v>62</v>
      </c>
      <c r="D277" t="s">
        <v>63</v>
      </c>
      <c r="E277" t="s">
        <v>607</v>
      </c>
      <c r="F277" t="s">
        <v>37</v>
      </c>
      <c r="G277">
        <v>22533</v>
      </c>
      <c r="H277">
        <v>45771</v>
      </c>
      <c r="I277">
        <v>45803</v>
      </c>
      <c r="J277">
        <v>25</v>
      </c>
      <c r="K277">
        <v>29</v>
      </c>
      <c r="L277">
        <f t="shared" si="32"/>
        <v>4</v>
      </c>
      <c r="M277" t="str">
        <f t="shared" si="33"/>
        <v>Delayed</v>
      </c>
      <c r="N277">
        <v>12</v>
      </c>
      <c r="O277">
        <v>8</v>
      </c>
      <c r="P277">
        <f t="shared" si="34"/>
        <v>0.66666666666666663</v>
      </c>
      <c r="Q277">
        <v>42</v>
      </c>
      <c r="R277">
        <v>777</v>
      </c>
      <c r="S277">
        <v>25533</v>
      </c>
      <c r="T277" t="s">
        <v>45</v>
      </c>
      <c r="U277">
        <v>0</v>
      </c>
      <c r="V277">
        <v>4</v>
      </c>
      <c r="W277">
        <v>5</v>
      </c>
      <c r="X277">
        <v>3</v>
      </c>
      <c r="Y277">
        <v>3.73</v>
      </c>
      <c r="Z277">
        <v>4</v>
      </c>
      <c r="AA277">
        <v>0.8</v>
      </c>
      <c r="AB277">
        <f t="shared" si="35"/>
        <v>5</v>
      </c>
      <c r="AC277">
        <f t="shared" si="36"/>
        <v>4.0199999999999996</v>
      </c>
      <c r="AD277" t="str">
        <f t="shared" si="37"/>
        <v>⭐⭐⭐⭐</v>
      </c>
      <c r="AE277" t="str">
        <f t="shared" si="38"/>
        <v>Increase machine maintenance support</v>
      </c>
      <c r="AF277" t="str">
        <f t="shared" si="39"/>
        <v>Recommended for medium-high orders</v>
      </c>
    </row>
    <row r="278" spans="1:32" ht="24" customHeight="1">
      <c r="A278" t="s">
        <v>608</v>
      </c>
      <c r="B278" t="s">
        <v>53</v>
      </c>
      <c r="C278" t="s">
        <v>54</v>
      </c>
      <c r="D278" t="s">
        <v>55</v>
      </c>
      <c r="E278" t="s">
        <v>609</v>
      </c>
      <c r="F278" t="s">
        <v>57</v>
      </c>
      <c r="G278">
        <v>7165</v>
      </c>
      <c r="H278">
        <v>45758</v>
      </c>
      <c r="I278">
        <v>45788</v>
      </c>
      <c r="J278">
        <v>21</v>
      </c>
      <c r="K278">
        <v>26</v>
      </c>
      <c r="L278">
        <f t="shared" si="32"/>
        <v>5</v>
      </c>
      <c r="M278" t="str">
        <f t="shared" si="33"/>
        <v>Delayed</v>
      </c>
      <c r="N278">
        <v>15</v>
      </c>
      <c r="O278">
        <v>13</v>
      </c>
      <c r="P278">
        <f t="shared" si="34"/>
        <v>0.8666666666666667</v>
      </c>
      <c r="Q278">
        <v>59</v>
      </c>
      <c r="R278">
        <v>275.60000000000002</v>
      </c>
      <c r="S278">
        <v>11165</v>
      </c>
      <c r="T278" t="s">
        <v>38</v>
      </c>
      <c r="U278">
        <v>1</v>
      </c>
      <c r="V278">
        <v>7</v>
      </c>
      <c r="W278">
        <v>2</v>
      </c>
      <c r="X278">
        <v>1</v>
      </c>
      <c r="Y278">
        <v>2.4</v>
      </c>
      <c r="Z278">
        <v>4.5</v>
      </c>
      <c r="AA278">
        <v>0.88</v>
      </c>
      <c r="AB278">
        <f t="shared" si="35"/>
        <v>5</v>
      </c>
      <c r="AC278">
        <f t="shared" si="36"/>
        <v>4.42</v>
      </c>
      <c r="AD278" t="str">
        <f t="shared" si="37"/>
        <v>⭐⭐⭐⭐</v>
      </c>
      <c r="AE278" t="str">
        <f t="shared" si="38"/>
        <v>Increase daily output monitoring</v>
      </c>
      <c r="AF278" t="str">
        <f t="shared" si="39"/>
        <v>Recommended for medium-high orders</v>
      </c>
    </row>
    <row r="279" spans="1:32" ht="24" customHeight="1">
      <c r="A279" t="s">
        <v>610</v>
      </c>
      <c r="B279" t="s">
        <v>33</v>
      </c>
      <c r="C279" t="s">
        <v>34</v>
      </c>
      <c r="D279" t="s">
        <v>35</v>
      </c>
      <c r="E279" t="s">
        <v>611</v>
      </c>
      <c r="F279" t="s">
        <v>67</v>
      </c>
      <c r="G279">
        <v>42347</v>
      </c>
      <c r="H279">
        <v>45962</v>
      </c>
      <c r="I279">
        <v>46035</v>
      </c>
      <c r="J279">
        <v>63</v>
      </c>
      <c r="K279">
        <v>68</v>
      </c>
      <c r="L279">
        <f t="shared" si="32"/>
        <v>5</v>
      </c>
      <c r="M279" t="str">
        <f t="shared" si="33"/>
        <v>Delayed</v>
      </c>
      <c r="N279">
        <v>16</v>
      </c>
      <c r="O279">
        <v>12</v>
      </c>
      <c r="P279">
        <f t="shared" si="34"/>
        <v>0.75</v>
      </c>
      <c r="Q279">
        <v>40</v>
      </c>
      <c r="R279">
        <v>622.79999999999995</v>
      </c>
      <c r="S279">
        <v>44347</v>
      </c>
      <c r="T279" t="s">
        <v>45</v>
      </c>
      <c r="U279">
        <v>2</v>
      </c>
      <c r="V279">
        <v>6</v>
      </c>
      <c r="W279">
        <v>1</v>
      </c>
      <c r="X279">
        <v>7</v>
      </c>
      <c r="Y279">
        <v>3.56</v>
      </c>
      <c r="Z279">
        <v>4.2</v>
      </c>
      <c r="AA279">
        <v>0.83</v>
      </c>
      <c r="AB279">
        <f t="shared" si="35"/>
        <v>5</v>
      </c>
      <c r="AC279">
        <f t="shared" si="36"/>
        <v>4.18</v>
      </c>
      <c r="AD279" t="str">
        <f t="shared" si="37"/>
        <v>⭐⭐⭐⭐</v>
      </c>
      <c r="AE279" t="str">
        <f t="shared" si="38"/>
        <v>Improve workforce allocation</v>
      </c>
      <c r="AF279" t="str">
        <f t="shared" si="39"/>
        <v>Recommended for medium-high orders</v>
      </c>
    </row>
    <row r="280" spans="1:32" ht="24" customHeight="1">
      <c r="A280" t="s">
        <v>612</v>
      </c>
      <c r="B280" t="s">
        <v>78</v>
      </c>
      <c r="C280" t="s">
        <v>79</v>
      </c>
      <c r="D280" t="s">
        <v>80</v>
      </c>
      <c r="E280" t="s">
        <v>613</v>
      </c>
      <c r="F280" t="s">
        <v>44</v>
      </c>
      <c r="G280">
        <v>13459</v>
      </c>
      <c r="H280">
        <v>45733</v>
      </c>
      <c r="I280">
        <v>45777</v>
      </c>
      <c r="J280">
        <v>38</v>
      </c>
      <c r="K280">
        <v>42</v>
      </c>
      <c r="L280">
        <f t="shared" si="32"/>
        <v>4</v>
      </c>
      <c r="M280" t="str">
        <f t="shared" si="33"/>
        <v>Delayed</v>
      </c>
      <c r="N280">
        <v>17</v>
      </c>
      <c r="O280">
        <v>15</v>
      </c>
      <c r="P280">
        <f t="shared" si="34"/>
        <v>0.88235294117647056</v>
      </c>
      <c r="Q280">
        <v>52</v>
      </c>
      <c r="R280">
        <v>320.5</v>
      </c>
      <c r="S280">
        <v>13459</v>
      </c>
      <c r="T280" t="s">
        <v>45</v>
      </c>
      <c r="U280">
        <v>0</v>
      </c>
      <c r="V280">
        <v>0</v>
      </c>
      <c r="W280">
        <v>3</v>
      </c>
      <c r="X280">
        <v>1</v>
      </c>
      <c r="Y280">
        <v>2.93</v>
      </c>
      <c r="Z280">
        <v>4.8</v>
      </c>
      <c r="AA280">
        <v>0.92</v>
      </c>
      <c r="AB280">
        <f t="shared" si="35"/>
        <v>5</v>
      </c>
      <c r="AC280">
        <f t="shared" si="36"/>
        <v>4.57</v>
      </c>
      <c r="AD280" t="str">
        <f t="shared" si="37"/>
        <v>⭐⭐⭐⭐⭐</v>
      </c>
      <c r="AE280" t="str">
        <f t="shared" si="38"/>
        <v>Increase daily output monitoring</v>
      </c>
      <c r="AF280" t="str">
        <f t="shared" si="39"/>
        <v>Best for urgent/high priority orders</v>
      </c>
    </row>
    <row r="281" spans="1:32" ht="24" customHeight="1">
      <c r="A281" t="s">
        <v>614</v>
      </c>
      <c r="B281" t="s">
        <v>78</v>
      </c>
      <c r="C281" t="s">
        <v>79</v>
      </c>
      <c r="D281" t="s">
        <v>80</v>
      </c>
      <c r="E281" t="s">
        <v>615</v>
      </c>
      <c r="F281" t="s">
        <v>37</v>
      </c>
      <c r="G281">
        <v>24747</v>
      </c>
      <c r="H281">
        <v>45927</v>
      </c>
      <c r="I281">
        <v>45964</v>
      </c>
      <c r="J281">
        <v>39</v>
      </c>
      <c r="K281">
        <v>37</v>
      </c>
      <c r="L281">
        <f t="shared" si="32"/>
        <v>-2</v>
      </c>
      <c r="M281" t="str">
        <f t="shared" si="33"/>
        <v>Early</v>
      </c>
      <c r="N281">
        <v>17</v>
      </c>
      <c r="O281">
        <v>15</v>
      </c>
      <c r="P281">
        <f t="shared" si="34"/>
        <v>0.88235294117647056</v>
      </c>
      <c r="Q281">
        <v>50</v>
      </c>
      <c r="R281">
        <v>668.8</v>
      </c>
      <c r="S281">
        <v>27747</v>
      </c>
      <c r="T281" t="s">
        <v>38</v>
      </c>
      <c r="U281">
        <v>4</v>
      </c>
      <c r="V281">
        <v>8</v>
      </c>
      <c r="W281">
        <v>1</v>
      </c>
      <c r="X281">
        <v>0</v>
      </c>
      <c r="Y281">
        <v>2.68</v>
      </c>
      <c r="Z281">
        <v>4.8</v>
      </c>
      <c r="AA281">
        <v>0.92</v>
      </c>
      <c r="AB281">
        <f t="shared" si="35"/>
        <v>5</v>
      </c>
      <c r="AC281">
        <f t="shared" si="36"/>
        <v>4.72</v>
      </c>
      <c r="AD281" t="str">
        <f t="shared" si="37"/>
        <v>⭐⭐⭐⭐⭐</v>
      </c>
      <c r="AE281" t="str">
        <f t="shared" si="38"/>
        <v>Suitable for urgent style handling</v>
      </c>
      <c r="AF281" t="str">
        <f t="shared" si="39"/>
        <v>Best for urgent/high priority orders</v>
      </c>
    </row>
    <row r="282" spans="1:32" ht="24" customHeight="1">
      <c r="A282" t="s">
        <v>616</v>
      </c>
      <c r="B282" t="s">
        <v>53</v>
      </c>
      <c r="C282" t="s">
        <v>54</v>
      </c>
      <c r="D282" t="s">
        <v>55</v>
      </c>
      <c r="E282" t="s">
        <v>617</v>
      </c>
      <c r="F282" t="s">
        <v>37</v>
      </c>
      <c r="G282">
        <v>16576</v>
      </c>
      <c r="H282">
        <v>45852</v>
      </c>
      <c r="I282">
        <v>45889</v>
      </c>
      <c r="J282">
        <v>32</v>
      </c>
      <c r="K282">
        <v>33</v>
      </c>
      <c r="L282">
        <f t="shared" si="32"/>
        <v>1</v>
      </c>
      <c r="M282" t="str">
        <f t="shared" si="33"/>
        <v>Delayed</v>
      </c>
      <c r="N282">
        <v>18</v>
      </c>
      <c r="O282">
        <v>15</v>
      </c>
      <c r="P282">
        <f t="shared" si="34"/>
        <v>0.83333333333333337</v>
      </c>
      <c r="Q282">
        <v>44</v>
      </c>
      <c r="R282">
        <v>502.3</v>
      </c>
      <c r="S282">
        <v>18576</v>
      </c>
      <c r="T282" t="s">
        <v>38</v>
      </c>
      <c r="U282">
        <v>6</v>
      </c>
      <c r="V282">
        <v>7</v>
      </c>
      <c r="W282">
        <v>2</v>
      </c>
      <c r="X282">
        <v>0</v>
      </c>
      <c r="Y282">
        <v>3.38</v>
      </c>
      <c r="Z282">
        <v>4.5</v>
      </c>
      <c r="AA282">
        <v>0.88</v>
      </c>
      <c r="AB282">
        <f t="shared" si="35"/>
        <v>5</v>
      </c>
      <c r="AC282">
        <f t="shared" si="36"/>
        <v>4.4000000000000004</v>
      </c>
      <c r="AD282" t="str">
        <f t="shared" si="37"/>
        <v>⭐⭐⭐⭐</v>
      </c>
      <c r="AE282" t="str">
        <f t="shared" si="38"/>
        <v>Increase daily output monitoring</v>
      </c>
      <c r="AF282" t="str">
        <f t="shared" si="39"/>
        <v>Recommended for medium-high orders</v>
      </c>
    </row>
    <row r="283" spans="1:32" ht="24" customHeight="1">
      <c r="A283" t="s">
        <v>618</v>
      </c>
      <c r="B283" t="s">
        <v>69</v>
      </c>
      <c r="C283" t="s">
        <v>70</v>
      </c>
      <c r="D283" t="s">
        <v>71</v>
      </c>
      <c r="E283" t="s">
        <v>619</v>
      </c>
      <c r="F283" t="s">
        <v>37</v>
      </c>
      <c r="G283">
        <v>25881</v>
      </c>
      <c r="H283">
        <v>45835</v>
      </c>
      <c r="I283">
        <v>45900</v>
      </c>
      <c r="J283">
        <v>55</v>
      </c>
      <c r="K283">
        <v>60</v>
      </c>
      <c r="L283">
        <f t="shared" si="32"/>
        <v>5</v>
      </c>
      <c r="M283" t="str">
        <f t="shared" si="33"/>
        <v>Delayed</v>
      </c>
      <c r="N283">
        <v>12</v>
      </c>
      <c r="O283">
        <v>8</v>
      </c>
      <c r="P283">
        <f t="shared" si="34"/>
        <v>0.66666666666666663</v>
      </c>
      <c r="Q283">
        <v>39</v>
      </c>
      <c r="R283">
        <v>431.4</v>
      </c>
      <c r="S283">
        <v>26881</v>
      </c>
      <c r="T283" t="s">
        <v>38</v>
      </c>
      <c r="U283">
        <v>0</v>
      </c>
      <c r="V283">
        <v>7</v>
      </c>
      <c r="W283">
        <v>1</v>
      </c>
      <c r="X283">
        <v>3</v>
      </c>
      <c r="Y283">
        <v>3.36</v>
      </c>
      <c r="Z283">
        <v>3.8</v>
      </c>
      <c r="AA283">
        <v>0.78</v>
      </c>
      <c r="AB283">
        <f t="shared" si="35"/>
        <v>5</v>
      </c>
      <c r="AC283">
        <f t="shared" si="36"/>
        <v>3.94</v>
      </c>
      <c r="AD283" t="str">
        <f t="shared" si="37"/>
        <v>⭐⭐⭐</v>
      </c>
      <c r="AE283" t="str">
        <f t="shared" si="38"/>
        <v>Increase daily output monitoring</v>
      </c>
      <c r="AF283" t="str">
        <f t="shared" si="39"/>
        <v>Use for normal priority orders</v>
      </c>
    </row>
    <row r="284" spans="1:32" ht="24" customHeight="1">
      <c r="A284" t="s">
        <v>620</v>
      </c>
      <c r="B284" t="s">
        <v>53</v>
      </c>
      <c r="C284" t="s">
        <v>54</v>
      </c>
      <c r="D284" t="s">
        <v>55</v>
      </c>
      <c r="E284" t="s">
        <v>621</v>
      </c>
      <c r="F284" t="s">
        <v>44</v>
      </c>
      <c r="G284">
        <v>18425</v>
      </c>
      <c r="H284">
        <v>45728</v>
      </c>
      <c r="I284">
        <v>45758</v>
      </c>
      <c r="J284">
        <v>32</v>
      </c>
      <c r="K284">
        <v>30</v>
      </c>
      <c r="L284">
        <f t="shared" si="32"/>
        <v>-2</v>
      </c>
      <c r="M284" t="str">
        <f t="shared" si="33"/>
        <v>Early</v>
      </c>
      <c r="N284">
        <v>13</v>
      </c>
      <c r="O284">
        <v>11</v>
      </c>
      <c r="P284">
        <f t="shared" si="34"/>
        <v>0.84615384615384615</v>
      </c>
      <c r="Q284">
        <v>52</v>
      </c>
      <c r="R284">
        <v>614.20000000000005</v>
      </c>
      <c r="S284">
        <v>19425</v>
      </c>
      <c r="T284" t="s">
        <v>45</v>
      </c>
      <c r="U284">
        <v>1</v>
      </c>
      <c r="V284">
        <v>0</v>
      </c>
      <c r="W284">
        <v>0</v>
      </c>
      <c r="X284">
        <v>4</v>
      </c>
      <c r="Y284">
        <v>2.8</v>
      </c>
      <c r="Z284">
        <v>4.5</v>
      </c>
      <c r="AA284">
        <v>0.88</v>
      </c>
      <c r="AB284">
        <f t="shared" si="35"/>
        <v>5</v>
      </c>
      <c r="AC284">
        <f t="shared" si="36"/>
        <v>4.55</v>
      </c>
      <c r="AD284" t="str">
        <f t="shared" si="37"/>
        <v>⭐⭐⭐⭐⭐</v>
      </c>
      <c r="AE284" t="str">
        <f t="shared" si="38"/>
        <v>Maintain current resource allocation</v>
      </c>
      <c r="AF284" t="str">
        <f t="shared" si="39"/>
        <v>Best for urgent/high priority orders</v>
      </c>
    </row>
    <row r="285" spans="1:32" ht="24" customHeight="1">
      <c r="A285" t="s">
        <v>622</v>
      </c>
      <c r="B285" t="s">
        <v>33</v>
      </c>
      <c r="C285" t="s">
        <v>34</v>
      </c>
      <c r="D285" t="s">
        <v>35</v>
      </c>
      <c r="E285" t="s">
        <v>623</v>
      </c>
      <c r="F285" t="s">
        <v>67</v>
      </c>
      <c r="G285">
        <v>47876</v>
      </c>
      <c r="H285">
        <v>45878</v>
      </c>
      <c r="I285">
        <v>45954</v>
      </c>
      <c r="J285">
        <v>73</v>
      </c>
      <c r="K285">
        <v>75</v>
      </c>
      <c r="L285">
        <f t="shared" si="32"/>
        <v>2</v>
      </c>
      <c r="M285" t="str">
        <f t="shared" si="33"/>
        <v>Delayed</v>
      </c>
      <c r="N285">
        <v>13</v>
      </c>
      <c r="O285">
        <v>11</v>
      </c>
      <c r="P285">
        <f t="shared" si="34"/>
        <v>0.84615384615384615</v>
      </c>
      <c r="Q285">
        <v>43</v>
      </c>
      <c r="R285">
        <v>638.29999999999995</v>
      </c>
      <c r="S285">
        <v>51876</v>
      </c>
      <c r="T285" t="s">
        <v>38</v>
      </c>
      <c r="U285">
        <v>1</v>
      </c>
      <c r="V285">
        <v>11</v>
      </c>
      <c r="W285">
        <v>4</v>
      </c>
      <c r="X285">
        <v>2</v>
      </c>
      <c r="Y285">
        <v>3.12</v>
      </c>
      <c r="Z285">
        <v>4.2</v>
      </c>
      <c r="AA285">
        <v>0.83</v>
      </c>
      <c r="AB285">
        <f t="shared" si="35"/>
        <v>5</v>
      </c>
      <c r="AC285">
        <f t="shared" si="36"/>
        <v>4.25</v>
      </c>
      <c r="AD285" t="str">
        <f t="shared" si="37"/>
        <v>⭐⭐⭐⭐</v>
      </c>
      <c r="AE285" t="str">
        <f t="shared" si="38"/>
        <v>Reduce risk days and add supervisor monitoring</v>
      </c>
      <c r="AF285" t="str">
        <f t="shared" si="39"/>
        <v>Recommended for medium-high orders</v>
      </c>
    </row>
    <row r="286" spans="1:32" ht="24" customHeight="1">
      <c r="A286" t="s">
        <v>624</v>
      </c>
      <c r="B286" t="s">
        <v>33</v>
      </c>
      <c r="C286" t="s">
        <v>34</v>
      </c>
      <c r="D286" t="s">
        <v>35</v>
      </c>
      <c r="E286" t="s">
        <v>625</v>
      </c>
      <c r="F286" t="s">
        <v>67</v>
      </c>
      <c r="G286">
        <v>42222</v>
      </c>
      <c r="H286">
        <v>45984</v>
      </c>
      <c r="I286">
        <v>46062</v>
      </c>
      <c r="J286">
        <v>72</v>
      </c>
      <c r="K286">
        <v>73</v>
      </c>
      <c r="L286">
        <f t="shared" si="32"/>
        <v>1</v>
      </c>
      <c r="M286" t="str">
        <f t="shared" si="33"/>
        <v>Delayed</v>
      </c>
      <c r="N286">
        <v>10</v>
      </c>
      <c r="O286">
        <v>8</v>
      </c>
      <c r="P286">
        <f t="shared" si="34"/>
        <v>0.8</v>
      </c>
      <c r="Q286">
        <v>47</v>
      </c>
      <c r="R286">
        <v>578.4</v>
      </c>
      <c r="S286">
        <v>45222</v>
      </c>
      <c r="T286" t="s">
        <v>45</v>
      </c>
      <c r="U286">
        <v>2</v>
      </c>
      <c r="V286">
        <v>5</v>
      </c>
      <c r="W286">
        <v>2</v>
      </c>
      <c r="X286">
        <v>3</v>
      </c>
      <c r="Y286">
        <v>2.2200000000000002</v>
      </c>
      <c r="Z286">
        <v>4.2</v>
      </c>
      <c r="AA286">
        <v>0.83</v>
      </c>
      <c r="AB286">
        <f t="shared" si="35"/>
        <v>5</v>
      </c>
      <c r="AC286">
        <f t="shared" si="36"/>
        <v>4.22</v>
      </c>
      <c r="AD286" t="str">
        <f t="shared" si="37"/>
        <v>⭐⭐⭐⭐</v>
      </c>
      <c r="AE286" t="str">
        <f t="shared" si="38"/>
        <v>Increase daily output monitoring</v>
      </c>
      <c r="AF286" t="str">
        <f t="shared" si="39"/>
        <v>Recommended for medium-high orders</v>
      </c>
    </row>
    <row r="287" spans="1:32" ht="24" customHeight="1">
      <c r="A287" t="s">
        <v>626</v>
      </c>
      <c r="B287" t="s">
        <v>53</v>
      </c>
      <c r="C287" t="s">
        <v>54</v>
      </c>
      <c r="D287" t="s">
        <v>55</v>
      </c>
      <c r="E287" t="s">
        <v>627</v>
      </c>
      <c r="F287" t="s">
        <v>67</v>
      </c>
      <c r="G287">
        <v>44310</v>
      </c>
      <c r="H287">
        <v>45967</v>
      </c>
      <c r="I287">
        <v>46030</v>
      </c>
      <c r="J287">
        <v>60</v>
      </c>
      <c r="K287">
        <v>60</v>
      </c>
      <c r="L287">
        <f t="shared" si="32"/>
        <v>0</v>
      </c>
      <c r="M287" t="str">
        <f t="shared" si="33"/>
        <v>On Time</v>
      </c>
      <c r="N287">
        <v>14</v>
      </c>
      <c r="O287">
        <v>12</v>
      </c>
      <c r="P287">
        <f t="shared" si="34"/>
        <v>0.8571428571428571</v>
      </c>
      <c r="Q287">
        <v>59</v>
      </c>
      <c r="R287">
        <v>738.5</v>
      </c>
      <c r="S287">
        <v>45310</v>
      </c>
      <c r="T287" t="s">
        <v>38</v>
      </c>
      <c r="U287">
        <v>4</v>
      </c>
      <c r="V287">
        <v>9</v>
      </c>
      <c r="W287">
        <v>0</v>
      </c>
      <c r="X287">
        <v>0</v>
      </c>
      <c r="Y287">
        <v>2.86</v>
      </c>
      <c r="Z287">
        <v>4.5</v>
      </c>
      <c r="AA287">
        <v>0.88</v>
      </c>
      <c r="AB287">
        <f t="shared" si="35"/>
        <v>5</v>
      </c>
      <c r="AC287">
        <f t="shared" si="36"/>
        <v>4.5199999999999996</v>
      </c>
      <c r="AD287" t="str">
        <f t="shared" si="37"/>
        <v>⭐⭐⭐⭐⭐</v>
      </c>
      <c r="AE287" t="str">
        <f t="shared" si="38"/>
        <v>Suitable for urgent style handling</v>
      </c>
      <c r="AF287" t="str">
        <f t="shared" si="39"/>
        <v>Best for urgent/high priority orders</v>
      </c>
    </row>
    <row r="288" spans="1:32" ht="24" customHeight="1">
      <c r="A288" t="s">
        <v>628</v>
      </c>
      <c r="B288" t="s">
        <v>33</v>
      </c>
      <c r="C288" t="s">
        <v>34</v>
      </c>
      <c r="D288" t="s">
        <v>35</v>
      </c>
      <c r="E288" t="s">
        <v>629</v>
      </c>
      <c r="F288" t="s">
        <v>44</v>
      </c>
      <c r="G288">
        <v>14696</v>
      </c>
      <c r="H288">
        <v>45882</v>
      </c>
      <c r="I288">
        <v>45931</v>
      </c>
      <c r="J288">
        <v>39</v>
      </c>
      <c r="K288">
        <v>45</v>
      </c>
      <c r="L288">
        <f t="shared" si="32"/>
        <v>6</v>
      </c>
      <c r="M288" t="str">
        <f t="shared" si="33"/>
        <v>Delayed</v>
      </c>
      <c r="N288">
        <v>14</v>
      </c>
      <c r="O288">
        <v>12</v>
      </c>
      <c r="P288">
        <f t="shared" si="34"/>
        <v>0.8571428571428571</v>
      </c>
      <c r="Q288">
        <v>41</v>
      </c>
      <c r="R288">
        <v>326.60000000000002</v>
      </c>
      <c r="S288">
        <v>15696</v>
      </c>
      <c r="T288" t="s">
        <v>45</v>
      </c>
      <c r="U288">
        <v>1</v>
      </c>
      <c r="V288">
        <v>7</v>
      </c>
      <c r="W288">
        <v>3</v>
      </c>
      <c r="X288">
        <v>0</v>
      </c>
      <c r="Y288">
        <v>4.1399999999999997</v>
      </c>
      <c r="Z288">
        <v>4.2</v>
      </c>
      <c r="AA288">
        <v>0.83</v>
      </c>
      <c r="AB288">
        <f t="shared" si="35"/>
        <v>5</v>
      </c>
      <c r="AC288">
        <f t="shared" si="36"/>
        <v>4.26</v>
      </c>
      <c r="AD288" t="str">
        <f t="shared" si="37"/>
        <v>⭐⭐⭐⭐</v>
      </c>
      <c r="AE288" t="str">
        <f t="shared" si="38"/>
        <v>Increase daily output monitoring</v>
      </c>
      <c r="AF288" t="str">
        <f t="shared" si="39"/>
        <v>Recommended for medium-high orders</v>
      </c>
    </row>
    <row r="289" spans="1:32" ht="24" customHeight="1">
      <c r="A289" t="s">
        <v>630</v>
      </c>
      <c r="B289" t="s">
        <v>40</v>
      </c>
      <c r="C289" t="s">
        <v>41</v>
      </c>
      <c r="D289" t="s">
        <v>42</v>
      </c>
      <c r="E289" t="s">
        <v>631</v>
      </c>
      <c r="F289" t="s">
        <v>44</v>
      </c>
      <c r="G289">
        <v>10086</v>
      </c>
      <c r="H289">
        <v>45783</v>
      </c>
      <c r="I289">
        <v>45824</v>
      </c>
      <c r="J289">
        <v>37</v>
      </c>
      <c r="K289">
        <v>37</v>
      </c>
      <c r="L289">
        <f t="shared" si="32"/>
        <v>0</v>
      </c>
      <c r="M289" t="str">
        <f t="shared" si="33"/>
        <v>On Time</v>
      </c>
      <c r="N289">
        <v>11</v>
      </c>
      <c r="O289">
        <v>9</v>
      </c>
      <c r="P289">
        <f t="shared" si="34"/>
        <v>0.81818181818181823</v>
      </c>
      <c r="Q289">
        <v>52</v>
      </c>
      <c r="R289">
        <v>272.60000000000002</v>
      </c>
      <c r="S289">
        <v>13086</v>
      </c>
      <c r="T289" t="s">
        <v>45</v>
      </c>
      <c r="U289">
        <v>0</v>
      </c>
      <c r="V289">
        <v>8</v>
      </c>
      <c r="W289">
        <v>5</v>
      </c>
      <c r="X289">
        <v>3</v>
      </c>
      <c r="Y289">
        <v>3.42</v>
      </c>
      <c r="Z289">
        <v>4.3</v>
      </c>
      <c r="AA289">
        <v>0.85</v>
      </c>
      <c r="AB289">
        <f t="shared" si="35"/>
        <v>5</v>
      </c>
      <c r="AC289">
        <f t="shared" si="36"/>
        <v>4.4000000000000004</v>
      </c>
      <c r="AD289" t="str">
        <f t="shared" si="37"/>
        <v>⭐⭐⭐⭐</v>
      </c>
      <c r="AE289" t="str">
        <f t="shared" si="38"/>
        <v>Maintain current resource allocation</v>
      </c>
      <c r="AF289" t="str">
        <f t="shared" si="39"/>
        <v>Recommended for medium-high orders</v>
      </c>
    </row>
    <row r="290" spans="1:32" ht="24" customHeight="1">
      <c r="A290" t="s">
        <v>632</v>
      </c>
      <c r="B290" t="s">
        <v>40</v>
      </c>
      <c r="C290" t="s">
        <v>41</v>
      </c>
      <c r="D290" t="s">
        <v>42</v>
      </c>
      <c r="E290" t="s">
        <v>633</v>
      </c>
      <c r="F290" t="s">
        <v>37</v>
      </c>
      <c r="G290">
        <v>22694</v>
      </c>
      <c r="H290">
        <v>45895</v>
      </c>
      <c r="I290">
        <v>45943</v>
      </c>
      <c r="J290">
        <v>40</v>
      </c>
      <c r="K290">
        <v>43</v>
      </c>
      <c r="L290">
        <f t="shared" si="32"/>
        <v>3</v>
      </c>
      <c r="M290" t="str">
        <f t="shared" si="33"/>
        <v>Delayed</v>
      </c>
      <c r="N290">
        <v>15</v>
      </c>
      <c r="O290">
        <v>12</v>
      </c>
      <c r="P290">
        <f t="shared" si="34"/>
        <v>0.8</v>
      </c>
      <c r="Q290">
        <v>51</v>
      </c>
      <c r="R290">
        <v>527.79999999999995</v>
      </c>
      <c r="S290">
        <v>24694</v>
      </c>
      <c r="T290" t="s">
        <v>45</v>
      </c>
      <c r="U290">
        <v>0</v>
      </c>
      <c r="V290">
        <v>7</v>
      </c>
      <c r="W290">
        <v>2</v>
      </c>
      <c r="X290">
        <v>0</v>
      </c>
      <c r="Y290">
        <v>2.79</v>
      </c>
      <c r="Z290">
        <v>4.3</v>
      </c>
      <c r="AA290">
        <v>0.85</v>
      </c>
      <c r="AB290">
        <f t="shared" si="35"/>
        <v>5</v>
      </c>
      <c r="AC290">
        <f t="shared" si="36"/>
        <v>4.2699999999999996</v>
      </c>
      <c r="AD290" t="str">
        <f t="shared" si="37"/>
        <v>⭐⭐⭐⭐</v>
      </c>
      <c r="AE290" t="str">
        <f t="shared" si="38"/>
        <v>Increase daily output monitoring</v>
      </c>
      <c r="AF290" t="str">
        <f t="shared" si="39"/>
        <v>Recommended for medium-high orders</v>
      </c>
    </row>
    <row r="291" spans="1:32" ht="24" customHeight="1">
      <c r="A291" t="s">
        <v>634</v>
      </c>
      <c r="B291" t="s">
        <v>40</v>
      </c>
      <c r="C291" t="s">
        <v>41</v>
      </c>
      <c r="D291" t="s">
        <v>42</v>
      </c>
      <c r="E291" t="s">
        <v>635</v>
      </c>
      <c r="F291" t="s">
        <v>37</v>
      </c>
      <c r="G291">
        <v>29183</v>
      </c>
      <c r="H291">
        <v>45741</v>
      </c>
      <c r="I291">
        <v>45797</v>
      </c>
      <c r="J291">
        <v>55</v>
      </c>
      <c r="K291">
        <v>51</v>
      </c>
      <c r="L291">
        <f t="shared" si="32"/>
        <v>-4</v>
      </c>
      <c r="M291" t="str">
        <f t="shared" si="33"/>
        <v>Early</v>
      </c>
      <c r="N291">
        <v>14</v>
      </c>
      <c r="O291">
        <v>12</v>
      </c>
      <c r="P291">
        <f t="shared" si="34"/>
        <v>0.8571428571428571</v>
      </c>
      <c r="Q291">
        <v>40</v>
      </c>
      <c r="R291">
        <v>572.20000000000005</v>
      </c>
      <c r="S291">
        <v>31183</v>
      </c>
      <c r="T291" t="s">
        <v>38</v>
      </c>
      <c r="U291">
        <v>2</v>
      </c>
      <c r="V291">
        <v>4</v>
      </c>
      <c r="W291">
        <v>2</v>
      </c>
      <c r="X291">
        <v>3</v>
      </c>
      <c r="Y291">
        <v>3.43</v>
      </c>
      <c r="Z291">
        <v>4.3</v>
      </c>
      <c r="AA291">
        <v>0.85</v>
      </c>
      <c r="AB291">
        <f t="shared" si="35"/>
        <v>5</v>
      </c>
      <c r="AC291">
        <f t="shared" si="36"/>
        <v>4.47</v>
      </c>
      <c r="AD291" t="str">
        <f t="shared" si="37"/>
        <v>⭐⭐⭐⭐</v>
      </c>
      <c r="AE291" t="str">
        <f t="shared" si="38"/>
        <v>Suitable for urgent style handling</v>
      </c>
      <c r="AF291" t="str">
        <f t="shared" si="39"/>
        <v>Recommended for medium-high orders</v>
      </c>
    </row>
    <row r="292" spans="1:32" ht="24" customHeight="1">
      <c r="A292" t="s">
        <v>636</v>
      </c>
      <c r="B292" t="s">
        <v>61</v>
      </c>
      <c r="C292" t="s">
        <v>62</v>
      </c>
      <c r="D292" t="s">
        <v>63</v>
      </c>
      <c r="E292" t="s">
        <v>637</v>
      </c>
      <c r="F292" t="s">
        <v>37</v>
      </c>
      <c r="G292">
        <v>24725</v>
      </c>
      <c r="H292">
        <v>45684</v>
      </c>
      <c r="I292">
        <v>45729</v>
      </c>
      <c r="J292">
        <v>35</v>
      </c>
      <c r="K292">
        <v>42</v>
      </c>
      <c r="L292">
        <f t="shared" si="32"/>
        <v>7</v>
      </c>
      <c r="M292" t="str">
        <f t="shared" si="33"/>
        <v>Delayed</v>
      </c>
      <c r="N292">
        <v>14</v>
      </c>
      <c r="O292">
        <v>10</v>
      </c>
      <c r="P292">
        <f t="shared" si="34"/>
        <v>0.7142857142857143</v>
      </c>
      <c r="Q292">
        <v>34</v>
      </c>
      <c r="R292">
        <v>588.70000000000005</v>
      </c>
      <c r="S292">
        <v>25725</v>
      </c>
      <c r="T292" t="s">
        <v>38</v>
      </c>
      <c r="U292">
        <v>6</v>
      </c>
      <c r="V292">
        <v>7</v>
      </c>
      <c r="W292">
        <v>1</v>
      </c>
      <c r="X292">
        <v>1</v>
      </c>
      <c r="Y292">
        <v>3.77</v>
      </c>
      <c r="Z292">
        <v>4</v>
      </c>
      <c r="AA292">
        <v>0.8</v>
      </c>
      <c r="AB292">
        <f t="shared" si="35"/>
        <v>5</v>
      </c>
      <c r="AC292">
        <f t="shared" si="36"/>
        <v>4.0599999999999996</v>
      </c>
      <c r="AD292" t="str">
        <f t="shared" si="37"/>
        <v>⭐⭐⭐⭐</v>
      </c>
      <c r="AE292" t="str">
        <f t="shared" si="38"/>
        <v>Increase daily output monitoring</v>
      </c>
      <c r="AF292" t="str">
        <f t="shared" si="39"/>
        <v>Recommended for medium-high orders</v>
      </c>
    </row>
    <row r="293" spans="1:32" ht="24" customHeight="1">
      <c r="A293" t="s">
        <v>638</v>
      </c>
      <c r="B293" t="s">
        <v>53</v>
      </c>
      <c r="C293" t="s">
        <v>54</v>
      </c>
      <c r="D293" t="s">
        <v>55</v>
      </c>
      <c r="E293" t="s">
        <v>639</v>
      </c>
      <c r="F293" t="s">
        <v>57</v>
      </c>
      <c r="G293">
        <v>15263</v>
      </c>
      <c r="H293">
        <v>45779</v>
      </c>
      <c r="I293">
        <v>45812</v>
      </c>
      <c r="J293">
        <v>29</v>
      </c>
      <c r="K293">
        <v>32</v>
      </c>
      <c r="L293">
        <f t="shared" si="32"/>
        <v>3</v>
      </c>
      <c r="M293" t="str">
        <f t="shared" si="33"/>
        <v>Delayed</v>
      </c>
      <c r="N293">
        <v>20</v>
      </c>
      <c r="O293">
        <v>16</v>
      </c>
      <c r="P293">
        <f t="shared" si="34"/>
        <v>0.8</v>
      </c>
      <c r="Q293">
        <v>44</v>
      </c>
      <c r="R293">
        <v>477</v>
      </c>
      <c r="S293">
        <v>19263</v>
      </c>
      <c r="T293" t="s">
        <v>38</v>
      </c>
      <c r="U293">
        <v>3</v>
      </c>
      <c r="V293">
        <v>10</v>
      </c>
      <c r="W293">
        <v>2</v>
      </c>
      <c r="X293">
        <v>1</v>
      </c>
      <c r="Y293">
        <v>2.98</v>
      </c>
      <c r="Z293">
        <v>4.5</v>
      </c>
      <c r="AA293">
        <v>0.88</v>
      </c>
      <c r="AB293">
        <f t="shared" si="35"/>
        <v>5</v>
      </c>
      <c r="AC293">
        <f t="shared" si="36"/>
        <v>4.37</v>
      </c>
      <c r="AD293" t="str">
        <f t="shared" si="37"/>
        <v>⭐⭐⭐⭐</v>
      </c>
      <c r="AE293" t="str">
        <f t="shared" si="38"/>
        <v>Reduce risk days and add supervisor monitoring</v>
      </c>
      <c r="AF293" t="str">
        <f t="shared" si="39"/>
        <v>Recommended for medium-high orders</v>
      </c>
    </row>
    <row r="294" spans="1:32" ht="24" customHeight="1">
      <c r="A294" t="s">
        <v>640</v>
      </c>
      <c r="B294" t="s">
        <v>33</v>
      </c>
      <c r="C294" t="s">
        <v>34</v>
      </c>
      <c r="D294" t="s">
        <v>35</v>
      </c>
      <c r="E294" t="s">
        <v>641</v>
      </c>
      <c r="F294" t="s">
        <v>57</v>
      </c>
      <c r="G294">
        <v>11719</v>
      </c>
      <c r="H294">
        <v>45953</v>
      </c>
      <c r="I294">
        <v>45997</v>
      </c>
      <c r="J294">
        <v>38</v>
      </c>
      <c r="K294">
        <v>40</v>
      </c>
      <c r="L294">
        <f t="shared" si="32"/>
        <v>2</v>
      </c>
      <c r="M294" t="str">
        <f t="shared" si="33"/>
        <v>Delayed</v>
      </c>
      <c r="N294">
        <v>10</v>
      </c>
      <c r="O294">
        <v>7</v>
      </c>
      <c r="P294">
        <f t="shared" si="34"/>
        <v>0.7</v>
      </c>
      <c r="Q294">
        <v>35</v>
      </c>
      <c r="R294">
        <v>293</v>
      </c>
      <c r="S294">
        <v>13719</v>
      </c>
      <c r="T294" t="s">
        <v>38</v>
      </c>
      <c r="U294">
        <v>0</v>
      </c>
      <c r="V294">
        <v>7</v>
      </c>
      <c r="W294">
        <v>2</v>
      </c>
      <c r="X294">
        <v>1</v>
      </c>
      <c r="Y294">
        <v>3.27</v>
      </c>
      <c r="Z294">
        <v>4.2</v>
      </c>
      <c r="AA294">
        <v>0.83</v>
      </c>
      <c r="AB294">
        <f t="shared" si="35"/>
        <v>5</v>
      </c>
      <c r="AC294">
        <f t="shared" si="36"/>
        <v>4.1399999999999997</v>
      </c>
      <c r="AD294" t="str">
        <f t="shared" si="37"/>
        <v>⭐⭐⭐⭐</v>
      </c>
      <c r="AE294" t="str">
        <f t="shared" si="38"/>
        <v>Increase daily output monitoring</v>
      </c>
      <c r="AF294" t="str">
        <f t="shared" si="39"/>
        <v>Recommended for medium-high orders</v>
      </c>
    </row>
    <row r="295" spans="1:32" ht="24" customHeight="1">
      <c r="A295" t="s">
        <v>642</v>
      </c>
      <c r="B295" t="s">
        <v>53</v>
      </c>
      <c r="C295" t="s">
        <v>54</v>
      </c>
      <c r="D295" t="s">
        <v>55</v>
      </c>
      <c r="E295" t="s">
        <v>643</v>
      </c>
      <c r="F295" t="s">
        <v>37</v>
      </c>
      <c r="G295">
        <v>13568</v>
      </c>
      <c r="H295">
        <v>45705</v>
      </c>
      <c r="I295">
        <v>45743</v>
      </c>
      <c r="J295">
        <v>37</v>
      </c>
      <c r="K295">
        <v>36</v>
      </c>
      <c r="L295">
        <f t="shared" si="32"/>
        <v>-1</v>
      </c>
      <c r="M295" t="str">
        <f t="shared" si="33"/>
        <v>Early</v>
      </c>
      <c r="N295">
        <v>15</v>
      </c>
      <c r="O295">
        <v>13</v>
      </c>
      <c r="P295">
        <f t="shared" si="34"/>
        <v>0.8666666666666667</v>
      </c>
      <c r="Q295">
        <v>62</v>
      </c>
      <c r="R295">
        <v>376.9</v>
      </c>
      <c r="S295">
        <v>15568</v>
      </c>
      <c r="T295" t="s">
        <v>45</v>
      </c>
      <c r="U295">
        <v>0</v>
      </c>
      <c r="V295">
        <v>4</v>
      </c>
      <c r="W295">
        <v>3</v>
      </c>
      <c r="X295">
        <v>3</v>
      </c>
      <c r="Y295">
        <v>2.46</v>
      </c>
      <c r="Z295">
        <v>4.5</v>
      </c>
      <c r="AA295">
        <v>0.88</v>
      </c>
      <c r="AB295">
        <f t="shared" si="35"/>
        <v>5</v>
      </c>
      <c r="AC295">
        <f t="shared" si="36"/>
        <v>4.57</v>
      </c>
      <c r="AD295" t="str">
        <f t="shared" si="37"/>
        <v>⭐⭐⭐⭐⭐</v>
      </c>
      <c r="AE295" t="str">
        <f t="shared" si="38"/>
        <v>Maintain current resource allocation</v>
      </c>
      <c r="AF295" t="str">
        <f t="shared" si="39"/>
        <v>Best for urgent/high priority orders</v>
      </c>
    </row>
    <row r="296" spans="1:32" ht="24" customHeight="1">
      <c r="A296" t="s">
        <v>644</v>
      </c>
      <c r="B296" t="s">
        <v>53</v>
      </c>
      <c r="C296" t="s">
        <v>54</v>
      </c>
      <c r="D296" t="s">
        <v>55</v>
      </c>
      <c r="E296" t="s">
        <v>645</v>
      </c>
      <c r="F296" t="s">
        <v>57</v>
      </c>
      <c r="G296">
        <v>17426</v>
      </c>
      <c r="H296">
        <v>45980</v>
      </c>
      <c r="I296">
        <v>46025</v>
      </c>
      <c r="J296">
        <v>37</v>
      </c>
      <c r="K296">
        <v>41</v>
      </c>
      <c r="L296">
        <f t="shared" si="32"/>
        <v>4</v>
      </c>
      <c r="M296" t="str">
        <f t="shared" si="33"/>
        <v>Delayed</v>
      </c>
      <c r="N296">
        <v>18</v>
      </c>
      <c r="O296">
        <v>14</v>
      </c>
      <c r="P296">
        <f t="shared" si="34"/>
        <v>0.77777777777777779</v>
      </c>
      <c r="Q296">
        <v>60</v>
      </c>
      <c r="R296">
        <v>425</v>
      </c>
      <c r="S296">
        <v>18426</v>
      </c>
      <c r="T296" t="s">
        <v>45</v>
      </c>
      <c r="U296">
        <v>1</v>
      </c>
      <c r="V296">
        <v>7</v>
      </c>
      <c r="W296">
        <v>3</v>
      </c>
      <c r="X296">
        <v>4</v>
      </c>
      <c r="Y296">
        <v>2.88</v>
      </c>
      <c r="Z296">
        <v>4.5</v>
      </c>
      <c r="AA296">
        <v>0.88</v>
      </c>
      <c r="AB296">
        <f t="shared" si="35"/>
        <v>5</v>
      </c>
      <c r="AC296">
        <f t="shared" si="36"/>
        <v>4.3499999999999996</v>
      </c>
      <c r="AD296" t="str">
        <f t="shared" si="37"/>
        <v>⭐⭐⭐⭐</v>
      </c>
      <c r="AE296" t="str">
        <f t="shared" si="38"/>
        <v>Improve workforce allocation</v>
      </c>
      <c r="AF296" t="str">
        <f t="shared" si="39"/>
        <v>Recommended for medium-high orders</v>
      </c>
    </row>
    <row r="297" spans="1:32" ht="24" customHeight="1">
      <c r="A297" t="s">
        <v>646</v>
      </c>
      <c r="B297" t="s">
        <v>69</v>
      </c>
      <c r="C297" t="s">
        <v>70</v>
      </c>
      <c r="D297" t="s">
        <v>71</v>
      </c>
      <c r="E297" t="s">
        <v>647</v>
      </c>
      <c r="F297" t="s">
        <v>57</v>
      </c>
      <c r="G297">
        <v>11996</v>
      </c>
      <c r="H297">
        <v>45970</v>
      </c>
      <c r="I297">
        <v>46011</v>
      </c>
      <c r="J297">
        <v>34</v>
      </c>
      <c r="K297">
        <v>40</v>
      </c>
      <c r="L297">
        <f t="shared" si="32"/>
        <v>6</v>
      </c>
      <c r="M297" t="str">
        <f t="shared" si="33"/>
        <v>Delayed</v>
      </c>
      <c r="N297">
        <v>15</v>
      </c>
      <c r="O297">
        <v>11</v>
      </c>
      <c r="P297">
        <f t="shared" si="34"/>
        <v>0.73333333333333328</v>
      </c>
      <c r="Q297">
        <v>42</v>
      </c>
      <c r="R297">
        <v>299.89999999999998</v>
      </c>
      <c r="S297">
        <v>14996</v>
      </c>
      <c r="T297" t="s">
        <v>45</v>
      </c>
      <c r="U297">
        <v>1</v>
      </c>
      <c r="V297">
        <v>6</v>
      </c>
      <c r="W297">
        <v>1</v>
      </c>
      <c r="X297">
        <v>2</v>
      </c>
      <c r="Y297">
        <v>3.13</v>
      </c>
      <c r="Z297">
        <v>3.8</v>
      </c>
      <c r="AA297">
        <v>0.78</v>
      </c>
      <c r="AB297">
        <f t="shared" si="35"/>
        <v>5</v>
      </c>
      <c r="AC297">
        <f t="shared" si="36"/>
        <v>3.99</v>
      </c>
      <c r="AD297" t="str">
        <f t="shared" si="37"/>
        <v>⭐⭐⭐</v>
      </c>
      <c r="AE297" t="str">
        <f t="shared" si="38"/>
        <v>Increase daily output monitoring</v>
      </c>
      <c r="AF297" t="str">
        <f t="shared" si="39"/>
        <v>Use for normal priority orders</v>
      </c>
    </row>
    <row r="298" spans="1:32" ht="24" customHeight="1">
      <c r="A298" t="s">
        <v>648</v>
      </c>
      <c r="B298" t="s">
        <v>33</v>
      </c>
      <c r="C298" t="s">
        <v>34</v>
      </c>
      <c r="D298" t="s">
        <v>35</v>
      </c>
      <c r="E298" t="s">
        <v>649</v>
      </c>
      <c r="F298" t="s">
        <v>67</v>
      </c>
      <c r="G298">
        <v>43873</v>
      </c>
      <c r="H298">
        <v>45802</v>
      </c>
      <c r="I298">
        <v>45864</v>
      </c>
      <c r="J298">
        <v>55</v>
      </c>
      <c r="K298">
        <v>60</v>
      </c>
      <c r="L298">
        <f t="shared" si="32"/>
        <v>5</v>
      </c>
      <c r="M298" t="str">
        <f t="shared" si="33"/>
        <v>Delayed</v>
      </c>
      <c r="N298">
        <v>16</v>
      </c>
      <c r="O298">
        <v>12</v>
      </c>
      <c r="P298">
        <f t="shared" si="34"/>
        <v>0.75</v>
      </c>
      <c r="Q298">
        <v>44</v>
      </c>
      <c r="R298">
        <v>731.2</v>
      </c>
      <c r="S298">
        <v>45873</v>
      </c>
      <c r="T298" t="s">
        <v>45</v>
      </c>
      <c r="U298">
        <v>1</v>
      </c>
      <c r="V298">
        <v>7</v>
      </c>
      <c r="W298">
        <v>0</v>
      </c>
      <c r="X298">
        <v>3</v>
      </c>
      <c r="Y298">
        <v>3.5</v>
      </c>
      <c r="Z298">
        <v>4.2</v>
      </c>
      <c r="AA298">
        <v>0.83</v>
      </c>
      <c r="AB298">
        <f t="shared" si="35"/>
        <v>5</v>
      </c>
      <c r="AC298">
        <f t="shared" si="36"/>
        <v>4.18</v>
      </c>
      <c r="AD298" t="str">
        <f t="shared" si="37"/>
        <v>⭐⭐⭐⭐</v>
      </c>
      <c r="AE298" t="str">
        <f t="shared" si="38"/>
        <v>Increase daily output monitoring</v>
      </c>
      <c r="AF298" t="str">
        <f t="shared" si="39"/>
        <v>Recommended for medium-high orders</v>
      </c>
    </row>
    <row r="299" spans="1:32" ht="24" customHeight="1">
      <c r="A299" t="s">
        <v>650</v>
      </c>
      <c r="B299" t="s">
        <v>61</v>
      </c>
      <c r="C299" t="s">
        <v>62</v>
      </c>
      <c r="D299" t="s">
        <v>63</v>
      </c>
      <c r="E299" t="s">
        <v>651</v>
      </c>
      <c r="F299" t="s">
        <v>44</v>
      </c>
      <c r="G299">
        <v>18603</v>
      </c>
      <c r="H299">
        <v>45903</v>
      </c>
      <c r="I299">
        <v>45947</v>
      </c>
      <c r="J299">
        <v>41</v>
      </c>
      <c r="K299">
        <v>41</v>
      </c>
      <c r="L299">
        <f t="shared" si="32"/>
        <v>0</v>
      </c>
      <c r="M299" t="str">
        <f t="shared" si="33"/>
        <v>On Time</v>
      </c>
      <c r="N299">
        <v>9</v>
      </c>
      <c r="O299">
        <v>7</v>
      </c>
      <c r="P299">
        <f t="shared" si="34"/>
        <v>0.77777777777777779</v>
      </c>
      <c r="Q299">
        <v>36</v>
      </c>
      <c r="R299">
        <v>453.7</v>
      </c>
      <c r="S299">
        <v>20603</v>
      </c>
      <c r="T299" t="s">
        <v>45</v>
      </c>
      <c r="U299">
        <v>2</v>
      </c>
      <c r="V299">
        <v>7</v>
      </c>
      <c r="W299">
        <v>5</v>
      </c>
      <c r="X299">
        <v>3</v>
      </c>
      <c r="Y299">
        <v>3.91</v>
      </c>
      <c r="Z299">
        <v>4</v>
      </c>
      <c r="AA299">
        <v>0.8</v>
      </c>
      <c r="AB299">
        <f t="shared" si="35"/>
        <v>5</v>
      </c>
      <c r="AC299">
        <f t="shared" si="36"/>
        <v>4.21</v>
      </c>
      <c r="AD299" t="str">
        <f t="shared" si="37"/>
        <v>⭐⭐⭐⭐</v>
      </c>
      <c r="AE299" t="str">
        <f t="shared" si="38"/>
        <v>Maintain current resource allocation</v>
      </c>
      <c r="AF299" t="str">
        <f t="shared" si="39"/>
        <v>Recommended for medium-high orders</v>
      </c>
    </row>
    <row r="300" spans="1:32" ht="24" customHeight="1">
      <c r="A300" t="s">
        <v>652</v>
      </c>
      <c r="B300" t="s">
        <v>61</v>
      </c>
      <c r="C300" t="s">
        <v>62</v>
      </c>
      <c r="D300" t="s">
        <v>63</v>
      </c>
      <c r="E300" t="s">
        <v>653</v>
      </c>
      <c r="F300" t="s">
        <v>67</v>
      </c>
      <c r="G300">
        <v>45091</v>
      </c>
      <c r="H300">
        <v>45953</v>
      </c>
      <c r="I300">
        <v>46037</v>
      </c>
      <c r="J300">
        <v>75</v>
      </c>
      <c r="K300">
        <v>79</v>
      </c>
      <c r="L300">
        <f t="shared" si="32"/>
        <v>4</v>
      </c>
      <c r="M300" t="str">
        <f t="shared" si="33"/>
        <v>Delayed</v>
      </c>
      <c r="N300">
        <v>9</v>
      </c>
      <c r="O300">
        <v>7</v>
      </c>
      <c r="P300">
        <f t="shared" si="34"/>
        <v>0.77777777777777779</v>
      </c>
      <c r="Q300">
        <v>39</v>
      </c>
      <c r="R300">
        <v>570.79999999999995</v>
      </c>
      <c r="S300">
        <v>49091</v>
      </c>
      <c r="T300" t="s">
        <v>45</v>
      </c>
      <c r="U300">
        <v>2</v>
      </c>
      <c r="V300">
        <v>11</v>
      </c>
      <c r="W300">
        <v>1</v>
      </c>
      <c r="X300">
        <v>0</v>
      </c>
      <c r="Y300">
        <v>3.22</v>
      </c>
      <c r="Z300">
        <v>4</v>
      </c>
      <c r="AA300">
        <v>0.8</v>
      </c>
      <c r="AB300">
        <f t="shared" si="35"/>
        <v>5</v>
      </c>
      <c r="AC300">
        <f t="shared" si="36"/>
        <v>4.0999999999999996</v>
      </c>
      <c r="AD300" t="str">
        <f t="shared" si="37"/>
        <v>⭐⭐⭐⭐</v>
      </c>
      <c r="AE300" t="str">
        <f t="shared" si="38"/>
        <v>Reduce risk days and add supervisor monitoring</v>
      </c>
      <c r="AF300" t="str">
        <f t="shared" si="39"/>
        <v>Recommended for medium-high orders</v>
      </c>
    </row>
    <row r="301" spans="1:32" ht="24" customHeight="1">
      <c r="A301" t="s">
        <v>654</v>
      </c>
      <c r="B301" t="s">
        <v>53</v>
      </c>
      <c r="C301" t="s">
        <v>54</v>
      </c>
      <c r="D301" t="s">
        <v>55</v>
      </c>
      <c r="E301" t="s">
        <v>655</v>
      </c>
      <c r="F301" t="s">
        <v>44</v>
      </c>
      <c r="G301">
        <v>6892</v>
      </c>
      <c r="H301">
        <v>45674</v>
      </c>
      <c r="I301">
        <v>45695</v>
      </c>
      <c r="J301">
        <v>20</v>
      </c>
      <c r="K301">
        <v>19</v>
      </c>
      <c r="L301">
        <f t="shared" si="32"/>
        <v>-1</v>
      </c>
      <c r="M301" t="str">
        <f t="shared" si="33"/>
        <v>Early</v>
      </c>
      <c r="N301">
        <v>19</v>
      </c>
      <c r="O301">
        <v>14</v>
      </c>
      <c r="P301">
        <f t="shared" si="34"/>
        <v>0.73684210526315785</v>
      </c>
      <c r="Q301">
        <v>47</v>
      </c>
      <c r="R301">
        <v>362.7</v>
      </c>
      <c r="S301">
        <v>8892</v>
      </c>
      <c r="T301" t="s">
        <v>45</v>
      </c>
      <c r="U301">
        <v>2</v>
      </c>
      <c r="V301">
        <v>4</v>
      </c>
      <c r="W301">
        <v>1</v>
      </c>
      <c r="X301">
        <v>3</v>
      </c>
      <c r="Y301">
        <v>2.99</v>
      </c>
      <c r="Z301">
        <v>4.5</v>
      </c>
      <c r="AA301">
        <v>0.88</v>
      </c>
      <c r="AB301">
        <f t="shared" si="35"/>
        <v>5</v>
      </c>
      <c r="AC301">
        <f t="shared" si="36"/>
        <v>4.47</v>
      </c>
      <c r="AD301" t="str">
        <f t="shared" si="37"/>
        <v>⭐⭐⭐⭐</v>
      </c>
      <c r="AE301" t="str">
        <f t="shared" si="38"/>
        <v>Maintain current resource allocation</v>
      </c>
      <c r="AF301" t="str">
        <f t="shared" si="39"/>
        <v>Recommended for medium-high orders</v>
      </c>
    </row>
    <row r="302" spans="1:32" ht="24" customHeight="1">
      <c r="A302" t="s">
        <v>656</v>
      </c>
      <c r="B302" t="s">
        <v>40</v>
      </c>
      <c r="C302" t="s">
        <v>41</v>
      </c>
      <c r="D302" t="s">
        <v>42</v>
      </c>
      <c r="E302" t="s">
        <v>657</v>
      </c>
      <c r="F302" t="s">
        <v>57</v>
      </c>
      <c r="G302">
        <v>11088</v>
      </c>
      <c r="H302">
        <v>45736</v>
      </c>
      <c r="I302">
        <v>45779</v>
      </c>
      <c r="J302">
        <v>38</v>
      </c>
      <c r="K302">
        <v>42</v>
      </c>
      <c r="L302">
        <f t="shared" si="32"/>
        <v>4</v>
      </c>
      <c r="M302" t="str">
        <f t="shared" si="33"/>
        <v>Delayed</v>
      </c>
      <c r="N302">
        <v>11</v>
      </c>
      <c r="O302">
        <v>9</v>
      </c>
      <c r="P302">
        <f t="shared" si="34"/>
        <v>0.81818181818181823</v>
      </c>
      <c r="Q302">
        <v>40</v>
      </c>
      <c r="R302">
        <v>264</v>
      </c>
      <c r="S302">
        <v>14088</v>
      </c>
      <c r="T302" t="s">
        <v>45</v>
      </c>
      <c r="U302">
        <v>0</v>
      </c>
      <c r="V302">
        <v>4</v>
      </c>
      <c r="W302">
        <v>4</v>
      </c>
      <c r="X302">
        <v>3</v>
      </c>
      <c r="Y302">
        <v>3.45</v>
      </c>
      <c r="Z302">
        <v>4.3</v>
      </c>
      <c r="AA302">
        <v>0.85</v>
      </c>
      <c r="AB302">
        <f t="shared" si="35"/>
        <v>5</v>
      </c>
      <c r="AC302">
        <f t="shared" si="36"/>
        <v>4.29</v>
      </c>
      <c r="AD302" t="str">
        <f t="shared" si="37"/>
        <v>⭐⭐⭐⭐</v>
      </c>
      <c r="AE302" t="str">
        <f t="shared" si="38"/>
        <v>Increase machine maintenance support</v>
      </c>
      <c r="AF302" t="str">
        <f t="shared" si="39"/>
        <v>Recommended for medium-high orders</v>
      </c>
    </row>
    <row r="303" spans="1:32" ht="24" customHeight="1">
      <c r="A303" t="s">
        <v>658</v>
      </c>
      <c r="B303" t="s">
        <v>53</v>
      </c>
      <c r="C303" t="s">
        <v>54</v>
      </c>
      <c r="D303" t="s">
        <v>55</v>
      </c>
      <c r="E303" t="s">
        <v>659</v>
      </c>
      <c r="F303" t="s">
        <v>57</v>
      </c>
      <c r="G303">
        <v>10084</v>
      </c>
      <c r="H303">
        <v>45817</v>
      </c>
      <c r="I303">
        <v>45851</v>
      </c>
      <c r="J303">
        <v>34</v>
      </c>
      <c r="K303">
        <v>34</v>
      </c>
      <c r="L303">
        <f t="shared" si="32"/>
        <v>0</v>
      </c>
      <c r="M303" t="str">
        <f t="shared" si="33"/>
        <v>On Time</v>
      </c>
      <c r="N303">
        <v>13</v>
      </c>
      <c r="O303">
        <v>10</v>
      </c>
      <c r="P303">
        <f t="shared" si="34"/>
        <v>0.76923076923076927</v>
      </c>
      <c r="Q303">
        <v>60</v>
      </c>
      <c r="R303">
        <v>296.60000000000002</v>
      </c>
      <c r="S303">
        <v>10084</v>
      </c>
      <c r="T303" t="s">
        <v>38</v>
      </c>
      <c r="U303">
        <v>0</v>
      </c>
      <c r="V303">
        <v>1</v>
      </c>
      <c r="W303">
        <v>3</v>
      </c>
      <c r="X303">
        <v>0</v>
      </c>
      <c r="Y303">
        <v>2.83</v>
      </c>
      <c r="Z303">
        <v>4.5</v>
      </c>
      <c r="AA303">
        <v>0.88</v>
      </c>
      <c r="AB303">
        <f t="shared" si="35"/>
        <v>5</v>
      </c>
      <c r="AC303">
        <f t="shared" si="36"/>
        <v>4.46</v>
      </c>
      <c r="AD303" t="str">
        <f t="shared" si="37"/>
        <v>⭐⭐⭐⭐</v>
      </c>
      <c r="AE303" t="str">
        <f t="shared" si="38"/>
        <v>Suitable for urgent style handling</v>
      </c>
      <c r="AF303" t="str">
        <f t="shared" si="39"/>
        <v>Recommended for medium-high orders</v>
      </c>
    </row>
    <row r="304" spans="1:32" ht="24" customHeight="1">
      <c r="A304" t="s">
        <v>660</v>
      </c>
      <c r="B304" t="s">
        <v>33</v>
      </c>
      <c r="C304" t="s">
        <v>34</v>
      </c>
      <c r="D304" t="s">
        <v>35</v>
      </c>
      <c r="E304" t="s">
        <v>661</v>
      </c>
      <c r="F304" t="s">
        <v>37</v>
      </c>
      <c r="G304">
        <v>25298</v>
      </c>
      <c r="H304">
        <v>45718</v>
      </c>
      <c r="I304">
        <v>45763</v>
      </c>
      <c r="J304">
        <v>39</v>
      </c>
      <c r="K304">
        <v>43</v>
      </c>
      <c r="L304">
        <f t="shared" si="32"/>
        <v>4</v>
      </c>
      <c r="M304" t="str">
        <f t="shared" si="33"/>
        <v>Delayed</v>
      </c>
      <c r="N304">
        <v>15</v>
      </c>
      <c r="O304">
        <v>11</v>
      </c>
      <c r="P304">
        <f t="shared" si="34"/>
        <v>0.73333333333333328</v>
      </c>
      <c r="Q304">
        <v>43</v>
      </c>
      <c r="R304">
        <v>588.29999999999995</v>
      </c>
      <c r="S304">
        <v>27298</v>
      </c>
      <c r="T304" t="s">
        <v>38</v>
      </c>
      <c r="U304">
        <v>4</v>
      </c>
      <c r="V304">
        <v>7</v>
      </c>
      <c r="W304">
        <v>0</v>
      </c>
      <c r="X304">
        <v>1</v>
      </c>
      <c r="Y304">
        <v>3</v>
      </c>
      <c r="Z304">
        <v>4.2</v>
      </c>
      <c r="AA304">
        <v>0.83</v>
      </c>
      <c r="AB304">
        <f t="shared" si="35"/>
        <v>5</v>
      </c>
      <c r="AC304">
        <f t="shared" si="36"/>
        <v>4.17</v>
      </c>
      <c r="AD304" t="str">
        <f t="shared" si="37"/>
        <v>⭐⭐⭐⭐</v>
      </c>
      <c r="AE304" t="str">
        <f t="shared" si="38"/>
        <v>Increase daily output monitoring</v>
      </c>
      <c r="AF304" t="str">
        <f t="shared" si="39"/>
        <v>Recommended for medium-high orders</v>
      </c>
    </row>
    <row r="305" spans="1:32" ht="24" customHeight="1">
      <c r="A305" t="s">
        <v>662</v>
      </c>
      <c r="B305" t="s">
        <v>78</v>
      </c>
      <c r="C305" t="s">
        <v>79</v>
      </c>
      <c r="D305" t="s">
        <v>80</v>
      </c>
      <c r="E305" t="s">
        <v>663</v>
      </c>
      <c r="F305" t="s">
        <v>44</v>
      </c>
      <c r="G305">
        <v>2499</v>
      </c>
      <c r="H305">
        <v>45971</v>
      </c>
      <c r="I305">
        <v>45996</v>
      </c>
      <c r="J305">
        <v>25</v>
      </c>
      <c r="K305">
        <v>23</v>
      </c>
      <c r="L305">
        <f t="shared" si="32"/>
        <v>-2</v>
      </c>
      <c r="M305" t="str">
        <f t="shared" si="33"/>
        <v>Early</v>
      </c>
      <c r="N305">
        <v>19</v>
      </c>
      <c r="O305">
        <v>16</v>
      </c>
      <c r="P305">
        <f t="shared" si="34"/>
        <v>0.84210526315789469</v>
      </c>
      <c r="Q305">
        <v>55</v>
      </c>
      <c r="R305">
        <v>108.7</v>
      </c>
      <c r="S305">
        <v>2499</v>
      </c>
      <c r="T305" t="s">
        <v>45</v>
      </c>
      <c r="U305">
        <v>2</v>
      </c>
      <c r="V305">
        <v>5</v>
      </c>
      <c r="W305">
        <v>3</v>
      </c>
      <c r="X305">
        <v>3</v>
      </c>
      <c r="Y305">
        <v>2.79</v>
      </c>
      <c r="Z305">
        <v>4.8</v>
      </c>
      <c r="AA305">
        <v>0.92</v>
      </c>
      <c r="AB305">
        <f t="shared" si="35"/>
        <v>5</v>
      </c>
      <c r="AC305">
        <f t="shared" si="36"/>
        <v>4.6900000000000004</v>
      </c>
      <c r="AD305" t="str">
        <f t="shared" si="37"/>
        <v>⭐⭐⭐⭐⭐</v>
      </c>
      <c r="AE305" t="str">
        <f t="shared" si="38"/>
        <v>Maintain current resource allocation</v>
      </c>
      <c r="AF305" t="str">
        <f t="shared" si="39"/>
        <v>Best for urgent/high priority orders</v>
      </c>
    </row>
    <row r="306" spans="1:32" ht="24" customHeight="1">
      <c r="A306" t="s">
        <v>664</v>
      </c>
      <c r="B306" t="s">
        <v>40</v>
      </c>
      <c r="C306" t="s">
        <v>41</v>
      </c>
      <c r="D306" t="s">
        <v>42</v>
      </c>
      <c r="E306" t="s">
        <v>665</v>
      </c>
      <c r="F306" t="s">
        <v>37</v>
      </c>
      <c r="G306">
        <v>10950</v>
      </c>
      <c r="H306">
        <v>45931</v>
      </c>
      <c r="I306">
        <v>45973</v>
      </c>
      <c r="J306">
        <v>39</v>
      </c>
      <c r="K306">
        <v>42</v>
      </c>
      <c r="L306">
        <f t="shared" si="32"/>
        <v>3</v>
      </c>
      <c r="M306" t="str">
        <f t="shared" si="33"/>
        <v>Delayed</v>
      </c>
      <c r="N306">
        <v>18</v>
      </c>
      <c r="O306">
        <v>14</v>
      </c>
      <c r="P306">
        <f t="shared" si="34"/>
        <v>0.77777777777777779</v>
      </c>
      <c r="Q306">
        <v>47</v>
      </c>
      <c r="R306">
        <v>260.7</v>
      </c>
      <c r="S306">
        <v>12950</v>
      </c>
      <c r="T306" t="s">
        <v>45</v>
      </c>
      <c r="U306">
        <v>1</v>
      </c>
      <c r="V306">
        <v>8</v>
      </c>
      <c r="W306">
        <v>3</v>
      </c>
      <c r="X306">
        <v>4</v>
      </c>
      <c r="Y306">
        <v>3</v>
      </c>
      <c r="Z306">
        <v>4.3</v>
      </c>
      <c r="AA306">
        <v>0.85</v>
      </c>
      <c r="AB306">
        <f t="shared" si="35"/>
        <v>5</v>
      </c>
      <c r="AC306">
        <f t="shared" si="36"/>
        <v>4.26</v>
      </c>
      <c r="AD306" t="str">
        <f t="shared" si="37"/>
        <v>⭐⭐⭐⭐</v>
      </c>
      <c r="AE306" t="str">
        <f t="shared" si="38"/>
        <v>Improve workforce allocation</v>
      </c>
      <c r="AF306" t="str">
        <f t="shared" si="39"/>
        <v>Recommended for medium-high orders</v>
      </c>
    </row>
    <row r="307" spans="1:32" ht="24" customHeight="1">
      <c r="A307" t="s">
        <v>666</v>
      </c>
      <c r="B307" t="s">
        <v>69</v>
      </c>
      <c r="C307" t="s">
        <v>70</v>
      </c>
      <c r="D307" t="s">
        <v>71</v>
      </c>
      <c r="E307" t="s">
        <v>667</v>
      </c>
      <c r="F307" t="s">
        <v>57</v>
      </c>
      <c r="G307">
        <v>6522</v>
      </c>
      <c r="H307">
        <v>45844</v>
      </c>
      <c r="I307">
        <v>45878</v>
      </c>
      <c r="J307">
        <v>29</v>
      </c>
      <c r="K307">
        <v>31</v>
      </c>
      <c r="L307">
        <f t="shared" si="32"/>
        <v>2</v>
      </c>
      <c r="M307" t="str">
        <f t="shared" si="33"/>
        <v>Delayed</v>
      </c>
      <c r="N307">
        <v>15</v>
      </c>
      <c r="O307">
        <v>11</v>
      </c>
      <c r="P307">
        <f t="shared" si="34"/>
        <v>0.73333333333333328</v>
      </c>
      <c r="Q307">
        <v>34</v>
      </c>
      <c r="R307">
        <v>210.4</v>
      </c>
      <c r="S307">
        <v>7522</v>
      </c>
      <c r="T307" t="s">
        <v>45</v>
      </c>
      <c r="U307">
        <v>2</v>
      </c>
      <c r="V307">
        <v>3</v>
      </c>
      <c r="W307">
        <v>3</v>
      </c>
      <c r="X307">
        <v>2</v>
      </c>
      <c r="Y307">
        <v>4</v>
      </c>
      <c r="Z307">
        <v>3.8</v>
      </c>
      <c r="AA307">
        <v>0.78</v>
      </c>
      <c r="AB307">
        <f t="shared" si="35"/>
        <v>5</v>
      </c>
      <c r="AC307">
        <f t="shared" si="36"/>
        <v>3.99</v>
      </c>
      <c r="AD307" t="str">
        <f t="shared" si="37"/>
        <v>⭐⭐⭐</v>
      </c>
      <c r="AE307" t="str">
        <f t="shared" si="38"/>
        <v>Increase daily output monitoring</v>
      </c>
      <c r="AF307" t="str">
        <f t="shared" si="39"/>
        <v>Use for normal priority orders</v>
      </c>
    </row>
    <row r="308" spans="1:32" ht="24" customHeight="1">
      <c r="A308" t="s">
        <v>668</v>
      </c>
      <c r="B308" t="s">
        <v>78</v>
      </c>
      <c r="C308" t="s">
        <v>79</v>
      </c>
      <c r="D308" t="s">
        <v>80</v>
      </c>
      <c r="E308" t="s">
        <v>669</v>
      </c>
      <c r="F308" t="s">
        <v>44</v>
      </c>
      <c r="G308">
        <v>16853</v>
      </c>
      <c r="H308">
        <v>45712</v>
      </c>
      <c r="I308">
        <v>45751</v>
      </c>
      <c r="J308">
        <v>39</v>
      </c>
      <c r="K308">
        <v>37</v>
      </c>
      <c r="L308">
        <f t="shared" si="32"/>
        <v>-2</v>
      </c>
      <c r="M308" t="str">
        <f t="shared" si="33"/>
        <v>Early</v>
      </c>
      <c r="N308">
        <v>20</v>
      </c>
      <c r="O308">
        <v>17</v>
      </c>
      <c r="P308">
        <f t="shared" si="34"/>
        <v>0.85</v>
      </c>
      <c r="Q308">
        <v>54</v>
      </c>
      <c r="R308">
        <v>455.5</v>
      </c>
      <c r="S308">
        <v>20853</v>
      </c>
      <c r="T308" t="s">
        <v>38</v>
      </c>
      <c r="U308">
        <v>0</v>
      </c>
      <c r="V308">
        <v>4</v>
      </c>
      <c r="W308">
        <v>2</v>
      </c>
      <c r="X308">
        <v>2</v>
      </c>
      <c r="Y308">
        <v>2.31</v>
      </c>
      <c r="Z308">
        <v>4.8</v>
      </c>
      <c r="AA308">
        <v>0.92</v>
      </c>
      <c r="AB308">
        <f t="shared" si="35"/>
        <v>5</v>
      </c>
      <c r="AC308">
        <f t="shared" si="36"/>
        <v>4.7</v>
      </c>
      <c r="AD308" t="str">
        <f t="shared" si="37"/>
        <v>⭐⭐⭐⭐⭐</v>
      </c>
      <c r="AE308" t="str">
        <f t="shared" si="38"/>
        <v>Suitable for urgent style handling</v>
      </c>
      <c r="AF308" t="str">
        <f t="shared" si="39"/>
        <v>Best for urgent/high priority orders</v>
      </c>
    </row>
    <row r="309" spans="1:32" ht="24" customHeight="1">
      <c r="A309" t="s">
        <v>670</v>
      </c>
      <c r="B309" t="s">
        <v>40</v>
      </c>
      <c r="C309" t="s">
        <v>41</v>
      </c>
      <c r="D309" t="s">
        <v>42</v>
      </c>
      <c r="E309" t="s">
        <v>671</v>
      </c>
      <c r="F309" t="s">
        <v>37</v>
      </c>
      <c r="G309">
        <v>19899</v>
      </c>
      <c r="H309">
        <v>45880</v>
      </c>
      <c r="I309">
        <v>45927</v>
      </c>
      <c r="J309">
        <v>41</v>
      </c>
      <c r="K309">
        <v>43</v>
      </c>
      <c r="L309">
        <f t="shared" si="32"/>
        <v>2</v>
      </c>
      <c r="M309" t="str">
        <f t="shared" si="33"/>
        <v>Delayed</v>
      </c>
      <c r="N309">
        <v>18</v>
      </c>
      <c r="O309">
        <v>14</v>
      </c>
      <c r="P309">
        <f t="shared" si="34"/>
        <v>0.77777777777777779</v>
      </c>
      <c r="Q309">
        <v>48</v>
      </c>
      <c r="R309">
        <v>462.8</v>
      </c>
      <c r="S309">
        <v>20899</v>
      </c>
      <c r="T309" t="s">
        <v>45</v>
      </c>
      <c r="U309">
        <v>3</v>
      </c>
      <c r="V309">
        <v>7</v>
      </c>
      <c r="W309">
        <v>1</v>
      </c>
      <c r="X309">
        <v>1</v>
      </c>
      <c r="Y309">
        <v>3.41</v>
      </c>
      <c r="Z309">
        <v>4.3</v>
      </c>
      <c r="AA309">
        <v>0.85</v>
      </c>
      <c r="AB309">
        <f t="shared" si="35"/>
        <v>5</v>
      </c>
      <c r="AC309">
        <f t="shared" si="36"/>
        <v>4.26</v>
      </c>
      <c r="AD309" t="str">
        <f t="shared" si="37"/>
        <v>⭐⭐⭐⭐</v>
      </c>
      <c r="AE309" t="str">
        <f t="shared" si="38"/>
        <v>Increase daily output monitoring</v>
      </c>
      <c r="AF309" t="str">
        <f t="shared" si="39"/>
        <v>Recommended for medium-high orders</v>
      </c>
    </row>
    <row r="310" spans="1:32" ht="24" customHeight="1">
      <c r="A310" t="s">
        <v>672</v>
      </c>
      <c r="B310" t="s">
        <v>61</v>
      </c>
      <c r="C310" t="s">
        <v>62</v>
      </c>
      <c r="D310" t="s">
        <v>63</v>
      </c>
      <c r="E310" t="s">
        <v>673</v>
      </c>
      <c r="F310" t="s">
        <v>67</v>
      </c>
      <c r="G310">
        <v>42552</v>
      </c>
      <c r="H310">
        <v>45852</v>
      </c>
      <c r="I310">
        <v>45931</v>
      </c>
      <c r="J310">
        <v>73</v>
      </c>
      <c r="K310">
        <v>77</v>
      </c>
      <c r="L310">
        <f t="shared" si="32"/>
        <v>4</v>
      </c>
      <c r="M310" t="str">
        <f t="shared" si="33"/>
        <v>Delayed</v>
      </c>
      <c r="N310">
        <v>16</v>
      </c>
      <c r="O310">
        <v>10</v>
      </c>
      <c r="P310">
        <f t="shared" si="34"/>
        <v>0.625</v>
      </c>
      <c r="Q310">
        <v>42</v>
      </c>
      <c r="R310">
        <v>552.6</v>
      </c>
      <c r="S310">
        <v>42552</v>
      </c>
      <c r="T310" t="s">
        <v>45</v>
      </c>
      <c r="U310">
        <v>0</v>
      </c>
      <c r="V310">
        <v>10</v>
      </c>
      <c r="W310">
        <v>4</v>
      </c>
      <c r="X310">
        <v>2</v>
      </c>
      <c r="Y310">
        <v>3.06</v>
      </c>
      <c r="Z310">
        <v>4</v>
      </c>
      <c r="AA310">
        <v>0.8</v>
      </c>
      <c r="AB310">
        <f t="shared" si="35"/>
        <v>5</v>
      </c>
      <c r="AC310">
        <f t="shared" si="36"/>
        <v>3.99</v>
      </c>
      <c r="AD310" t="str">
        <f t="shared" si="37"/>
        <v>⭐⭐⭐</v>
      </c>
      <c r="AE310" t="str">
        <f t="shared" si="38"/>
        <v>Reduce risk days and add supervisor monitoring</v>
      </c>
      <c r="AF310" t="str">
        <f t="shared" si="39"/>
        <v>Use for normal priority orders</v>
      </c>
    </row>
    <row r="311" spans="1:32" ht="24" customHeight="1">
      <c r="A311" t="s">
        <v>674</v>
      </c>
      <c r="B311" t="s">
        <v>40</v>
      </c>
      <c r="C311" t="s">
        <v>41</v>
      </c>
      <c r="D311" t="s">
        <v>42</v>
      </c>
      <c r="E311" t="s">
        <v>675</v>
      </c>
      <c r="F311" t="s">
        <v>37</v>
      </c>
      <c r="G311">
        <v>17130</v>
      </c>
      <c r="H311">
        <v>45758</v>
      </c>
      <c r="I311">
        <v>45790</v>
      </c>
      <c r="J311">
        <v>28</v>
      </c>
      <c r="K311">
        <v>31</v>
      </c>
      <c r="L311">
        <f t="shared" si="32"/>
        <v>3</v>
      </c>
      <c r="M311" t="str">
        <f t="shared" si="33"/>
        <v>Delayed</v>
      </c>
      <c r="N311">
        <v>13</v>
      </c>
      <c r="O311">
        <v>10</v>
      </c>
      <c r="P311">
        <f t="shared" si="34"/>
        <v>0.76923076923076927</v>
      </c>
      <c r="Q311">
        <v>47</v>
      </c>
      <c r="R311">
        <v>552.6</v>
      </c>
      <c r="S311">
        <v>20130</v>
      </c>
      <c r="T311" t="s">
        <v>45</v>
      </c>
      <c r="U311">
        <v>3</v>
      </c>
      <c r="V311">
        <v>1</v>
      </c>
      <c r="W311">
        <v>4</v>
      </c>
      <c r="X311">
        <v>1</v>
      </c>
      <c r="Y311">
        <v>3.15</v>
      </c>
      <c r="Z311">
        <v>4.3</v>
      </c>
      <c r="AA311">
        <v>0.85</v>
      </c>
      <c r="AB311">
        <f t="shared" si="35"/>
        <v>5</v>
      </c>
      <c r="AC311">
        <f t="shared" si="36"/>
        <v>4.25</v>
      </c>
      <c r="AD311" t="str">
        <f t="shared" si="37"/>
        <v>⭐⭐⭐⭐</v>
      </c>
      <c r="AE311" t="str">
        <f t="shared" si="38"/>
        <v>Increase machine maintenance support</v>
      </c>
      <c r="AF311" t="str">
        <f t="shared" si="39"/>
        <v>Recommended for medium-high orders</v>
      </c>
    </row>
    <row r="312" spans="1:32" ht="24" customHeight="1">
      <c r="A312" t="s">
        <v>676</v>
      </c>
      <c r="B312" t="s">
        <v>33</v>
      </c>
      <c r="C312" t="s">
        <v>34</v>
      </c>
      <c r="D312" t="s">
        <v>35</v>
      </c>
      <c r="E312" t="s">
        <v>677</v>
      </c>
      <c r="F312" t="s">
        <v>44</v>
      </c>
      <c r="G312">
        <v>11979</v>
      </c>
      <c r="H312">
        <v>45658</v>
      </c>
      <c r="I312">
        <v>45700</v>
      </c>
      <c r="J312">
        <v>37</v>
      </c>
      <c r="K312">
        <v>37</v>
      </c>
      <c r="L312">
        <f t="shared" si="32"/>
        <v>0</v>
      </c>
      <c r="M312" t="str">
        <f t="shared" si="33"/>
        <v>On Time</v>
      </c>
      <c r="N312">
        <v>16</v>
      </c>
      <c r="O312">
        <v>13</v>
      </c>
      <c r="P312">
        <f t="shared" si="34"/>
        <v>0.8125</v>
      </c>
      <c r="Q312">
        <v>43</v>
      </c>
      <c r="R312">
        <v>323.8</v>
      </c>
      <c r="S312">
        <v>11979</v>
      </c>
      <c r="T312" t="s">
        <v>45</v>
      </c>
      <c r="U312">
        <v>2</v>
      </c>
      <c r="V312">
        <v>13</v>
      </c>
      <c r="W312">
        <v>0</v>
      </c>
      <c r="X312">
        <v>0</v>
      </c>
      <c r="Y312">
        <v>4.16</v>
      </c>
      <c r="Z312">
        <v>4.2</v>
      </c>
      <c r="AA312">
        <v>0.83</v>
      </c>
      <c r="AB312">
        <f t="shared" si="35"/>
        <v>5</v>
      </c>
      <c r="AC312">
        <f t="shared" si="36"/>
        <v>4.34</v>
      </c>
      <c r="AD312" t="str">
        <f t="shared" si="37"/>
        <v>⭐⭐⭐⭐</v>
      </c>
      <c r="AE312" t="str">
        <f t="shared" si="38"/>
        <v>Maintain current resource allocation</v>
      </c>
      <c r="AF312" t="str">
        <f t="shared" si="39"/>
        <v>Recommended for medium-high orders</v>
      </c>
    </row>
    <row r="313" spans="1:32" ht="24" customHeight="1">
      <c r="A313" t="s">
        <v>678</v>
      </c>
      <c r="B313" t="s">
        <v>40</v>
      </c>
      <c r="C313" t="s">
        <v>41</v>
      </c>
      <c r="D313" t="s">
        <v>42</v>
      </c>
      <c r="E313" t="s">
        <v>679</v>
      </c>
      <c r="F313" t="s">
        <v>44</v>
      </c>
      <c r="G313">
        <v>11247</v>
      </c>
      <c r="H313">
        <v>45942</v>
      </c>
      <c r="I313">
        <v>45968</v>
      </c>
      <c r="J313">
        <v>24</v>
      </c>
      <c r="K313">
        <v>23</v>
      </c>
      <c r="L313">
        <f t="shared" si="32"/>
        <v>-1</v>
      </c>
      <c r="M313" t="str">
        <f t="shared" si="33"/>
        <v>Early</v>
      </c>
      <c r="N313">
        <v>14</v>
      </c>
      <c r="O313">
        <v>11</v>
      </c>
      <c r="P313">
        <f t="shared" si="34"/>
        <v>0.7857142857142857</v>
      </c>
      <c r="Q313">
        <v>53</v>
      </c>
      <c r="R313">
        <v>489</v>
      </c>
      <c r="S313">
        <v>12247</v>
      </c>
      <c r="T313" t="s">
        <v>38</v>
      </c>
      <c r="U313">
        <v>1</v>
      </c>
      <c r="V313">
        <v>4</v>
      </c>
      <c r="W313">
        <v>0</v>
      </c>
      <c r="X313">
        <v>0</v>
      </c>
      <c r="Y313">
        <v>3.42</v>
      </c>
      <c r="Z313">
        <v>4.3</v>
      </c>
      <c r="AA313">
        <v>0.85</v>
      </c>
      <c r="AB313">
        <f t="shared" si="35"/>
        <v>5</v>
      </c>
      <c r="AC313">
        <f t="shared" si="36"/>
        <v>4.41</v>
      </c>
      <c r="AD313" t="str">
        <f t="shared" si="37"/>
        <v>⭐⭐⭐⭐</v>
      </c>
      <c r="AE313" t="str">
        <f t="shared" si="38"/>
        <v>Suitable for urgent style handling</v>
      </c>
      <c r="AF313" t="str">
        <f t="shared" si="39"/>
        <v>Recommended for medium-high orders</v>
      </c>
    </row>
    <row r="314" spans="1:32" ht="24" customHeight="1">
      <c r="A314" t="s">
        <v>680</v>
      </c>
      <c r="B314" t="s">
        <v>61</v>
      </c>
      <c r="C314" t="s">
        <v>62</v>
      </c>
      <c r="D314" t="s">
        <v>63</v>
      </c>
      <c r="E314" t="s">
        <v>681</v>
      </c>
      <c r="F314" t="s">
        <v>44</v>
      </c>
      <c r="G314">
        <v>7055</v>
      </c>
      <c r="H314">
        <v>45891</v>
      </c>
      <c r="I314">
        <v>45919</v>
      </c>
      <c r="J314">
        <v>20</v>
      </c>
      <c r="K314">
        <v>23</v>
      </c>
      <c r="L314">
        <f t="shared" si="32"/>
        <v>3</v>
      </c>
      <c r="M314" t="str">
        <f t="shared" si="33"/>
        <v>Delayed</v>
      </c>
      <c r="N314">
        <v>16</v>
      </c>
      <c r="O314">
        <v>12</v>
      </c>
      <c r="P314">
        <f t="shared" si="34"/>
        <v>0.75</v>
      </c>
      <c r="Q314">
        <v>34</v>
      </c>
      <c r="R314">
        <v>306.7</v>
      </c>
      <c r="S314">
        <v>7055</v>
      </c>
      <c r="T314" t="s">
        <v>45</v>
      </c>
      <c r="U314">
        <v>1</v>
      </c>
      <c r="V314">
        <v>6</v>
      </c>
      <c r="W314">
        <v>2</v>
      </c>
      <c r="X314">
        <v>3</v>
      </c>
      <c r="Y314">
        <v>3.01</v>
      </c>
      <c r="Z314">
        <v>4</v>
      </c>
      <c r="AA314">
        <v>0.8</v>
      </c>
      <c r="AB314">
        <f t="shared" si="35"/>
        <v>5</v>
      </c>
      <c r="AC314">
        <f t="shared" si="36"/>
        <v>4.08</v>
      </c>
      <c r="AD314" t="str">
        <f t="shared" si="37"/>
        <v>⭐⭐⭐⭐</v>
      </c>
      <c r="AE314" t="str">
        <f t="shared" si="38"/>
        <v>Increase daily output monitoring</v>
      </c>
      <c r="AF314" t="str">
        <f t="shared" si="39"/>
        <v>Recommended for medium-high orders</v>
      </c>
    </row>
    <row r="315" spans="1:32" ht="24" customHeight="1">
      <c r="A315" t="s">
        <v>682</v>
      </c>
      <c r="B315" t="s">
        <v>33</v>
      </c>
      <c r="C315" t="s">
        <v>34</v>
      </c>
      <c r="D315" t="s">
        <v>35</v>
      </c>
      <c r="E315" t="s">
        <v>683</v>
      </c>
      <c r="F315" t="s">
        <v>57</v>
      </c>
      <c r="G315">
        <v>12444</v>
      </c>
      <c r="H315">
        <v>45868</v>
      </c>
      <c r="I315">
        <v>45914</v>
      </c>
      <c r="J315">
        <v>40</v>
      </c>
      <c r="K315">
        <v>42</v>
      </c>
      <c r="L315">
        <f t="shared" si="32"/>
        <v>2</v>
      </c>
      <c r="M315" t="str">
        <f t="shared" si="33"/>
        <v>Delayed</v>
      </c>
      <c r="N315">
        <v>10</v>
      </c>
      <c r="O315">
        <v>8</v>
      </c>
      <c r="P315">
        <f t="shared" si="34"/>
        <v>0.8</v>
      </c>
      <c r="Q315">
        <v>41</v>
      </c>
      <c r="R315">
        <v>296.3</v>
      </c>
      <c r="S315">
        <v>16444</v>
      </c>
      <c r="T315" t="s">
        <v>45</v>
      </c>
      <c r="U315">
        <v>2</v>
      </c>
      <c r="V315">
        <v>3</v>
      </c>
      <c r="W315">
        <v>3</v>
      </c>
      <c r="X315">
        <v>1</v>
      </c>
      <c r="Y315">
        <v>3.67</v>
      </c>
      <c r="Z315">
        <v>4.2</v>
      </c>
      <c r="AA315">
        <v>0.83</v>
      </c>
      <c r="AB315">
        <f t="shared" si="35"/>
        <v>5</v>
      </c>
      <c r="AC315">
        <f t="shared" si="36"/>
        <v>4.22</v>
      </c>
      <c r="AD315" t="str">
        <f t="shared" si="37"/>
        <v>⭐⭐⭐⭐</v>
      </c>
      <c r="AE315" t="str">
        <f t="shared" si="38"/>
        <v>Increase daily output monitoring</v>
      </c>
      <c r="AF315" t="str">
        <f t="shared" si="39"/>
        <v>Recommended for medium-high orders</v>
      </c>
    </row>
    <row r="316" spans="1:32" ht="24" customHeight="1">
      <c r="A316" t="s">
        <v>684</v>
      </c>
      <c r="B316" t="s">
        <v>33</v>
      </c>
      <c r="C316" t="s">
        <v>34</v>
      </c>
      <c r="D316" t="s">
        <v>35</v>
      </c>
      <c r="E316" t="s">
        <v>685</v>
      </c>
      <c r="F316" t="s">
        <v>37</v>
      </c>
      <c r="G316">
        <v>28617</v>
      </c>
      <c r="H316">
        <v>45697</v>
      </c>
      <c r="I316">
        <v>45756</v>
      </c>
      <c r="J316">
        <v>53</v>
      </c>
      <c r="K316">
        <v>54</v>
      </c>
      <c r="L316">
        <f t="shared" si="32"/>
        <v>1</v>
      </c>
      <c r="M316" t="str">
        <f t="shared" si="33"/>
        <v>Delayed</v>
      </c>
      <c r="N316">
        <v>14</v>
      </c>
      <c r="O316">
        <v>10</v>
      </c>
      <c r="P316">
        <f t="shared" si="34"/>
        <v>0.7142857142857143</v>
      </c>
      <c r="Q316">
        <v>36</v>
      </c>
      <c r="R316">
        <v>529.9</v>
      </c>
      <c r="S316">
        <v>32617</v>
      </c>
      <c r="T316" t="s">
        <v>45</v>
      </c>
      <c r="U316">
        <v>0</v>
      </c>
      <c r="V316">
        <v>8</v>
      </c>
      <c r="W316">
        <v>4</v>
      </c>
      <c r="X316">
        <v>2</v>
      </c>
      <c r="Y316">
        <v>3.22</v>
      </c>
      <c r="Z316">
        <v>4.2</v>
      </c>
      <c r="AA316">
        <v>0.83</v>
      </c>
      <c r="AB316">
        <f t="shared" si="35"/>
        <v>5</v>
      </c>
      <c r="AC316">
        <f t="shared" si="36"/>
        <v>4.1500000000000004</v>
      </c>
      <c r="AD316" t="str">
        <f t="shared" si="37"/>
        <v>⭐⭐⭐⭐</v>
      </c>
      <c r="AE316" t="str">
        <f t="shared" si="38"/>
        <v>Increase machine maintenance support</v>
      </c>
      <c r="AF316" t="str">
        <f t="shared" si="39"/>
        <v>Recommended for medium-high orders</v>
      </c>
    </row>
    <row r="317" spans="1:32" ht="24" customHeight="1">
      <c r="A317" t="s">
        <v>686</v>
      </c>
      <c r="B317" t="s">
        <v>33</v>
      </c>
      <c r="C317" t="s">
        <v>34</v>
      </c>
      <c r="D317" t="s">
        <v>35</v>
      </c>
      <c r="E317" t="s">
        <v>687</v>
      </c>
      <c r="F317" t="s">
        <v>44</v>
      </c>
      <c r="G317">
        <v>13257</v>
      </c>
      <c r="H317">
        <v>45676</v>
      </c>
      <c r="I317">
        <v>45720</v>
      </c>
      <c r="J317">
        <v>41</v>
      </c>
      <c r="K317">
        <v>39</v>
      </c>
      <c r="L317">
        <f t="shared" si="32"/>
        <v>-2</v>
      </c>
      <c r="M317" t="str">
        <f t="shared" si="33"/>
        <v>Early</v>
      </c>
      <c r="N317">
        <v>16</v>
      </c>
      <c r="O317">
        <v>12</v>
      </c>
      <c r="P317">
        <f t="shared" si="34"/>
        <v>0.75</v>
      </c>
      <c r="Q317">
        <v>43</v>
      </c>
      <c r="R317">
        <v>339.9</v>
      </c>
      <c r="S317">
        <v>15257</v>
      </c>
      <c r="T317" t="s">
        <v>45</v>
      </c>
      <c r="U317">
        <v>1</v>
      </c>
      <c r="V317">
        <v>10</v>
      </c>
      <c r="W317">
        <v>1</v>
      </c>
      <c r="X317">
        <v>3</v>
      </c>
      <c r="Y317">
        <v>3.34</v>
      </c>
      <c r="Z317">
        <v>4.2</v>
      </c>
      <c r="AA317">
        <v>0.83</v>
      </c>
      <c r="AB317">
        <f t="shared" si="35"/>
        <v>5</v>
      </c>
      <c r="AC317">
        <f t="shared" si="36"/>
        <v>4.33</v>
      </c>
      <c r="AD317" t="str">
        <f t="shared" si="37"/>
        <v>⭐⭐⭐⭐</v>
      </c>
      <c r="AE317" t="str">
        <f t="shared" si="38"/>
        <v>Maintain current resource allocation</v>
      </c>
      <c r="AF317" t="str">
        <f t="shared" si="39"/>
        <v>Recommended for medium-high orders</v>
      </c>
    </row>
    <row r="318" spans="1:32" ht="24" customHeight="1">
      <c r="A318" t="s">
        <v>688</v>
      </c>
      <c r="B318" t="s">
        <v>69</v>
      </c>
      <c r="C318" t="s">
        <v>70</v>
      </c>
      <c r="D318" t="s">
        <v>71</v>
      </c>
      <c r="E318" t="s">
        <v>689</v>
      </c>
      <c r="F318" t="s">
        <v>44</v>
      </c>
      <c r="G318">
        <v>4012</v>
      </c>
      <c r="H318">
        <v>45725</v>
      </c>
      <c r="I318">
        <v>45758</v>
      </c>
      <c r="J318">
        <v>26</v>
      </c>
      <c r="K318">
        <v>29</v>
      </c>
      <c r="L318">
        <f t="shared" si="32"/>
        <v>3</v>
      </c>
      <c r="M318" t="str">
        <f t="shared" si="33"/>
        <v>Delayed</v>
      </c>
      <c r="N318">
        <v>8</v>
      </c>
      <c r="O318">
        <v>5</v>
      </c>
      <c r="P318">
        <f t="shared" si="34"/>
        <v>0.625</v>
      </c>
      <c r="Q318">
        <v>29</v>
      </c>
      <c r="R318">
        <v>138.30000000000001</v>
      </c>
      <c r="S318">
        <v>5012</v>
      </c>
      <c r="T318" t="s">
        <v>45</v>
      </c>
      <c r="U318">
        <v>0</v>
      </c>
      <c r="V318">
        <v>8</v>
      </c>
      <c r="W318">
        <v>3</v>
      </c>
      <c r="X318">
        <v>7</v>
      </c>
      <c r="Y318">
        <v>3.62</v>
      </c>
      <c r="Z318">
        <v>3.8</v>
      </c>
      <c r="AA318">
        <v>0.78</v>
      </c>
      <c r="AB318">
        <f t="shared" si="35"/>
        <v>5</v>
      </c>
      <c r="AC318">
        <f t="shared" si="36"/>
        <v>3.9</v>
      </c>
      <c r="AD318" t="str">
        <f t="shared" si="37"/>
        <v>⭐⭐⭐</v>
      </c>
      <c r="AE318" t="str">
        <f t="shared" si="38"/>
        <v>Improve workforce allocation</v>
      </c>
      <c r="AF318" t="str">
        <f t="shared" si="39"/>
        <v>Use for normal priority orders</v>
      </c>
    </row>
    <row r="319" spans="1:32" ht="24" customHeight="1">
      <c r="A319" t="s">
        <v>690</v>
      </c>
      <c r="B319" t="s">
        <v>53</v>
      </c>
      <c r="C319" t="s">
        <v>54</v>
      </c>
      <c r="D319" t="s">
        <v>55</v>
      </c>
      <c r="E319" t="s">
        <v>691</v>
      </c>
      <c r="F319" t="s">
        <v>44</v>
      </c>
      <c r="G319">
        <v>5655</v>
      </c>
      <c r="H319">
        <v>45701</v>
      </c>
      <c r="I319">
        <v>45730</v>
      </c>
      <c r="J319">
        <v>25</v>
      </c>
      <c r="K319">
        <v>28</v>
      </c>
      <c r="L319">
        <f t="shared" si="32"/>
        <v>3</v>
      </c>
      <c r="M319" t="str">
        <f t="shared" si="33"/>
        <v>Delayed</v>
      </c>
      <c r="N319">
        <v>16</v>
      </c>
      <c r="O319">
        <v>13</v>
      </c>
      <c r="P319">
        <f t="shared" si="34"/>
        <v>0.8125</v>
      </c>
      <c r="Q319">
        <v>60</v>
      </c>
      <c r="R319">
        <v>202</v>
      </c>
      <c r="S319">
        <v>5655</v>
      </c>
      <c r="T319" t="s">
        <v>38</v>
      </c>
      <c r="U319">
        <v>2</v>
      </c>
      <c r="V319">
        <v>4</v>
      </c>
      <c r="W319">
        <v>1</v>
      </c>
      <c r="X319">
        <v>0</v>
      </c>
      <c r="Y319">
        <v>3.75</v>
      </c>
      <c r="Z319">
        <v>4.5</v>
      </c>
      <c r="AA319">
        <v>0.88</v>
      </c>
      <c r="AB319">
        <f t="shared" si="35"/>
        <v>5</v>
      </c>
      <c r="AC319">
        <f t="shared" si="36"/>
        <v>4.38</v>
      </c>
      <c r="AD319" t="str">
        <f t="shared" si="37"/>
        <v>⭐⭐⭐⭐</v>
      </c>
      <c r="AE319" t="str">
        <f t="shared" si="38"/>
        <v>Increase daily output monitoring</v>
      </c>
      <c r="AF319" t="str">
        <f t="shared" si="39"/>
        <v>Recommended for medium-high orders</v>
      </c>
    </row>
    <row r="320" spans="1:32" ht="24" customHeight="1">
      <c r="A320" t="s">
        <v>692</v>
      </c>
      <c r="B320" t="s">
        <v>33</v>
      </c>
      <c r="C320" t="s">
        <v>34</v>
      </c>
      <c r="D320" t="s">
        <v>35</v>
      </c>
      <c r="E320" t="s">
        <v>693</v>
      </c>
      <c r="F320" t="s">
        <v>67</v>
      </c>
      <c r="G320">
        <v>53531</v>
      </c>
      <c r="H320">
        <v>45901</v>
      </c>
      <c r="I320">
        <v>45973</v>
      </c>
      <c r="J320">
        <v>67</v>
      </c>
      <c r="K320">
        <v>67</v>
      </c>
      <c r="L320">
        <f t="shared" si="32"/>
        <v>0</v>
      </c>
      <c r="M320" t="str">
        <f t="shared" si="33"/>
        <v>On Time</v>
      </c>
      <c r="N320">
        <v>10</v>
      </c>
      <c r="O320">
        <v>8</v>
      </c>
      <c r="P320">
        <f t="shared" si="34"/>
        <v>0.8</v>
      </c>
      <c r="Q320">
        <v>37</v>
      </c>
      <c r="R320">
        <v>799</v>
      </c>
      <c r="S320">
        <v>53531</v>
      </c>
      <c r="T320" t="s">
        <v>38</v>
      </c>
      <c r="U320">
        <v>1</v>
      </c>
      <c r="V320">
        <v>3</v>
      </c>
      <c r="W320">
        <v>3</v>
      </c>
      <c r="X320">
        <v>0</v>
      </c>
      <c r="Y320">
        <v>2.7</v>
      </c>
      <c r="Z320">
        <v>4.2</v>
      </c>
      <c r="AA320">
        <v>0.83</v>
      </c>
      <c r="AB320">
        <f t="shared" si="35"/>
        <v>5</v>
      </c>
      <c r="AC320">
        <f t="shared" si="36"/>
        <v>4.33</v>
      </c>
      <c r="AD320" t="str">
        <f t="shared" si="37"/>
        <v>⭐⭐⭐⭐</v>
      </c>
      <c r="AE320" t="str">
        <f t="shared" si="38"/>
        <v>Suitable for urgent style handling</v>
      </c>
      <c r="AF320" t="str">
        <f t="shared" si="39"/>
        <v>Recommended for medium-high orders</v>
      </c>
    </row>
    <row r="321" spans="1:32" ht="24" customHeight="1">
      <c r="A321" t="s">
        <v>694</v>
      </c>
      <c r="B321" t="s">
        <v>69</v>
      </c>
      <c r="C321" t="s">
        <v>70</v>
      </c>
      <c r="D321" t="s">
        <v>71</v>
      </c>
      <c r="E321" t="s">
        <v>695</v>
      </c>
      <c r="F321" t="s">
        <v>67</v>
      </c>
      <c r="G321">
        <v>52781</v>
      </c>
      <c r="H321">
        <v>45930</v>
      </c>
      <c r="I321">
        <v>46007</v>
      </c>
      <c r="J321">
        <v>70</v>
      </c>
      <c r="K321">
        <v>72</v>
      </c>
      <c r="L321">
        <f t="shared" si="32"/>
        <v>2</v>
      </c>
      <c r="M321" t="str">
        <f t="shared" si="33"/>
        <v>Delayed</v>
      </c>
      <c r="N321">
        <v>14</v>
      </c>
      <c r="O321">
        <v>10</v>
      </c>
      <c r="P321">
        <f t="shared" si="34"/>
        <v>0.7142857142857143</v>
      </c>
      <c r="Q321">
        <v>43</v>
      </c>
      <c r="R321">
        <v>733.1</v>
      </c>
      <c r="S321">
        <v>52781</v>
      </c>
      <c r="T321" t="s">
        <v>45</v>
      </c>
      <c r="U321">
        <v>0</v>
      </c>
      <c r="V321">
        <v>8</v>
      </c>
      <c r="W321">
        <v>1</v>
      </c>
      <c r="X321">
        <v>3</v>
      </c>
      <c r="Y321">
        <v>4.18</v>
      </c>
      <c r="Z321">
        <v>3.8</v>
      </c>
      <c r="AA321">
        <v>0.78</v>
      </c>
      <c r="AB321">
        <f t="shared" si="35"/>
        <v>5</v>
      </c>
      <c r="AC321">
        <f t="shared" si="36"/>
        <v>3.97</v>
      </c>
      <c r="AD321" t="str">
        <f t="shared" si="37"/>
        <v>⭐⭐⭐</v>
      </c>
      <c r="AE321" t="str">
        <f t="shared" si="38"/>
        <v>Increase daily output monitoring</v>
      </c>
      <c r="AF321" t="str">
        <f t="shared" si="39"/>
        <v>Use for normal priority orders</v>
      </c>
    </row>
    <row r="322" spans="1:32" ht="24" customHeight="1">
      <c r="A322" t="s">
        <v>696</v>
      </c>
      <c r="B322" t="s">
        <v>53</v>
      </c>
      <c r="C322" t="s">
        <v>54</v>
      </c>
      <c r="D322" t="s">
        <v>55</v>
      </c>
      <c r="E322" t="s">
        <v>697</v>
      </c>
      <c r="F322" t="s">
        <v>57</v>
      </c>
      <c r="G322">
        <v>10488</v>
      </c>
      <c r="H322">
        <v>45818</v>
      </c>
      <c r="I322">
        <v>45858</v>
      </c>
      <c r="J322">
        <v>32</v>
      </c>
      <c r="K322">
        <v>36</v>
      </c>
      <c r="L322">
        <f t="shared" ref="L322:L385" si="40">K322-J322</f>
        <v>4</v>
      </c>
      <c r="M322" t="str">
        <f t="shared" ref="M322:M385" si="41">IF(L322&gt;0,"Delayed",IF(L322&lt;0,"Early","On Time"))</f>
        <v>Delayed</v>
      </c>
      <c r="N322">
        <v>16</v>
      </c>
      <c r="O322">
        <v>13</v>
      </c>
      <c r="P322">
        <f t="shared" ref="P322:P385" si="42">O322/N322</f>
        <v>0.8125</v>
      </c>
      <c r="Q322">
        <v>62</v>
      </c>
      <c r="R322">
        <v>291.3</v>
      </c>
      <c r="S322">
        <v>11488</v>
      </c>
      <c r="T322" t="s">
        <v>45</v>
      </c>
      <c r="U322">
        <v>2</v>
      </c>
      <c r="V322">
        <v>7</v>
      </c>
      <c r="W322">
        <v>3</v>
      </c>
      <c r="X322">
        <v>0</v>
      </c>
      <c r="Y322">
        <v>2.4300000000000002</v>
      </c>
      <c r="Z322">
        <v>4.5</v>
      </c>
      <c r="AA322">
        <v>0.88</v>
      </c>
      <c r="AB322">
        <f t="shared" ref="AB322:AB385" si="43">MIN(5,MAX(1,(R322/MAX(1,Q322))*0.08 + (1-Y322/100)*2.2 + Z322*0.35 + AA322*2))</f>
        <v>5</v>
      </c>
      <c r="AC322">
        <f t="shared" ref="AC322:AC385" si="44">ROUND((0.3*Z322)+(0.25*(AA322*5))+(0.2*AB322)+(0.15*(P322*5))+(0.1*IF(M322="Delayed",3.2,IF(M322="On Time",4.3,4.7))),2)</f>
        <v>4.38</v>
      </c>
      <c r="AD322" t="str">
        <f t="shared" ref="AD322:AD385" si="45">IF(AC322&gt;=4.5,"⭐⭐⭐⭐⭐",IF(AC322&gt;=4,"⭐⭐⭐⭐",IF(AC322&gt;=3.5,"⭐⭐⭐",IF(AC322&gt;=3,"⭐⭐","⭐"))))</f>
        <v>⭐⭐⭐⭐</v>
      </c>
      <c r="AE322" t="str">
        <f t="shared" ref="AE322:AE385" si="46">IF(M322="Delayed",IF(V322&gt;8,"Reduce risk days and add supervisor monitoring",IF(W322&gt;3,"Increase machine maintenance support",IF(X322&gt;3,"Improve workforce allocation","Increase daily output monitoring"))),IF(T322="Yes","Suitable for urgent style handling","Maintain current resource allocation"))</f>
        <v>Increase daily output monitoring</v>
      </c>
      <c r="AF322" t="str">
        <f t="shared" ref="AF322:AF385" si="47">IF(AC322&gt;=4.5,"Best for urgent/high priority orders",IF(AC322&gt;=4,"Recommended for medium-high orders",IF(AC322&gt;=3.5,"Use for normal priority orders","Use only with management support")))</f>
        <v>Recommended for medium-high orders</v>
      </c>
    </row>
    <row r="323" spans="1:32" ht="24" customHeight="1">
      <c r="A323" t="s">
        <v>698</v>
      </c>
      <c r="B323" t="s">
        <v>78</v>
      </c>
      <c r="C323" t="s">
        <v>79</v>
      </c>
      <c r="D323" t="s">
        <v>80</v>
      </c>
      <c r="E323" t="s">
        <v>699</v>
      </c>
      <c r="F323" t="s">
        <v>37</v>
      </c>
      <c r="G323">
        <v>12226</v>
      </c>
      <c r="H323">
        <v>45687</v>
      </c>
      <c r="I323">
        <v>45712</v>
      </c>
      <c r="J323">
        <v>24</v>
      </c>
      <c r="K323">
        <v>21</v>
      </c>
      <c r="L323">
        <f t="shared" si="40"/>
        <v>-3</v>
      </c>
      <c r="M323" t="str">
        <f t="shared" si="41"/>
        <v>Early</v>
      </c>
      <c r="N323">
        <v>19</v>
      </c>
      <c r="O323">
        <v>15</v>
      </c>
      <c r="P323">
        <f t="shared" si="42"/>
        <v>0.78947368421052633</v>
      </c>
      <c r="Q323">
        <v>50</v>
      </c>
      <c r="R323">
        <v>582.20000000000005</v>
      </c>
      <c r="S323">
        <v>16226</v>
      </c>
      <c r="T323" t="s">
        <v>45</v>
      </c>
      <c r="U323">
        <v>0</v>
      </c>
      <c r="V323">
        <v>0</v>
      </c>
      <c r="W323">
        <v>0</v>
      </c>
      <c r="X323">
        <v>1</v>
      </c>
      <c r="Y323">
        <v>3.48</v>
      </c>
      <c r="Z323">
        <v>4.8</v>
      </c>
      <c r="AA323">
        <v>0.92</v>
      </c>
      <c r="AB323">
        <f t="shared" si="43"/>
        <v>5</v>
      </c>
      <c r="AC323">
        <f t="shared" si="44"/>
        <v>4.6500000000000004</v>
      </c>
      <c r="AD323" t="str">
        <f t="shared" si="45"/>
        <v>⭐⭐⭐⭐⭐</v>
      </c>
      <c r="AE323" t="str">
        <f t="shared" si="46"/>
        <v>Maintain current resource allocation</v>
      </c>
      <c r="AF323" t="str">
        <f t="shared" si="47"/>
        <v>Best for urgent/high priority orders</v>
      </c>
    </row>
    <row r="324" spans="1:32" ht="24" customHeight="1">
      <c r="A324" t="s">
        <v>700</v>
      </c>
      <c r="B324" t="s">
        <v>33</v>
      </c>
      <c r="C324" t="s">
        <v>34</v>
      </c>
      <c r="D324" t="s">
        <v>35</v>
      </c>
      <c r="E324" t="s">
        <v>701</v>
      </c>
      <c r="F324" t="s">
        <v>67</v>
      </c>
      <c r="G324">
        <v>43931</v>
      </c>
      <c r="H324">
        <v>45985</v>
      </c>
      <c r="I324">
        <v>46045</v>
      </c>
      <c r="J324">
        <v>57</v>
      </c>
      <c r="K324">
        <v>57</v>
      </c>
      <c r="L324">
        <f t="shared" si="40"/>
        <v>0</v>
      </c>
      <c r="M324" t="str">
        <f t="shared" si="41"/>
        <v>On Time</v>
      </c>
      <c r="N324">
        <v>12</v>
      </c>
      <c r="O324">
        <v>10</v>
      </c>
      <c r="P324">
        <f t="shared" si="42"/>
        <v>0.83333333333333337</v>
      </c>
      <c r="Q324">
        <v>39</v>
      </c>
      <c r="R324">
        <v>770.7</v>
      </c>
      <c r="S324">
        <v>45931</v>
      </c>
      <c r="T324" t="s">
        <v>45</v>
      </c>
      <c r="U324">
        <v>2</v>
      </c>
      <c r="V324">
        <v>8</v>
      </c>
      <c r="W324">
        <v>4</v>
      </c>
      <c r="X324">
        <v>5</v>
      </c>
      <c r="Y324">
        <v>2.17</v>
      </c>
      <c r="Z324">
        <v>4.2</v>
      </c>
      <c r="AA324">
        <v>0.83</v>
      </c>
      <c r="AB324">
        <f t="shared" si="43"/>
        <v>5</v>
      </c>
      <c r="AC324">
        <f t="shared" si="44"/>
        <v>4.3499999999999996</v>
      </c>
      <c r="AD324" t="str">
        <f t="shared" si="45"/>
        <v>⭐⭐⭐⭐</v>
      </c>
      <c r="AE324" t="str">
        <f t="shared" si="46"/>
        <v>Maintain current resource allocation</v>
      </c>
      <c r="AF324" t="str">
        <f t="shared" si="47"/>
        <v>Recommended for medium-high orders</v>
      </c>
    </row>
    <row r="325" spans="1:32" ht="24" customHeight="1">
      <c r="A325" t="s">
        <v>702</v>
      </c>
      <c r="B325" t="s">
        <v>69</v>
      </c>
      <c r="C325" t="s">
        <v>70</v>
      </c>
      <c r="D325" t="s">
        <v>71</v>
      </c>
      <c r="E325" t="s">
        <v>703</v>
      </c>
      <c r="F325" t="s">
        <v>44</v>
      </c>
      <c r="G325">
        <v>12597</v>
      </c>
      <c r="H325">
        <v>45970</v>
      </c>
      <c r="I325">
        <v>46003</v>
      </c>
      <c r="J325">
        <v>32</v>
      </c>
      <c r="K325">
        <v>30</v>
      </c>
      <c r="L325">
        <f t="shared" si="40"/>
        <v>-2</v>
      </c>
      <c r="M325" t="str">
        <f t="shared" si="41"/>
        <v>Early</v>
      </c>
      <c r="N325">
        <v>12</v>
      </c>
      <c r="O325">
        <v>8</v>
      </c>
      <c r="P325">
        <f t="shared" si="42"/>
        <v>0.66666666666666663</v>
      </c>
      <c r="Q325">
        <v>29</v>
      </c>
      <c r="R325">
        <v>419.9</v>
      </c>
      <c r="S325">
        <v>15597</v>
      </c>
      <c r="T325" t="s">
        <v>38</v>
      </c>
      <c r="U325">
        <v>1</v>
      </c>
      <c r="V325">
        <v>10</v>
      </c>
      <c r="W325">
        <v>3</v>
      </c>
      <c r="X325">
        <v>4</v>
      </c>
      <c r="Y325">
        <v>4.3600000000000003</v>
      </c>
      <c r="Z325">
        <v>3.8</v>
      </c>
      <c r="AA325">
        <v>0.78</v>
      </c>
      <c r="AB325">
        <f t="shared" si="43"/>
        <v>5</v>
      </c>
      <c r="AC325">
        <f t="shared" si="44"/>
        <v>4.09</v>
      </c>
      <c r="AD325" t="str">
        <f t="shared" si="45"/>
        <v>⭐⭐⭐⭐</v>
      </c>
      <c r="AE325" t="str">
        <f t="shared" si="46"/>
        <v>Suitable for urgent style handling</v>
      </c>
      <c r="AF325" t="str">
        <f t="shared" si="47"/>
        <v>Recommended for medium-high orders</v>
      </c>
    </row>
    <row r="326" spans="1:32" ht="24" customHeight="1">
      <c r="A326" t="s">
        <v>704</v>
      </c>
      <c r="B326" t="s">
        <v>78</v>
      </c>
      <c r="C326" t="s">
        <v>79</v>
      </c>
      <c r="D326" t="s">
        <v>80</v>
      </c>
      <c r="E326" t="s">
        <v>705</v>
      </c>
      <c r="F326" t="s">
        <v>57</v>
      </c>
      <c r="G326">
        <v>7357</v>
      </c>
      <c r="H326">
        <v>45912</v>
      </c>
      <c r="I326">
        <v>45935</v>
      </c>
      <c r="J326">
        <v>24</v>
      </c>
      <c r="K326">
        <v>22</v>
      </c>
      <c r="L326">
        <f t="shared" si="40"/>
        <v>-2</v>
      </c>
      <c r="M326" t="str">
        <f t="shared" si="41"/>
        <v>Early</v>
      </c>
      <c r="N326">
        <v>16</v>
      </c>
      <c r="O326">
        <v>12</v>
      </c>
      <c r="P326">
        <f t="shared" si="42"/>
        <v>0.75</v>
      </c>
      <c r="Q326">
        <v>52</v>
      </c>
      <c r="R326">
        <v>334.4</v>
      </c>
      <c r="S326">
        <v>11357</v>
      </c>
      <c r="T326" t="s">
        <v>45</v>
      </c>
      <c r="U326">
        <v>2</v>
      </c>
      <c r="V326">
        <v>3</v>
      </c>
      <c r="W326">
        <v>3</v>
      </c>
      <c r="X326">
        <v>4</v>
      </c>
      <c r="Y326">
        <v>2.91</v>
      </c>
      <c r="Z326">
        <v>4.8</v>
      </c>
      <c r="AA326">
        <v>0.92</v>
      </c>
      <c r="AB326">
        <f t="shared" si="43"/>
        <v>5</v>
      </c>
      <c r="AC326">
        <f t="shared" si="44"/>
        <v>4.62</v>
      </c>
      <c r="AD326" t="str">
        <f t="shared" si="45"/>
        <v>⭐⭐⭐⭐⭐</v>
      </c>
      <c r="AE326" t="str">
        <f t="shared" si="46"/>
        <v>Maintain current resource allocation</v>
      </c>
      <c r="AF326" t="str">
        <f t="shared" si="47"/>
        <v>Best for urgent/high priority orders</v>
      </c>
    </row>
    <row r="327" spans="1:32" ht="24" customHeight="1">
      <c r="A327" t="s">
        <v>706</v>
      </c>
      <c r="B327" t="s">
        <v>33</v>
      </c>
      <c r="C327" t="s">
        <v>34</v>
      </c>
      <c r="D327" t="s">
        <v>35</v>
      </c>
      <c r="E327" t="s">
        <v>707</v>
      </c>
      <c r="F327" t="s">
        <v>37</v>
      </c>
      <c r="G327">
        <v>22795</v>
      </c>
      <c r="H327">
        <v>45659</v>
      </c>
      <c r="I327">
        <v>45692</v>
      </c>
      <c r="J327">
        <v>32</v>
      </c>
      <c r="K327">
        <v>30</v>
      </c>
      <c r="L327">
        <f t="shared" si="40"/>
        <v>-2</v>
      </c>
      <c r="M327" t="str">
        <f t="shared" si="41"/>
        <v>Early</v>
      </c>
      <c r="N327">
        <v>16</v>
      </c>
      <c r="O327">
        <v>12</v>
      </c>
      <c r="P327">
        <f t="shared" si="42"/>
        <v>0.75</v>
      </c>
      <c r="Q327">
        <v>36</v>
      </c>
      <c r="R327">
        <v>759.8</v>
      </c>
      <c r="S327">
        <v>26795</v>
      </c>
      <c r="T327" t="s">
        <v>38</v>
      </c>
      <c r="U327">
        <v>1</v>
      </c>
      <c r="V327">
        <v>8</v>
      </c>
      <c r="W327">
        <v>4</v>
      </c>
      <c r="X327">
        <v>1</v>
      </c>
      <c r="Y327">
        <v>3.1</v>
      </c>
      <c r="Z327">
        <v>4.2</v>
      </c>
      <c r="AA327">
        <v>0.83</v>
      </c>
      <c r="AB327">
        <f t="shared" si="43"/>
        <v>5</v>
      </c>
      <c r="AC327">
        <f t="shared" si="44"/>
        <v>4.33</v>
      </c>
      <c r="AD327" t="str">
        <f t="shared" si="45"/>
        <v>⭐⭐⭐⭐</v>
      </c>
      <c r="AE327" t="str">
        <f t="shared" si="46"/>
        <v>Suitable for urgent style handling</v>
      </c>
      <c r="AF327" t="str">
        <f t="shared" si="47"/>
        <v>Recommended for medium-high orders</v>
      </c>
    </row>
    <row r="328" spans="1:32" ht="24" customHeight="1">
      <c r="A328" t="s">
        <v>708</v>
      </c>
      <c r="B328" t="s">
        <v>69</v>
      </c>
      <c r="C328" t="s">
        <v>70</v>
      </c>
      <c r="D328" t="s">
        <v>71</v>
      </c>
      <c r="E328" t="s">
        <v>709</v>
      </c>
      <c r="F328" t="s">
        <v>57</v>
      </c>
      <c r="G328">
        <v>14293</v>
      </c>
      <c r="H328">
        <v>45761</v>
      </c>
      <c r="I328">
        <v>45808</v>
      </c>
      <c r="J328">
        <v>41</v>
      </c>
      <c r="K328">
        <v>46</v>
      </c>
      <c r="L328">
        <f t="shared" si="40"/>
        <v>5</v>
      </c>
      <c r="M328" t="str">
        <f t="shared" si="41"/>
        <v>Delayed</v>
      </c>
      <c r="N328">
        <v>9</v>
      </c>
      <c r="O328">
        <v>6</v>
      </c>
      <c r="P328">
        <f t="shared" si="42"/>
        <v>0.66666666666666663</v>
      </c>
      <c r="Q328">
        <v>37</v>
      </c>
      <c r="R328">
        <v>310.7</v>
      </c>
      <c r="S328">
        <v>14293</v>
      </c>
      <c r="T328" t="s">
        <v>45</v>
      </c>
      <c r="U328">
        <v>3</v>
      </c>
      <c r="V328">
        <v>4</v>
      </c>
      <c r="W328">
        <v>5</v>
      </c>
      <c r="X328">
        <v>1</v>
      </c>
      <c r="Y328">
        <v>3.42</v>
      </c>
      <c r="Z328">
        <v>3.8</v>
      </c>
      <c r="AA328">
        <v>0.78</v>
      </c>
      <c r="AB328">
        <f t="shared" si="43"/>
        <v>5</v>
      </c>
      <c r="AC328">
        <f t="shared" si="44"/>
        <v>3.94</v>
      </c>
      <c r="AD328" t="str">
        <f t="shared" si="45"/>
        <v>⭐⭐⭐</v>
      </c>
      <c r="AE328" t="str">
        <f t="shared" si="46"/>
        <v>Increase machine maintenance support</v>
      </c>
      <c r="AF328" t="str">
        <f t="shared" si="47"/>
        <v>Use for normal priority orders</v>
      </c>
    </row>
    <row r="329" spans="1:32" ht="24" customHeight="1">
      <c r="A329" t="s">
        <v>710</v>
      </c>
      <c r="B329" t="s">
        <v>40</v>
      </c>
      <c r="C329" t="s">
        <v>41</v>
      </c>
      <c r="D329" t="s">
        <v>42</v>
      </c>
      <c r="E329" t="s">
        <v>711</v>
      </c>
      <c r="F329" t="s">
        <v>57</v>
      </c>
      <c r="G329">
        <v>9896</v>
      </c>
      <c r="H329">
        <v>45670</v>
      </c>
      <c r="I329">
        <v>45698</v>
      </c>
      <c r="J329">
        <v>27</v>
      </c>
      <c r="K329">
        <v>23</v>
      </c>
      <c r="L329">
        <f t="shared" si="40"/>
        <v>-4</v>
      </c>
      <c r="M329" t="str">
        <f t="shared" si="41"/>
        <v>Early</v>
      </c>
      <c r="N329">
        <v>18</v>
      </c>
      <c r="O329">
        <v>15</v>
      </c>
      <c r="P329">
        <f t="shared" si="42"/>
        <v>0.83333333333333337</v>
      </c>
      <c r="Q329">
        <v>42</v>
      </c>
      <c r="R329">
        <v>430.3</v>
      </c>
      <c r="S329">
        <v>9896</v>
      </c>
      <c r="T329" t="s">
        <v>45</v>
      </c>
      <c r="U329">
        <v>1</v>
      </c>
      <c r="V329">
        <v>2</v>
      </c>
      <c r="W329">
        <v>4</v>
      </c>
      <c r="X329">
        <v>4</v>
      </c>
      <c r="Y329">
        <v>3.23</v>
      </c>
      <c r="Z329">
        <v>4.3</v>
      </c>
      <c r="AA329">
        <v>0.85</v>
      </c>
      <c r="AB329">
        <f t="shared" si="43"/>
        <v>5</v>
      </c>
      <c r="AC329">
        <f t="shared" si="44"/>
        <v>4.45</v>
      </c>
      <c r="AD329" t="str">
        <f t="shared" si="45"/>
        <v>⭐⭐⭐⭐</v>
      </c>
      <c r="AE329" t="str">
        <f t="shared" si="46"/>
        <v>Maintain current resource allocation</v>
      </c>
      <c r="AF329" t="str">
        <f t="shared" si="47"/>
        <v>Recommended for medium-high orders</v>
      </c>
    </row>
    <row r="330" spans="1:32" ht="24" customHeight="1">
      <c r="A330" t="s">
        <v>712</v>
      </c>
      <c r="B330" t="s">
        <v>69</v>
      </c>
      <c r="C330" t="s">
        <v>70</v>
      </c>
      <c r="D330" t="s">
        <v>71</v>
      </c>
      <c r="E330" t="s">
        <v>713</v>
      </c>
      <c r="F330" t="s">
        <v>67</v>
      </c>
      <c r="G330">
        <v>52739</v>
      </c>
      <c r="H330">
        <v>45925</v>
      </c>
      <c r="I330">
        <v>45987</v>
      </c>
      <c r="J330">
        <v>57</v>
      </c>
      <c r="K330">
        <v>59</v>
      </c>
      <c r="L330">
        <f t="shared" si="40"/>
        <v>2</v>
      </c>
      <c r="M330" t="str">
        <f t="shared" si="41"/>
        <v>Delayed</v>
      </c>
      <c r="N330">
        <v>8</v>
      </c>
      <c r="O330">
        <v>5</v>
      </c>
      <c r="P330">
        <f t="shared" si="42"/>
        <v>0.625</v>
      </c>
      <c r="Q330">
        <v>28</v>
      </c>
      <c r="R330">
        <v>893.9</v>
      </c>
      <c r="S330">
        <v>54739</v>
      </c>
      <c r="T330" t="s">
        <v>45</v>
      </c>
      <c r="U330">
        <v>0</v>
      </c>
      <c r="V330">
        <v>5</v>
      </c>
      <c r="W330">
        <v>1</v>
      </c>
      <c r="X330">
        <v>7</v>
      </c>
      <c r="Y330">
        <v>3.14</v>
      </c>
      <c r="Z330">
        <v>3.8</v>
      </c>
      <c r="AA330">
        <v>0.78</v>
      </c>
      <c r="AB330">
        <f t="shared" si="43"/>
        <v>5</v>
      </c>
      <c r="AC330">
        <f t="shared" si="44"/>
        <v>3.9</v>
      </c>
      <c r="AD330" t="str">
        <f t="shared" si="45"/>
        <v>⭐⭐⭐</v>
      </c>
      <c r="AE330" t="str">
        <f t="shared" si="46"/>
        <v>Improve workforce allocation</v>
      </c>
      <c r="AF330" t="str">
        <f t="shared" si="47"/>
        <v>Use for normal priority orders</v>
      </c>
    </row>
    <row r="331" spans="1:32" ht="24" customHeight="1">
      <c r="A331" t="s">
        <v>714</v>
      </c>
      <c r="B331" t="s">
        <v>69</v>
      </c>
      <c r="C331" t="s">
        <v>70</v>
      </c>
      <c r="D331" t="s">
        <v>71</v>
      </c>
      <c r="E331" t="s">
        <v>715</v>
      </c>
      <c r="F331" t="s">
        <v>67</v>
      </c>
      <c r="G331">
        <v>42360</v>
      </c>
      <c r="H331">
        <v>45981</v>
      </c>
      <c r="I331">
        <v>46043</v>
      </c>
      <c r="J331">
        <v>56</v>
      </c>
      <c r="K331">
        <v>62</v>
      </c>
      <c r="L331">
        <f t="shared" si="40"/>
        <v>6</v>
      </c>
      <c r="M331" t="str">
        <f t="shared" si="41"/>
        <v>Delayed</v>
      </c>
      <c r="N331">
        <v>11</v>
      </c>
      <c r="O331">
        <v>8</v>
      </c>
      <c r="P331">
        <f t="shared" si="42"/>
        <v>0.72727272727272729</v>
      </c>
      <c r="Q331">
        <v>31</v>
      </c>
      <c r="R331">
        <v>683.2</v>
      </c>
      <c r="S331">
        <v>42360</v>
      </c>
      <c r="T331" t="s">
        <v>45</v>
      </c>
      <c r="U331">
        <v>1</v>
      </c>
      <c r="V331">
        <v>8</v>
      </c>
      <c r="W331">
        <v>3</v>
      </c>
      <c r="X331">
        <v>3</v>
      </c>
      <c r="Y331">
        <v>3.06</v>
      </c>
      <c r="Z331">
        <v>3.8</v>
      </c>
      <c r="AA331">
        <v>0.78</v>
      </c>
      <c r="AB331">
        <f t="shared" si="43"/>
        <v>5</v>
      </c>
      <c r="AC331">
        <f t="shared" si="44"/>
        <v>3.98</v>
      </c>
      <c r="AD331" t="str">
        <f t="shared" si="45"/>
        <v>⭐⭐⭐</v>
      </c>
      <c r="AE331" t="str">
        <f t="shared" si="46"/>
        <v>Increase daily output monitoring</v>
      </c>
      <c r="AF331" t="str">
        <f t="shared" si="47"/>
        <v>Use for normal priority orders</v>
      </c>
    </row>
    <row r="332" spans="1:32" ht="24" customHeight="1">
      <c r="A332" t="s">
        <v>716</v>
      </c>
      <c r="B332" t="s">
        <v>69</v>
      </c>
      <c r="C332" t="s">
        <v>70</v>
      </c>
      <c r="D332" t="s">
        <v>71</v>
      </c>
      <c r="E332" t="s">
        <v>717</v>
      </c>
      <c r="F332" t="s">
        <v>37</v>
      </c>
      <c r="G332">
        <v>15593</v>
      </c>
      <c r="H332">
        <v>45767</v>
      </c>
      <c r="I332">
        <v>45814</v>
      </c>
      <c r="J332">
        <v>42</v>
      </c>
      <c r="K332">
        <v>47</v>
      </c>
      <c r="L332">
        <f t="shared" si="40"/>
        <v>5</v>
      </c>
      <c r="M332" t="str">
        <f t="shared" si="41"/>
        <v>Delayed</v>
      </c>
      <c r="N332">
        <v>14</v>
      </c>
      <c r="O332">
        <v>10</v>
      </c>
      <c r="P332">
        <f t="shared" si="42"/>
        <v>0.7142857142857143</v>
      </c>
      <c r="Q332">
        <v>45</v>
      </c>
      <c r="R332">
        <v>331.8</v>
      </c>
      <c r="S332">
        <v>19593</v>
      </c>
      <c r="T332" t="s">
        <v>38</v>
      </c>
      <c r="U332">
        <v>1</v>
      </c>
      <c r="V332">
        <v>10</v>
      </c>
      <c r="W332">
        <v>2</v>
      </c>
      <c r="X332">
        <v>4</v>
      </c>
      <c r="Y332">
        <v>2.89</v>
      </c>
      <c r="Z332">
        <v>3.8</v>
      </c>
      <c r="AA332">
        <v>0.78</v>
      </c>
      <c r="AB332">
        <f t="shared" si="43"/>
        <v>5</v>
      </c>
      <c r="AC332">
        <f t="shared" si="44"/>
        <v>3.97</v>
      </c>
      <c r="AD332" t="str">
        <f t="shared" si="45"/>
        <v>⭐⭐⭐</v>
      </c>
      <c r="AE332" t="str">
        <f t="shared" si="46"/>
        <v>Reduce risk days and add supervisor monitoring</v>
      </c>
      <c r="AF332" t="str">
        <f t="shared" si="47"/>
        <v>Use for normal priority orders</v>
      </c>
    </row>
    <row r="333" spans="1:32" ht="24" customHeight="1">
      <c r="A333" t="s">
        <v>718</v>
      </c>
      <c r="B333" t="s">
        <v>33</v>
      </c>
      <c r="C333" t="s">
        <v>34</v>
      </c>
      <c r="D333" t="s">
        <v>35</v>
      </c>
      <c r="E333" t="s">
        <v>719</v>
      </c>
      <c r="F333" t="s">
        <v>44</v>
      </c>
      <c r="G333">
        <v>5956</v>
      </c>
      <c r="H333">
        <v>45907</v>
      </c>
      <c r="I333">
        <v>45932</v>
      </c>
      <c r="J333">
        <v>20</v>
      </c>
      <c r="K333">
        <v>25</v>
      </c>
      <c r="L333">
        <f t="shared" si="40"/>
        <v>5</v>
      </c>
      <c r="M333" t="str">
        <f t="shared" si="41"/>
        <v>Delayed</v>
      </c>
      <c r="N333">
        <v>12</v>
      </c>
      <c r="O333">
        <v>8</v>
      </c>
      <c r="P333">
        <f t="shared" si="42"/>
        <v>0.66666666666666663</v>
      </c>
      <c r="Q333">
        <v>46</v>
      </c>
      <c r="R333">
        <v>238.2</v>
      </c>
      <c r="S333">
        <v>6956</v>
      </c>
      <c r="T333" t="s">
        <v>38</v>
      </c>
      <c r="U333">
        <v>0</v>
      </c>
      <c r="V333">
        <v>16</v>
      </c>
      <c r="W333">
        <v>3</v>
      </c>
      <c r="X333">
        <v>4</v>
      </c>
      <c r="Y333">
        <v>3.49</v>
      </c>
      <c r="Z333">
        <v>4.2</v>
      </c>
      <c r="AA333">
        <v>0.83</v>
      </c>
      <c r="AB333">
        <f t="shared" si="43"/>
        <v>5</v>
      </c>
      <c r="AC333">
        <f t="shared" si="44"/>
        <v>4.12</v>
      </c>
      <c r="AD333" t="str">
        <f t="shared" si="45"/>
        <v>⭐⭐⭐⭐</v>
      </c>
      <c r="AE333" t="str">
        <f t="shared" si="46"/>
        <v>Reduce risk days and add supervisor monitoring</v>
      </c>
      <c r="AF333" t="str">
        <f t="shared" si="47"/>
        <v>Recommended for medium-high orders</v>
      </c>
    </row>
    <row r="334" spans="1:32" ht="24" customHeight="1">
      <c r="A334" t="s">
        <v>720</v>
      </c>
      <c r="B334" t="s">
        <v>78</v>
      </c>
      <c r="C334" t="s">
        <v>79</v>
      </c>
      <c r="D334" t="s">
        <v>80</v>
      </c>
      <c r="E334" t="s">
        <v>721</v>
      </c>
      <c r="F334" t="s">
        <v>67</v>
      </c>
      <c r="G334">
        <v>59455</v>
      </c>
      <c r="H334">
        <v>45750</v>
      </c>
      <c r="I334">
        <v>45817</v>
      </c>
      <c r="J334">
        <v>64</v>
      </c>
      <c r="K334">
        <v>62</v>
      </c>
      <c r="L334">
        <f t="shared" si="40"/>
        <v>-2</v>
      </c>
      <c r="M334" t="str">
        <f t="shared" si="41"/>
        <v>Early</v>
      </c>
      <c r="N334">
        <v>19</v>
      </c>
      <c r="O334">
        <v>16</v>
      </c>
      <c r="P334">
        <f t="shared" si="42"/>
        <v>0.84210526315789469</v>
      </c>
      <c r="Q334">
        <v>63</v>
      </c>
      <c r="R334">
        <v>959</v>
      </c>
      <c r="S334">
        <v>60455</v>
      </c>
      <c r="T334" t="s">
        <v>45</v>
      </c>
      <c r="U334">
        <v>1</v>
      </c>
      <c r="V334">
        <v>4</v>
      </c>
      <c r="W334">
        <v>0</v>
      </c>
      <c r="X334">
        <v>1</v>
      </c>
      <c r="Y334">
        <v>2.8</v>
      </c>
      <c r="Z334">
        <v>4.8</v>
      </c>
      <c r="AA334">
        <v>0.92</v>
      </c>
      <c r="AB334">
        <f t="shared" si="43"/>
        <v>5</v>
      </c>
      <c r="AC334">
        <f t="shared" si="44"/>
        <v>4.6900000000000004</v>
      </c>
      <c r="AD334" t="str">
        <f t="shared" si="45"/>
        <v>⭐⭐⭐⭐⭐</v>
      </c>
      <c r="AE334" t="str">
        <f t="shared" si="46"/>
        <v>Maintain current resource allocation</v>
      </c>
      <c r="AF334" t="str">
        <f t="shared" si="47"/>
        <v>Best for urgent/high priority orders</v>
      </c>
    </row>
    <row r="335" spans="1:32" ht="24" customHeight="1">
      <c r="A335" t="s">
        <v>722</v>
      </c>
      <c r="B335" t="s">
        <v>40</v>
      </c>
      <c r="C335" t="s">
        <v>41</v>
      </c>
      <c r="D335" t="s">
        <v>42</v>
      </c>
      <c r="E335" t="s">
        <v>723</v>
      </c>
      <c r="F335" t="s">
        <v>37</v>
      </c>
      <c r="G335">
        <v>19869</v>
      </c>
      <c r="H335">
        <v>45895</v>
      </c>
      <c r="I335">
        <v>45943</v>
      </c>
      <c r="J335">
        <v>35</v>
      </c>
      <c r="K335">
        <v>43</v>
      </c>
      <c r="L335">
        <f t="shared" si="40"/>
        <v>8</v>
      </c>
      <c r="M335" t="str">
        <f t="shared" si="41"/>
        <v>Delayed</v>
      </c>
      <c r="N335">
        <v>16</v>
      </c>
      <c r="O335">
        <v>13</v>
      </c>
      <c r="P335">
        <f t="shared" si="42"/>
        <v>0.8125</v>
      </c>
      <c r="Q335">
        <v>55</v>
      </c>
      <c r="R335">
        <v>462.1</v>
      </c>
      <c r="S335">
        <v>23869</v>
      </c>
      <c r="T335" t="s">
        <v>45</v>
      </c>
      <c r="U335">
        <v>1</v>
      </c>
      <c r="V335">
        <v>4</v>
      </c>
      <c r="W335">
        <v>1</v>
      </c>
      <c r="X335">
        <v>2</v>
      </c>
      <c r="Y335">
        <v>3.05</v>
      </c>
      <c r="Z335">
        <v>4.3</v>
      </c>
      <c r="AA335">
        <v>0.85</v>
      </c>
      <c r="AB335">
        <f t="shared" si="43"/>
        <v>5</v>
      </c>
      <c r="AC335">
        <f t="shared" si="44"/>
        <v>4.28</v>
      </c>
      <c r="AD335" t="str">
        <f t="shared" si="45"/>
        <v>⭐⭐⭐⭐</v>
      </c>
      <c r="AE335" t="str">
        <f t="shared" si="46"/>
        <v>Increase daily output monitoring</v>
      </c>
      <c r="AF335" t="str">
        <f t="shared" si="47"/>
        <v>Recommended for medium-high orders</v>
      </c>
    </row>
    <row r="336" spans="1:32" ht="24" customHeight="1">
      <c r="A336" t="s">
        <v>724</v>
      </c>
      <c r="B336" t="s">
        <v>33</v>
      </c>
      <c r="C336" t="s">
        <v>34</v>
      </c>
      <c r="D336" t="s">
        <v>35</v>
      </c>
      <c r="E336" t="s">
        <v>725</v>
      </c>
      <c r="F336" t="s">
        <v>44</v>
      </c>
      <c r="G336">
        <v>8347</v>
      </c>
      <c r="H336">
        <v>45890</v>
      </c>
      <c r="I336">
        <v>45909</v>
      </c>
      <c r="J336">
        <v>17</v>
      </c>
      <c r="K336">
        <v>19</v>
      </c>
      <c r="L336">
        <f t="shared" si="40"/>
        <v>2</v>
      </c>
      <c r="M336" t="str">
        <f t="shared" si="41"/>
        <v>Delayed</v>
      </c>
      <c r="N336">
        <v>10</v>
      </c>
      <c r="O336">
        <v>7</v>
      </c>
      <c r="P336">
        <f t="shared" si="42"/>
        <v>0.7</v>
      </c>
      <c r="Q336">
        <v>45</v>
      </c>
      <c r="R336">
        <v>439.3</v>
      </c>
      <c r="S336">
        <v>10347</v>
      </c>
      <c r="T336" t="s">
        <v>45</v>
      </c>
      <c r="U336">
        <v>1</v>
      </c>
      <c r="V336">
        <v>2</v>
      </c>
      <c r="W336">
        <v>0</v>
      </c>
      <c r="X336">
        <v>1</v>
      </c>
      <c r="Y336">
        <v>2.83</v>
      </c>
      <c r="Z336">
        <v>4.2</v>
      </c>
      <c r="AA336">
        <v>0.83</v>
      </c>
      <c r="AB336">
        <f t="shared" si="43"/>
        <v>5</v>
      </c>
      <c r="AC336">
        <f t="shared" si="44"/>
        <v>4.1399999999999997</v>
      </c>
      <c r="AD336" t="str">
        <f t="shared" si="45"/>
        <v>⭐⭐⭐⭐</v>
      </c>
      <c r="AE336" t="str">
        <f t="shared" si="46"/>
        <v>Increase daily output monitoring</v>
      </c>
      <c r="AF336" t="str">
        <f t="shared" si="47"/>
        <v>Recommended for medium-high orders</v>
      </c>
    </row>
    <row r="337" spans="1:32" ht="24" customHeight="1">
      <c r="A337" t="s">
        <v>726</v>
      </c>
      <c r="B337" t="s">
        <v>78</v>
      </c>
      <c r="C337" t="s">
        <v>79</v>
      </c>
      <c r="D337" t="s">
        <v>80</v>
      </c>
      <c r="E337" t="s">
        <v>727</v>
      </c>
      <c r="F337" t="s">
        <v>37</v>
      </c>
      <c r="G337">
        <v>15763</v>
      </c>
      <c r="H337">
        <v>45824</v>
      </c>
      <c r="I337">
        <v>45857</v>
      </c>
      <c r="J337">
        <v>29</v>
      </c>
      <c r="K337">
        <v>32</v>
      </c>
      <c r="L337">
        <f t="shared" si="40"/>
        <v>3</v>
      </c>
      <c r="M337" t="str">
        <f t="shared" si="41"/>
        <v>Delayed</v>
      </c>
      <c r="N337">
        <v>20</v>
      </c>
      <c r="O337">
        <v>17</v>
      </c>
      <c r="P337">
        <f t="shared" si="42"/>
        <v>0.85</v>
      </c>
      <c r="Q337">
        <v>60</v>
      </c>
      <c r="R337">
        <v>492.6</v>
      </c>
      <c r="S337">
        <v>16763</v>
      </c>
      <c r="T337" t="s">
        <v>45</v>
      </c>
      <c r="U337">
        <v>0</v>
      </c>
      <c r="V337">
        <v>3</v>
      </c>
      <c r="W337">
        <v>1</v>
      </c>
      <c r="X337">
        <v>1</v>
      </c>
      <c r="Y337">
        <v>2.46</v>
      </c>
      <c r="Z337">
        <v>4.8</v>
      </c>
      <c r="AA337">
        <v>0.92</v>
      </c>
      <c r="AB337">
        <f t="shared" si="43"/>
        <v>5</v>
      </c>
      <c r="AC337">
        <f t="shared" si="44"/>
        <v>4.55</v>
      </c>
      <c r="AD337" t="str">
        <f t="shared" si="45"/>
        <v>⭐⭐⭐⭐⭐</v>
      </c>
      <c r="AE337" t="str">
        <f t="shared" si="46"/>
        <v>Increase daily output monitoring</v>
      </c>
      <c r="AF337" t="str">
        <f t="shared" si="47"/>
        <v>Best for urgent/high priority orders</v>
      </c>
    </row>
    <row r="338" spans="1:32" ht="24" customHeight="1">
      <c r="A338" t="s">
        <v>728</v>
      </c>
      <c r="B338" t="s">
        <v>78</v>
      </c>
      <c r="C338" t="s">
        <v>79</v>
      </c>
      <c r="D338" t="s">
        <v>80</v>
      </c>
      <c r="E338" t="s">
        <v>729</v>
      </c>
      <c r="F338" t="s">
        <v>57</v>
      </c>
      <c r="G338">
        <v>11152</v>
      </c>
      <c r="H338">
        <v>45796</v>
      </c>
      <c r="I338">
        <v>45832</v>
      </c>
      <c r="J338">
        <v>31</v>
      </c>
      <c r="K338">
        <v>35</v>
      </c>
      <c r="L338">
        <f t="shared" si="40"/>
        <v>4</v>
      </c>
      <c r="M338" t="str">
        <f t="shared" si="41"/>
        <v>Delayed</v>
      </c>
      <c r="N338">
        <v>22</v>
      </c>
      <c r="O338">
        <v>18</v>
      </c>
      <c r="P338">
        <f t="shared" si="42"/>
        <v>0.81818181818181823</v>
      </c>
      <c r="Q338">
        <v>61</v>
      </c>
      <c r="R338">
        <v>318.60000000000002</v>
      </c>
      <c r="S338">
        <v>12152</v>
      </c>
      <c r="T338" t="s">
        <v>38</v>
      </c>
      <c r="U338">
        <v>3</v>
      </c>
      <c r="V338">
        <v>5</v>
      </c>
      <c r="W338">
        <v>1</v>
      </c>
      <c r="X338">
        <v>4</v>
      </c>
      <c r="Y338">
        <v>2.78</v>
      </c>
      <c r="Z338">
        <v>4.8</v>
      </c>
      <c r="AA338">
        <v>0.92</v>
      </c>
      <c r="AB338">
        <f t="shared" si="43"/>
        <v>5</v>
      </c>
      <c r="AC338">
        <f t="shared" si="44"/>
        <v>4.5199999999999996</v>
      </c>
      <c r="AD338" t="str">
        <f t="shared" si="45"/>
        <v>⭐⭐⭐⭐⭐</v>
      </c>
      <c r="AE338" t="str">
        <f t="shared" si="46"/>
        <v>Improve workforce allocation</v>
      </c>
      <c r="AF338" t="str">
        <f t="shared" si="47"/>
        <v>Best for urgent/high priority orders</v>
      </c>
    </row>
    <row r="339" spans="1:32" ht="24" customHeight="1">
      <c r="A339" t="s">
        <v>730</v>
      </c>
      <c r="B339" t="s">
        <v>53</v>
      </c>
      <c r="C339" t="s">
        <v>54</v>
      </c>
      <c r="D339" t="s">
        <v>55</v>
      </c>
      <c r="E339" t="s">
        <v>731</v>
      </c>
      <c r="F339" t="s">
        <v>37</v>
      </c>
      <c r="G339">
        <v>28634</v>
      </c>
      <c r="H339">
        <v>45953</v>
      </c>
      <c r="I339">
        <v>45993</v>
      </c>
      <c r="J339">
        <v>39</v>
      </c>
      <c r="K339">
        <v>36</v>
      </c>
      <c r="L339">
        <f t="shared" si="40"/>
        <v>-3</v>
      </c>
      <c r="M339" t="str">
        <f t="shared" si="41"/>
        <v>Early</v>
      </c>
      <c r="N339">
        <v>16</v>
      </c>
      <c r="O339">
        <v>14</v>
      </c>
      <c r="P339">
        <f t="shared" si="42"/>
        <v>0.875</v>
      </c>
      <c r="Q339">
        <v>49</v>
      </c>
      <c r="R339">
        <v>795.4</v>
      </c>
      <c r="S339">
        <v>32634</v>
      </c>
      <c r="T339" t="s">
        <v>45</v>
      </c>
      <c r="U339">
        <v>1</v>
      </c>
      <c r="V339">
        <v>0</v>
      </c>
      <c r="W339">
        <v>3</v>
      </c>
      <c r="X339">
        <v>3</v>
      </c>
      <c r="Y339">
        <v>3.42</v>
      </c>
      <c r="Z339">
        <v>4.5</v>
      </c>
      <c r="AA339">
        <v>0.88</v>
      </c>
      <c r="AB339">
        <f t="shared" si="43"/>
        <v>5</v>
      </c>
      <c r="AC339">
        <f t="shared" si="44"/>
        <v>4.58</v>
      </c>
      <c r="AD339" t="str">
        <f t="shared" si="45"/>
        <v>⭐⭐⭐⭐⭐</v>
      </c>
      <c r="AE339" t="str">
        <f t="shared" si="46"/>
        <v>Maintain current resource allocation</v>
      </c>
      <c r="AF339" t="str">
        <f t="shared" si="47"/>
        <v>Best for urgent/high priority orders</v>
      </c>
    </row>
    <row r="340" spans="1:32" ht="24" customHeight="1">
      <c r="A340" t="s">
        <v>732</v>
      </c>
      <c r="B340" t="s">
        <v>61</v>
      </c>
      <c r="C340" t="s">
        <v>62</v>
      </c>
      <c r="D340" t="s">
        <v>63</v>
      </c>
      <c r="E340" t="s">
        <v>733</v>
      </c>
      <c r="F340" t="s">
        <v>37</v>
      </c>
      <c r="G340">
        <v>27097</v>
      </c>
      <c r="H340">
        <v>45960</v>
      </c>
      <c r="I340">
        <v>46017</v>
      </c>
      <c r="J340">
        <v>53</v>
      </c>
      <c r="K340">
        <v>56</v>
      </c>
      <c r="L340">
        <f t="shared" si="40"/>
        <v>3</v>
      </c>
      <c r="M340" t="str">
        <f t="shared" si="41"/>
        <v>Delayed</v>
      </c>
      <c r="N340">
        <v>15</v>
      </c>
      <c r="O340">
        <v>11</v>
      </c>
      <c r="P340">
        <f t="shared" si="42"/>
        <v>0.73333333333333328</v>
      </c>
      <c r="Q340">
        <v>37</v>
      </c>
      <c r="R340">
        <v>483.9</v>
      </c>
      <c r="S340">
        <v>28097</v>
      </c>
      <c r="T340" t="s">
        <v>45</v>
      </c>
      <c r="U340">
        <v>2</v>
      </c>
      <c r="V340">
        <v>7</v>
      </c>
      <c r="W340">
        <v>5</v>
      </c>
      <c r="X340">
        <v>2</v>
      </c>
      <c r="Y340">
        <v>3.01</v>
      </c>
      <c r="Z340">
        <v>4</v>
      </c>
      <c r="AA340">
        <v>0.8</v>
      </c>
      <c r="AB340">
        <f t="shared" si="43"/>
        <v>5</v>
      </c>
      <c r="AC340">
        <f t="shared" si="44"/>
        <v>4.07</v>
      </c>
      <c r="AD340" t="str">
        <f t="shared" si="45"/>
        <v>⭐⭐⭐⭐</v>
      </c>
      <c r="AE340" t="str">
        <f t="shared" si="46"/>
        <v>Increase machine maintenance support</v>
      </c>
      <c r="AF340" t="str">
        <f t="shared" si="47"/>
        <v>Recommended for medium-high orders</v>
      </c>
    </row>
    <row r="341" spans="1:32" ht="24" customHeight="1">
      <c r="A341" t="s">
        <v>734</v>
      </c>
      <c r="B341" t="s">
        <v>69</v>
      </c>
      <c r="C341" t="s">
        <v>70</v>
      </c>
      <c r="D341" t="s">
        <v>71</v>
      </c>
      <c r="E341" t="s">
        <v>735</v>
      </c>
      <c r="F341" t="s">
        <v>37</v>
      </c>
      <c r="G341">
        <v>11449</v>
      </c>
      <c r="H341">
        <v>45866</v>
      </c>
      <c r="I341">
        <v>45893</v>
      </c>
      <c r="J341">
        <v>25</v>
      </c>
      <c r="K341">
        <v>26</v>
      </c>
      <c r="L341">
        <f t="shared" si="40"/>
        <v>1</v>
      </c>
      <c r="M341" t="str">
        <f t="shared" si="41"/>
        <v>Delayed</v>
      </c>
      <c r="N341">
        <v>9</v>
      </c>
      <c r="O341">
        <v>6</v>
      </c>
      <c r="P341">
        <f t="shared" si="42"/>
        <v>0.66666666666666663</v>
      </c>
      <c r="Q341">
        <v>34</v>
      </c>
      <c r="R341">
        <v>440.3</v>
      </c>
      <c r="S341">
        <v>11449</v>
      </c>
      <c r="T341" t="s">
        <v>45</v>
      </c>
      <c r="U341">
        <v>0</v>
      </c>
      <c r="V341">
        <v>8</v>
      </c>
      <c r="W341">
        <v>3</v>
      </c>
      <c r="X341">
        <v>1</v>
      </c>
      <c r="Y341">
        <v>3.6</v>
      </c>
      <c r="Z341">
        <v>3.8</v>
      </c>
      <c r="AA341">
        <v>0.78</v>
      </c>
      <c r="AB341">
        <f t="shared" si="43"/>
        <v>5</v>
      </c>
      <c r="AC341">
        <f t="shared" si="44"/>
        <v>3.94</v>
      </c>
      <c r="AD341" t="str">
        <f t="shared" si="45"/>
        <v>⭐⭐⭐</v>
      </c>
      <c r="AE341" t="str">
        <f t="shared" si="46"/>
        <v>Increase daily output monitoring</v>
      </c>
      <c r="AF341" t="str">
        <f t="shared" si="47"/>
        <v>Use for normal priority orders</v>
      </c>
    </row>
    <row r="342" spans="1:32" ht="24" customHeight="1">
      <c r="A342" t="s">
        <v>736</v>
      </c>
      <c r="B342" t="s">
        <v>78</v>
      </c>
      <c r="C342" t="s">
        <v>79</v>
      </c>
      <c r="D342" t="s">
        <v>80</v>
      </c>
      <c r="E342" t="s">
        <v>737</v>
      </c>
      <c r="F342" t="s">
        <v>44</v>
      </c>
      <c r="G342">
        <v>4973</v>
      </c>
      <c r="H342">
        <v>45978</v>
      </c>
      <c r="I342">
        <v>45994</v>
      </c>
      <c r="J342">
        <v>16</v>
      </c>
      <c r="K342">
        <v>13</v>
      </c>
      <c r="L342">
        <f t="shared" si="40"/>
        <v>-3</v>
      </c>
      <c r="M342" t="str">
        <f t="shared" si="41"/>
        <v>Early</v>
      </c>
      <c r="N342">
        <v>15</v>
      </c>
      <c r="O342">
        <v>14</v>
      </c>
      <c r="P342">
        <f t="shared" si="42"/>
        <v>0.93333333333333335</v>
      </c>
      <c r="Q342">
        <v>64</v>
      </c>
      <c r="R342">
        <v>382.5</v>
      </c>
      <c r="S342">
        <v>5973</v>
      </c>
      <c r="T342" t="s">
        <v>45</v>
      </c>
      <c r="U342">
        <v>3</v>
      </c>
      <c r="V342">
        <v>1</v>
      </c>
      <c r="W342">
        <v>4</v>
      </c>
      <c r="X342">
        <v>3</v>
      </c>
      <c r="Y342">
        <v>3.26</v>
      </c>
      <c r="Z342">
        <v>4.8</v>
      </c>
      <c r="AA342">
        <v>0.92</v>
      </c>
      <c r="AB342">
        <f t="shared" si="43"/>
        <v>5</v>
      </c>
      <c r="AC342">
        <f t="shared" si="44"/>
        <v>4.76</v>
      </c>
      <c r="AD342" t="str">
        <f t="shared" si="45"/>
        <v>⭐⭐⭐⭐⭐</v>
      </c>
      <c r="AE342" t="str">
        <f t="shared" si="46"/>
        <v>Maintain current resource allocation</v>
      </c>
      <c r="AF342" t="str">
        <f t="shared" si="47"/>
        <v>Best for urgent/high priority orders</v>
      </c>
    </row>
    <row r="343" spans="1:32" ht="24" customHeight="1">
      <c r="A343" t="s">
        <v>738</v>
      </c>
      <c r="B343" t="s">
        <v>33</v>
      </c>
      <c r="C343" t="s">
        <v>34</v>
      </c>
      <c r="D343" t="s">
        <v>35</v>
      </c>
      <c r="E343" t="s">
        <v>739</v>
      </c>
      <c r="F343" t="s">
        <v>37</v>
      </c>
      <c r="G343">
        <v>12316</v>
      </c>
      <c r="H343">
        <v>45686</v>
      </c>
      <c r="I343">
        <v>45726</v>
      </c>
      <c r="J343">
        <v>36</v>
      </c>
      <c r="K343">
        <v>36</v>
      </c>
      <c r="L343">
        <f t="shared" si="40"/>
        <v>0</v>
      </c>
      <c r="M343" t="str">
        <f t="shared" si="41"/>
        <v>On Time</v>
      </c>
      <c r="N343">
        <v>13</v>
      </c>
      <c r="O343">
        <v>10</v>
      </c>
      <c r="P343">
        <f t="shared" si="42"/>
        <v>0.76923076923076927</v>
      </c>
      <c r="Q343">
        <v>36</v>
      </c>
      <c r="R343">
        <v>342.1</v>
      </c>
      <c r="S343">
        <v>16316</v>
      </c>
      <c r="T343" t="s">
        <v>45</v>
      </c>
      <c r="U343">
        <v>2</v>
      </c>
      <c r="V343">
        <v>11</v>
      </c>
      <c r="W343">
        <v>2</v>
      </c>
      <c r="X343">
        <v>3</v>
      </c>
      <c r="Y343">
        <v>3.36</v>
      </c>
      <c r="Z343">
        <v>4.2</v>
      </c>
      <c r="AA343">
        <v>0.83</v>
      </c>
      <c r="AB343">
        <f t="shared" si="43"/>
        <v>5</v>
      </c>
      <c r="AC343">
        <f t="shared" si="44"/>
        <v>4.3</v>
      </c>
      <c r="AD343" t="str">
        <f t="shared" si="45"/>
        <v>⭐⭐⭐⭐</v>
      </c>
      <c r="AE343" t="str">
        <f t="shared" si="46"/>
        <v>Maintain current resource allocation</v>
      </c>
      <c r="AF343" t="str">
        <f t="shared" si="47"/>
        <v>Recommended for medium-high orders</v>
      </c>
    </row>
    <row r="344" spans="1:32" ht="24" customHeight="1">
      <c r="A344" t="s">
        <v>740</v>
      </c>
      <c r="B344" t="s">
        <v>69</v>
      </c>
      <c r="C344" t="s">
        <v>70</v>
      </c>
      <c r="D344" t="s">
        <v>71</v>
      </c>
      <c r="E344" t="s">
        <v>741</v>
      </c>
      <c r="F344" t="s">
        <v>44</v>
      </c>
      <c r="G344">
        <v>5636</v>
      </c>
      <c r="H344">
        <v>45902</v>
      </c>
      <c r="I344">
        <v>45935</v>
      </c>
      <c r="J344">
        <v>22</v>
      </c>
      <c r="K344">
        <v>28</v>
      </c>
      <c r="L344">
        <f t="shared" si="40"/>
        <v>6</v>
      </c>
      <c r="M344" t="str">
        <f t="shared" si="41"/>
        <v>Delayed</v>
      </c>
      <c r="N344">
        <v>9</v>
      </c>
      <c r="O344">
        <v>7</v>
      </c>
      <c r="P344">
        <f t="shared" si="42"/>
        <v>0.77777777777777779</v>
      </c>
      <c r="Q344">
        <v>33</v>
      </c>
      <c r="R344">
        <v>201.3</v>
      </c>
      <c r="S344">
        <v>6636</v>
      </c>
      <c r="T344" t="s">
        <v>45</v>
      </c>
      <c r="U344">
        <v>2</v>
      </c>
      <c r="V344">
        <v>5</v>
      </c>
      <c r="W344">
        <v>2</v>
      </c>
      <c r="X344">
        <v>4</v>
      </c>
      <c r="Y344">
        <v>3.42</v>
      </c>
      <c r="Z344">
        <v>3.8</v>
      </c>
      <c r="AA344">
        <v>0.78</v>
      </c>
      <c r="AB344">
        <f t="shared" si="43"/>
        <v>5</v>
      </c>
      <c r="AC344">
        <f t="shared" si="44"/>
        <v>4.0199999999999996</v>
      </c>
      <c r="AD344" t="str">
        <f t="shared" si="45"/>
        <v>⭐⭐⭐⭐</v>
      </c>
      <c r="AE344" t="str">
        <f t="shared" si="46"/>
        <v>Improve workforce allocation</v>
      </c>
      <c r="AF344" t="str">
        <f t="shared" si="47"/>
        <v>Recommended for medium-high orders</v>
      </c>
    </row>
    <row r="345" spans="1:32" ht="24" customHeight="1">
      <c r="A345" t="s">
        <v>742</v>
      </c>
      <c r="B345" t="s">
        <v>69</v>
      </c>
      <c r="C345" t="s">
        <v>70</v>
      </c>
      <c r="D345" t="s">
        <v>71</v>
      </c>
      <c r="E345" t="s">
        <v>743</v>
      </c>
      <c r="F345" t="s">
        <v>67</v>
      </c>
      <c r="G345">
        <v>50500</v>
      </c>
      <c r="H345">
        <v>45930</v>
      </c>
      <c r="I345">
        <v>46006</v>
      </c>
      <c r="J345">
        <v>66</v>
      </c>
      <c r="K345">
        <v>71</v>
      </c>
      <c r="L345">
        <f t="shared" si="40"/>
        <v>5</v>
      </c>
      <c r="M345" t="str">
        <f t="shared" si="41"/>
        <v>Delayed</v>
      </c>
      <c r="N345">
        <v>15</v>
      </c>
      <c r="O345">
        <v>11</v>
      </c>
      <c r="P345">
        <f t="shared" si="42"/>
        <v>0.73333333333333328</v>
      </c>
      <c r="Q345">
        <v>43</v>
      </c>
      <c r="R345">
        <v>711.3</v>
      </c>
      <c r="S345">
        <v>50500</v>
      </c>
      <c r="T345" t="s">
        <v>45</v>
      </c>
      <c r="U345">
        <v>3</v>
      </c>
      <c r="V345">
        <v>9</v>
      </c>
      <c r="W345">
        <v>1</v>
      </c>
      <c r="X345">
        <v>3</v>
      </c>
      <c r="Y345">
        <v>3.55</v>
      </c>
      <c r="Z345">
        <v>3.8</v>
      </c>
      <c r="AA345">
        <v>0.78</v>
      </c>
      <c r="AB345">
        <f t="shared" si="43"/>
        <v>5</v>
      </c>
      <c r="AC345">
        <f t="shared" si="44"/>
        <v>3.99</v>
      </c>
      <c r="AD345" t="str">
        <f t="shared" si="45"/>
        <v>⭐⭐⭐</v>
      </c>
      <c r="AE345" t="str">
        <f t="shared" si="46"/>
        <v>Reduce risk days and add supervisor monitoring</v>
      </c>
      <c r="AF345" t="str">
        <f t="shared" si="47"/>
        <v>Use for normal priority orders</v>
      </c>
    </row>
    <row r="346" spans="1:32" ht="24" customHeight="1">
      <c r="A346" t="s">
        <v>744</v>
      </c>
      <c r="B346" t="s">
        <v>61</v>
      </c>
      <c r="C346" t="s">
        <v>62</v>
      </c>
      <c r="D346" t="s">
        <v>63</v>
      </c>
      <c r="E346" t="s">
        <v>745</v>
      </c>
      <c r="F346" t="s">
        <v>44</v>
      </c>
      <c r="G346">
        <v>14063</v>
      </c>
      <c r="H346">
        <v>45979</v>
      </c>
      <c r="I346">
        <v>46009</v>
      </c>
      <c r="J346">
        <v>26</v>
      </c>
      <c r="K346">
        <v>30</v>
      </c>
      <c r="L346">
        <f t="shared" si="40"/>
        <v>4</v>
      </c>
      <c r="M346" t="str">
        <f t="shared" si="41"/>
        <v>Delayed</v>
      </c>
      <c r="N346">
        <v>10</v>
      </c>
      <c r="O346">
        <v>6</v>
      </c>
      <c r="P346">
        <f t="shared" si="42"/>
        <v>0.6</v>
      </c>
      <c r="Q346">
        <v>33</v>
      </c>
      <c r="R346">
        <v>468.8</v>
      </c>
      <c r="S346">
        <v>15063</v>
      </c>
      <c r="T346" t="s">
        <v>38</v>
      </c>
      <c r="U346">
        <v>3</v>
      </c>
      <c r="V346">
        <v>11</v>
      </c>
      <c r="W346">
        <v>3</v>
      </c>
      <c r="X346">
        <v>4</v>
      </c>
      <c r="Y346">
        <v>3.48</v>
      </c>
      <c r="Z346">
        <v>4</v>
      </c>
      <c r="AA346">
        <v>0.8</v>
      </c>
      <c r="AB346">
        <f t="shared" si="43"/>
        <v>5</v>
      </c>
      <c r="AC346">
        <f t="shared" si="44"/>
        <v>3.97</v>
      </c>
      <c r="AD346" t="str">
        <f t="shared" si="45"/>
        <v>⭐⭐⭐</v>
      </c>
      <c r="AE346" t="str">
        <f t="shared" si="46"/>
        <v>Reduce risk days and add supervisor monitoring</v>
      </c>
      <c r="AF346" t="str">
        <f t="shared" si="47"/>
        <v>Use for normal priority orders</v>
      </c>
    </row>
    <row r="347" spans="1:32" ht="24" customHeight="1">
      <c r="A347" t="s">
        <v>746</v>
      </c>
      <c r="B347" t="s">
        <v>53</v>
      </c>
      <c r="C347" t="s">
        <v>54</v>
      </c>
      <c r="D347" t="s">
        <v>55</v>
      </c>
      <c r="E347" t="s">
        <v>747</v>
      </c>
      <c r="F347" t="s">
        <v>67</v>
      </c>
      <c r="G347">
        <v>51360</v>
      </c>
      <c r="H347">
        <v>45954</v>
      </c>
      <c r="I347">
        <v>46030</v>
      </c>
      <c r="J347">
        <v>68</v>
      </c>
      <c r="K347">
        <v>74</v>
      </c>
      <c r="L347">
        <f t="shared" si="40"/>
        <v>6</v>
      </c>
      <c r="M347" t="str">
        <f t="shared" si="41"/>
        <v>Delayed</v>
      </c>
      <c r="N347">
        <v>16</v>
      </c>
      <c r="O347">
        <v>14</v>
      </c>
      <c r="P347">
        <f t="shared" si="42"/>
        <v>0.875</v>
      </c>
      <c r="Q347">
        <v>60</v>
      </c>
      <c r="R347">
        <v>694.1</v>
      </c>
      <c r="S347">
        <v>53360</v>
      </c>
      <c r="T347" t="s">
        <v>45</v>
      </c>
      <c r="U347">
        <v>3</v>
      </c>
      <c r="V347">
        <v>5</v>
      </c>
      <c r="W347">
        <v>1</v>
      </c>
      <c r="X347">
        <v>0</v>
      </c>
      <c r="Y347">
        <v>3.4</v>
      </c>
      <c r="Z347">
        <v>4.5</v>
      </c>
      <c r="AA347">
        <v>0.88</v>
      </c>
      <c r="AB347">
        <f t="shared" si="43"/>
        <v>5</v>
      </c>
      <c r="AC347">
        <f t="shared" si="44"/>
        <v>4.43</v>
      </c>
      <c r="AD347" t="str">
        <f t="shared" si="45"/>
        <v>⭐⭐⭐⭐</v>
      </c>
      <c r="AE347" t="str">
        <f t="shared" si="46"/>
        <v>Increase daily output monitoring</v>
      </c>
      <c r="AF347" t="str">
        <f t="shared" si="47"/>
        <v>Recommended for medium-high orders</v>
      </c>
    </row>
    <row r="348" spans="1:32" ht="24" customHeight="1">
      <c r="A348" t="s">
        <v>748</v>
      </c>
      <c r="B348" t="s">
        <v>33</v>
      </c>
      <c r="C348" t="s">
        <v>34</v>
      </c>
      <c r="D348" t="s">
        <v>35</v>
      </c>
      <c r="E348" t="s">
        <v>749</v>
      </c>
      <c r="F348" t="s">
        <v>44</v>
      </c>
      <c r="G348">
        <v>19372</v>
      </c>
      <c r="H348">
        <v>45743</v>
      </c>
      <c r="I348">
        <v>45788</v>
      </c>
      <c r="J348">
        <v>41</v>
      </c>
      <c r="K348">
        <v>41</v>
      </c>
      <c r="L348">
        <f t="shared" si="40"/>
        <v>0</v>
      </c>
      <c r="M348" t="str">
        <f t="shared" si="41"/>
        <v>On Time</v>
      </c>
      <c r="N348">
        <v>14</v>
      </c>
      <c r="O348">
        <v>10</v>
      </c>
      <c r="P348">
        <f t="shared" si="42"/>
        <v>0.7142857142857143</v>
      </c>
      <c r="Q348">
        <v>45</v>
      </c>
      <c r="R348">
        <v>472.5</v>
      </c>
      <c r="S348">
        <v>21372</v>
      </c>
      <c r="T348" t="s">
        <v>45</v>
      </c>
      <c r="U348">
        <v>0</v>
      </c>
      <c r="V348">
        <v>5</v>
      </c>
      <c r="W348">
        <v>3</v>
      </c>
      <c r="X348">
        <v>3</v>
      </c>
      <c r="Y348">
        <v>3.42</v>
      </c>
      <c r="Z348">
        <v>4.2</v>
      </c>
      <c r="AA348">
        <v>0.83</v>
      </c>
      <c r="AB348">
        <f t="shared" si="43"/>
        <v>5</v>
      </c>
      <c r="AC348">
        <f t="shared" si="44"/>
        <v>4.26</v>
      </c>
      <c r="AD348" t="str">
        <f t="shared" si="45"/>
        <v>⭐⭐⭐⭐</v>
      </c>
      <c r="AE348" t="str">
        <f t="shared" si="46"/>
        <v>Maintain current resource allocation</v>
      </c>
      <c r="AF348" t="str">
        <f t="shared" si="47"/>
        <v>Recommended for medium-high orders</v>
      </c>
    </row>
    <row r="349" spans="1:32" ht="24" customHeight="1">
      <c r="A349" t="s">
        <v>750</v>
      </c>
      <c r="B349" t="s">
        <v>69</v>
      </c>
      <c r="C349" t="s">
        <v>70</v>
      </c>
      <c r="D349" t="s">
        <v>71</v>
      </c>
      <c r="E349" t="s">
        <v>751</v>
      </c>
      <c r="F349" t="s">
        <v>44</v>
      </c>
      <c r="G349">
        <v>7746</v>
      </c>
      <c r="H349">
        <v>45752</v>
      </c>
      <c r="I349">
        <v>45786</v>
      </c>
      <c r="J349">
        <v>29</v>
      </c>
      <c r="K349">
        <v>33</v>
      </c>
      <c r="L349">
        <f t="shared" si="40"/>
        <v>4</v>
      </c>
      <c r="M349" t="str">
        <f t="shared" si="41"/>
        <v>Delayed</v>
      </c>
      <c r="N349">
        <v>13</v>
      </c>
      <c r="O349">
        <v>10</v>
      </c>
      <c r="P349">
        <f t="shared" si="42"/>
        <v>0.76923076923076927</v>
      </c>
      <c r="Q349">
        <v>41</v>
      </c>
      <c r="R349">
        <v>234.7</v>
      </c>
      <c r="S349">
        <v>9746</v>
      </c>
      <c r="T349" t="s">
        <v>45</v>
      </c>
      <c r="U349">
        <v>2</v>
      </c>
      <c r="V349">
        <v>9</v>
      </c>
      <c r="W349">
        <v>5</v>
      </c>
      <c r="X349">
        <v>1</v>
      </c>
      <c r="Y349">
        <v>3.59</v>
      </c>
      <c r="Z349">
        <v>3.8</v>
      </c>
      <c r="AA349">
        <v>0.78</v>
      </c>
      <c r="AB349">
        <f t="shared" si="43"/>
        <v>5</v>
      </c>
      <c r="AC349">
        <f t="shared" si="44"/>
        <v>4.01</v>
      </c>
      <c r="AD349" t="str">
        <f t="shared" si="45"/>
        <v>⭐⭐⭐⭐</v>
      </c>
      <c r="AE349" t="str">
        <f t="shared" si="46"/>
        <v>Reduce risk days and add supervisor monitoring</v>
      </c>
      <c r="AF349" t="str">
        <f t="shared" si="47"/>
        <v>Recommended for medium-high orders</v>
      </c>
    </row>
    <row r="350" spans="1:32" ht="24" customHeight="1">
      <c r="A350" t="s">
        <v>752</v>
      </c>
      <c r="B350" t="s">
        <v>40</v>
      </c>
      <c r="C350" t="s">
        <v>41</v>
      </c>
      <c r="D350" t="s">
        <v>42</v>
      </c>
      <c r="E350" t="s">
        <v>753</v>
      </c>
      <c r="F350" t="s">
        <v>37</v>
      </c>
      <c r="G350">
        <v>20385</v>
      </c>
      <c r="H350">
        <v>45917</v>
      </c>
      <c r="I350">
        <v>45956</v>
      </c>
      <c r="J350">
        <v>35</v>
      </c>
      <c r="K350">
        <v>37</v>
      </c>
      <c r="L350">
        <f t="shared" si="40"/>
        <v>2</v>
      </c>
      <c r="M350" t="str">
        <f t="shared" si="41"/>
        <v>Delayed</v>
      </c>
      <c r="N350">
        <v>18</v>
      </c>
      <c r="O350">
        <v>15</v>
      </c>
      <c r="P350">
        <f t="shared" si="42"/>
        <v>0.83333333333333337</v>
      </c>
      <c r="Q350">
        <v>52</v>
      </c>
      <c r="R350">
        <v>550.9</v>
      </c>
      <c r="S350">
        <v>22385</v>
      </c>
      <c r="T350" t="s">
        <v>38</v>
      </c>
      <c r="U350">
        <v>1</v>
      </c>
      <c r="V350">
        <v>3</v>
      </c>
      <c r="W350">
        <v>3</v>
      </c>
      <c r="X350">
        <v>3</v>
      </c>
      <c r="Y350">
        <v>3.89</v>
      </c>
      <c r="Z350">
        <v>4.3</v>
      </c>
      <c r="AA350">
        <v>0.85</v>
      </c>
      <c r="AB350">
        <f t="shared" si="43"/>
        <v>5</v>
      </c>
      <c r="AC350">
        <f t="shared" si="44"/>
        <v>4.3</v>
      </c>
      <c r="AD350" t="str">
        <f t="shared" si="45"/>
        <v>⭐⭐⭐⭐</v>
      </c>
      <c r="AE350" t="str">
        <f t="shared" si="46"/>
        <v>Increase daily output monitoring</v>
      </c>
      <c r="AF350" t="str">
        <f t="shared" si="47"/>
        <v>Recommended for medium-high orders</v>
      </c>
    </row>
    <row r="351" spans="1:32" ht="24" customHeight="1">
      <c r="A351" t="s">
        <v>754</v>
      </c>
      <c r="B351" t="s">
        <v>33</v>
      </c>
      <c r="C351" t="s">
        <v>34</v>
      </c>
      <c r="D351" t="s">
        <v>35</v>
      </c>
      <c r="E351" t="s">
        <v>755</v>
      </c>
      <c r="F351" t="s">
        <v>44</v>
      </c>
      <c r="G351">
        <v>11497</v>
      </c>
      <c r="H351">
        <v>45815</v>
      </c>
      <c r="I351">
        <v>45861</v>
      </c>
      <c r="J351">
        <v>42</v>
      </c>
      <c r="K351">
        <v>46</v>
      </c>
      <c r="L351">
        <f t="shared" si="40"/>
        <v>4</v>
      </c>
      <c r="M351" t="str">
        <f t="shared" si="41"/>
        <v>Delayed</v>
      </c>
      <c r="N351">
        <v>11</v>
      </c>
      <c r="O351">
        <v>9</v>
      </c>
      <c r="P351">
        <f t="shared" si="42"/>
        <v>0.81818181818181823</v>
      </c>
      <c r="Q351">
        <v>35</v>
      </c>
      <c r="R351">
        <v>249.9</v>
      </c>
      <c r="S351">
        <v>12497</v>
      </c>
      <c r="T351" t="s">
        <v>45</v>
      </c>
      <c r="U351">
        <v>0</v>
      </c>
      <c r="V351">
        <v>6</v>
      </c>
      <c r="W351">
        <v>3</v>
      </c>
      <c r="X351">
        <v>0</v>
      </c>
      <c r="Y351">
        <v>3.01</v>
      </c>
      <c r="Z351">
        <v>4.2</v>
      </c>
      <c r="AA351">
        <v>0.83</v>
      </c>
      <c r="AB351">
        <f t="shared" si="43"/>
        <v>5</v>
      </c>
      <c r="AC351">
        <f t="shared" si="44"/>
        <v>4.2300000000000004</v>
      </c>
      <c r="AD351" t="str">
        <f t="shared" si="45"/>
        <v>⭐⭐⭐⭐</v>
      </c>
      <c r="AE351" t="str">
        <f t="shared" si="46"/>
        <v>Increase daily output monitoring</v>
      </c>
      <c r="AF351" t="str">
        <f t="shared" si="47"/>
        <v>Recommended for medium-high orders</v>
      </c>
    </row>
    <row r="352" spans="1:32" ht="24" customHeight="1">
      <c r="A352" t="s">
        <v>756</v>
      </c>
      <c r="B352" t="s">
        <v>40</v>
      </c>
      <c r="C352" t="s">
        <v>41</v>
      </c>
      <c r="D352" t="s">
        <v>42</v>
      </c>
      <c r="E352" t="s">
        <v>757</v>
      </c>
      <c r="F352" t="s">
        <v>67</v>
      </c>
      <c r="G352">
        <v>51711</v>
      </c>
      <c r="H352">
        <v>45920</v>
      </c>
      <c r="I352">
        <v>45981</v>
      </c>
      <c r="J352">
        <v>57</v>
      </c>
      <c r="K352">
        <v>58</v>
      </c>
      <c r="L352">
        <f t="shared" si="40"/>
        <v>1</v>
      </c>
      <c r="M352" t="str">
        <f t="shared" si="41"/>
        <v>Delayed</v>
      </c>
      <c r="N352">
        <v>15</v>
      </c>
      <c r="O352">
        <v>11</v>
      </c>
      <c r="P352">
        <f t="shared" si="42"/>
        <v>0.73333333333333328</v>
      </c>
      <c r="Q352">
        <v>40</v>
      </c>
      <c r="R352">
        <v>891.6</v>
      </c>
      <c r="S352">
        <v>55711</v>
      </c>
      <c r="T352" t="s">
        <v>45</v>
      </c>
      <c r="U352">
        <v>3</v>
      </c>
      <c r="V352">
        <v>3</v>
      </c>
      <c r="W352">
        <v>2</v>
      </c>
      <c r="X352">
        <v>0</v>
      </c>
      <c r="Y352">
        <v>2.65</v>
      </c>
      <c r="Z352">
        <v>4.3</v>
      </c>
      <c r="AA352">
        <v>0.85</v>
      </c>
      <c r="AB352">
        <f t="shared" si="43"/>
        <v>5</v>
      </c>
      <c r="AC352">
        <f t="shared" si="44"/>
        <v>4.22</v>
      </c>
      <c r="AD352" t="str">
        <f t="shared" si="45"/>
        <v>⭐⭐⭐⭐</v>
      </c>
      <c r="AE352" t="str">
        <f t="shared" si="46"/>
        <v>Increase daily output monitoring</v>
      </c>
      <c r="AF352" t="str">
        <f t="shared" si="47"/>
        <v>Recommended for medium-high orders</v>
      </c>
    </row>
    <row r="353" spans="1:32" ht="24" customHeight="1">
      <c r="A353" t="s">
        <v>758</v>
      </c>
      <c r="B353" t="s">
        <v>78</v>
      </c>
      <c r="C353" t="s">
        <v>79</v>
      </c>
      <c r="D353" t="s">
        <v>80</v>
      </c>
      <c r="E353" t="s">
        <v>759</v>
      </c>
      <c r="F353" t="s">
        <v>44</v>
      </c>
      <c r="G353">
        <v>3836</v>
      </c>
      <c r="H353">
        <v>45945</v>
      </c>
      <c r="I353">
        <v>45973</v>
      </c>
      <c r="J353">
        <v>30</v>
      </c>
      <c r="K353">
        <v>28</v>
      </c>
      <c r="L353">
        <f t="shared" si="40"/>
        <v>-2</v>
      </c>
      <c r="M353" t="str">
        <f t="shared" si="41"/>
        <v>Early</v>
      </c>
      <c r="N353">
        <v>15</v>
      </c>
      <c r="O353">
        <v>12</v>
      </c>
      <c r="P353">
        <f t="shared" si="42"/>
        <v>0.8</v>
      </c>
      <c r="Q353">
        <v>61</v>
      </c>
      <c r="R353">
        <v>137</v>
      </c>
      <c r="S353">
        <v>5836</v>
      </c>
      <c r="T353" t="s">
        <v>45</v>
      </c>
      <c r="U353">
        <v>3</v>
      </c>
      <c r="V353">
        <v>0</v>
      </c>
      <c r="W353">
        <v>0</v>
      </c>
      <c r="X353">
        <v>3</v>
      </c>
      <c r="Y353">
        <v>3.1</v>
      </c>
      <c r="Z353">
        <v>4.8</v>
      </c>
      <c r="AA353">
        <v>0.92</v>
      </c>
      <c r="AB353">
        <f t="shared" si="43"/>
        <v>5</v>
      </c>
      <c r="AC353">
        <f t="shared" si="44"/>
        <v>4.66</v>
      </c>
      <c r="AD353" t="str">
        <f t="shared" si="45"/>
        <v>⭐⭐⭐⭐⭐</v>
      </c>
      <c r="AE353" t="str">
        <f t="shared" si="46"/>
        <v>Maintain current resource allocation</v>
      </c>
      <c r="AF353" t="str">
        <f t="shared" si="47"/>
        <v>Best for urgent/high priority orders</v>
      </c>
    </row>
    <row r="354" spans="1:32" ht="24" customHeight="1">
      <c r="A354" t="s">
        <v>760</v>
      </c>
      <c r="B354" t="s">
        <v>78</v>
      </c>
      <c r="C354" t="s">
        <v>79</v>
      </c>
      <c r="D354" t="s">
        <v>80</v>
      </c>
      <c r="E354" t="s">
        <v>761</v>
      </c>
      <c r="F354" t="s">
        <v>57</v>
      </c>
      <c r="G354">
        <v>18167</v>
      </c>
      <c r="H354">
        <v>45926</v>
      </c>
      <c r="I354">
        <v>45968</v>
      </c>
      <c r="J354">
        <v>38</v>
      </c>
      <c r="K354">
        <v>40</v>
      </c>
      <c r="L354">
        <f t="shared" si="40"/>
        <v>2</v>
      </c>
      <c r="M354" t="str">
        <f t="shared" si="41"/>
        <v>Delayed</v>
      </c>
      <c r="N354">
        <v>17</v>
      </c>
      <c r="O354">
        <v>15</v>
      </c>
      <c r="P354">
        <f t="shared" si="42"/>
        <v>0.88235294117647056</v>
      </c>
      <c r="Q354">
        <v>52</v>
      </c>
      <c r="R354">
        <v>454.2</v>
      </c>
      <c r="S354">
        <v>19167</v>
      </c>
      <c r="T354" t="s">
        <v>45</v>
      </c>
      <c r="U354">
        <v>1</v>
      </c>
      <c r="V354">
        <v>5</v>
      </c>
      <c r="W354">
        <v>0</v>
      </c>
      <c r="X354">
        <v>0</v>
      </c>
      <c r="Y354">
        <v>2.46</v>
      </c>
      <c r="Z354">
        <v>4.8</v>
      </c>
      <c r="AA354">
        <v>0.92</v>
      </c>
      <c r="AB354">
        <f t="shared" si="43"/>
        <v>5</v>
      </c>
      <c r="AC354">
        <f t="shared" si="44"/>
        <v>4.57</v>
      </c>
      <c r="AD354" t="str">
        <f t="shared" si="45"/>
        <v>⭐⭐⭐⭐⭐</v>
      </c>
      <c r="AE354" t="str">
        <f t="shared" si="46"/>
        <v>Increase daily output monitoring</v>
      </c>
      <c r="AF354" t="str">
        <f t="shared" si="47"/>
        <v>Best for urgent/high priority orders</v>
      </c>
    </row>
    <row r="355" spans="1:32" ht="24" customHeight="1">
      <c r="A355" t="s">
        <v>762</v>
      </c>
      <c r="B355" t="s">
        <v>78</v>
      </c>
      <c r="C355" t="s">
        <v>79</v>
      </c>
      <c r="D355" t="s">
        <v>80</v>
      </c>
      <c r="E355" t="s">
        <v>763</v>
      </c>
      <c r="F355" t="s">
        <v>57</v>
      </c>
      <c r="G355">
        <v>5108</v>
      </c>
      <c r="H355">
        <v>45679</v>
      </c>
      <c r="I355">
        <v>45700</v>
      </c>
      <c r="J355">
        <v>22</v>
      </c>
      <c r="K355">
        <v>19</v>
      </c>
      <c r="L355">
        <f t="shared" si="40"/>
        <v>-3</v>
      </c>
      <c r="M355" t="str">
        <f t="shared" si="41"/>
        <v>Early</v>
      </c>
      <c r="N355">
        <v>17</v>
      </c>
      <c r="O355">
        <v>14</v>
      </c>
      <c r="P355">
        <f t="shared" si="42"/>
        <v>0.82352941176470584</v>
      </c>
      <c r="Q355">
        <v>62</v>
      </c>
      <c r="R355">
        <v>268.8</v>
      </c>
      <c r="S355">
        <v>7108</v>
      </c>
      <c r="T355" t="s">
        <v>45</v>
      </c>
      <c r="U355">
        <v>3</v>
      </c>
      <c r="V355">
        <v>11</v>
      </c>
      <c r="W355">
        <v>1</v>
      </c>
      <c r="X355">
        <v>2</v>
      </c>
      <c r="Y355">
        <v>3.04</v>
      </c>
      <c r="Z355">
        <v>4.8</v>
      </c>
      <c r="AA355">
        <v>0.92</v>
      </c>
      <c r="AB355">
        <f t="shared" si="43"/>
        <v>5</v>
      </c>
      <c r="AC355">
        <f t="shared" si="44"/>
        <v>4.68</v>
      </c>
      <c r="AD355" t="str">
        <f t="shared" si="45"/>
        <v>⭐⭐⭐⭐⭐</v>
      </c>
      <c r="AE355" t="str">
        <f t="shared" si="46"/>
        <v>Maintain current resource allocation</v>
      </c>
      <c r="AF355" t="str">
        <f t="shared" si="47"/>
        <v>Best for urgent/high priority orders</v>
      </c>
    </row>
    <row r="356" spans="1:32" ht="24" customHeight="1">
      <c r="A356" t="s">
        <v>764</v>
      </c>
      <c r="B356" t="s">
        <v>61</v>
      </c>
      <c r="C356" t="s">
        <v>62</v>
      </c>
      <c r="D356" t="s">
        <v>63</v>
      </c>
      <c r="E356" t="s">
        <v>765</v>
      </c>
      <c r="F356" t="s">
        <v>44</v>
      </c>
      <c r="G356">
        <v>17186</v>
      </c>
      <c r="H356">
        <v>45692</v>
      </c>
      <c r="I356">
        <v>45734</v>
      </c>
      <c r="J356">
        <v>31</v>
      </c>
      <c r="K356">
        <v>38</v>
      </c>
      <c r="L356">
        <f t="shared" si="40"/>
        <v>7</v>
      </c>
      <c r="M356" t="str">
        <f t="shared" si="41"/>
        <v>Delayed</v>
      </c>
      <c r="N356">
        <v>11</v>
      </c>
      <c r="O356">
        <v>8</v>
      </c>
      <c r="P356">
        <f t="shared" si="42"/>
        <v>0.72727272727272729</v>
      </c>
      <c r="Q356">
        <v>37</v>
      </c>
      <c r="R356">
        <v>452.3</v>
      </c>
      <c r="S356">
        <v>17186</v>
      </c>
      <c r="T356" t="s">
        <v>38</v>
      </c>
      <c r="U356">
        <v>0</v>
      </c>
      <c r="V356">
        <v>13</v>
      </c>
      <c r="W356">
        <v>3</v>
      </c>
      <c r="X356">
        <v>5</v>
      </c>
      <c r="Y356">
        <v>3.35</v>
      </c>
      <c r="Z356">
        <v>4</v>
      </c>
      <c r="AA356">
        <v>0.8</v>
      </c>
      <c r="AB356">
        <f t="shared" si="43"/>
        <v>5</v>
      </c>
      <c r="AC356">
        <f t="shared" si="44"/>
        <v>4.07</v>
      </c>
      <c r="AD356" t="str">
        <f t="shared" si="45"/>
        <v>⭐⭐⭐⭐</v>
      </c>
      <c r="AE356" t="str">
        <f t="shared" si="46"/>
        <v>Reduce risk days and add supervisor monitoring</v>
      </c>
      <c r="AF356" t="str">
        <f t="shared" si="47"/>
        <v>Recommended for medium-high orders</v>
      </c>
    </row>
    <row r="357" spans="1:32" ht="24" customHeight="1">
      <c r="A357" t="s">
        <v>766</v>
      </c>
      <c r="B357" t="s">
        <v>61</v>
      </c>
      <c r="C357" t="s">
        <v>62</v>
      </c>
      <c r="D357" t="s">
        <v>63</v>
      </c>
      <c r="E357" t="s">
        <v>767</v>
      </c>
      <c r="F357" t="s">
        <v>57</v>
      </c>
      <c r="G357">
        <v>19226</v>
      </c>
      <c r="H357">
        <v>45732</v>
      </c>
      <c r="I357">
        <v>45771</v>
      </c>
      <c r="J357">
        <v>32</v>
      </c>
      <c r="K357">
        <v>37</v>
      </c>
      <c r="L357">
        <f t="shared" si="40"/>
        <v>5</v>
      </c>
      <c r="M357" t="str">
        <f t="shared" si="41"/>
        <v>Delayed</v>
      </c>
      <c r="N357">
        <v>9</v>
      </c>
      <c r="O357">
        <v>7</v>
      </c>
      <c r="P357">
        <f t="shared" si="42"/>
        <v>0.77777777777777779</v>
      </c>
      <c r="Q357">
        <v>35</v>
      </c>
      <c r="R357">
        <v>519.6</v>
      </c>
      <c r="S357">
        <v>23226</v>
      </c>
      <c r="T357" t="s">
        <v>45</v>
      </c>
      <c r="U357">
        <v>0</v>
      </c>
      <c r="V357">
        <v>3</v>
      </c>
      <c r="W357">
        <v>1</v>
      </c>
      <c r="X357">
        <v>3</v>
      </c>
      <c r="Y357">
        <v>3.67</v>
      </c>
      <c r="Z357">
        <v>4</v>
      </c>
      <c r="AA357">
        <v>0.8</v>
      </c>
      <c r="AB357">
        <f t="shared" si="43"/>
        <v>5</v>
      </c>
      <c r="AC357">
        <f t="shared" si="44"/>
        <v>4.0999999999999996</v>
      </c>
      <c r="AD357" t="str">
        <f t="shared" si="45"/>
        <v>⭐⭐⭐⭐</v>
      </c>
      <c r="AE357" t="str">
        <f t="shared" si="46"/>
        <v>Increase daily output monitoring</v>
      </c>
      <c r="AF357" t="str">
        <f t="shared" si="47"/>
        <v>Recommended for medium-high orders</v>
      </c>
    </row>
    <row r="358" spans="1:32" ht="24" customHeight="1">
      <c r="A358" t="s">
        <v>768</v>
      </c>
      <c r="B358" t="s">
        <v>40</v>
      </c>
      <c r="C358" t="s">
        <v>41</v>
      </c>
      <c r="D358" t="s">
        <v>42</v>
      </c>
      <c r="E358" t="s">
        <v>769</v>
      </c>
      <c r="F358" t="s">
        <v>67</v>
      </c>
      <c r="G358">
        <v>45351</v>
      </c>
      <c r="H358">
        <v>45812</v>
      </c>
      <c r="I358">
        <v>45873</v>
      </c>
      <c r="J358">
        <v>56</v>
      </c>
      <c r="K358">
        <v>59</v>
      </c>
      <c r="L358">
        <f t="shared" si="40"/>
        <v>3</v>
      </c>
      <c r="M358" t="str">
        <f t="shared" si="41"/>
        <v>Delayed</v>
      </c>
      <c r="N358">
        <v>12</v>
      </c>
      <c r="O358">
        <v>9</v>
      </c>
      <c r="P358">
        <f t="shared" si="42"/>
        <v>0.75</v>
      </c>
      <c r="Q358">
        <v>43</v>
      </c>
      <c r="R358">
        <v>768.7</v>
      </c>
      <c r="S358">
        <v>45351</v>
      </c>
      <c r="T358" t="s">
        <v>45</v>
      </c>
      <c r="U358">
        <v>1</v>
      </c>
      <c r="V358">
        <v>0</v>
      </c>
      <c r="W358">
        <v>4</v>
      </c>
      <c r="X358">
        <v>1</v>
      </c>
      <c r="Y358">
        <v>2.27</v>
      </c>
      <c r="Z358">
        <v>4.3</v>
      </c>
      <c r="AA358">
        <v>0.85</v>
      </c>
      <c r="AB358">
        <f t="shared" si="43"/>
        <v>5</v>
      </c>
      <c r="AC358">
        <f t="shared" si="44"/>
        <v>4.24</v>
      </c>
      <c r="AD358" t="str">
        <f t="shared" si="45"/>
        <v>⭐⭐⭐⭐</v>
      </c>
      <c r="AE358" t="str">
        <f t="shared" si="46"/>
        <v>Increase machine maintenance support</v>
      </c>
      <c r="AF358" t="str">
        <f t="shared" si="47"/>
        <v>Recommended for medium-high orders</v>
      </c>
    </row>
    <row r="359" spans="1:32" ht="24" customHeight="1">
      <c r="A359" t="s">
        <v>770</v>
      </c>
      <c r="B359" t="s">
        <v>33</v>
      </c>
      <c r="C359" t="s">
        <v>34</v>
      </c>
      <c r="D359" t="s">
        <v>35</v>
      </c>
      <c r="E359" t="s">
        <v>771</v>
      </c>
      <c r="F359" t="s">
        <v>44</v>
      </c>
      <c r="G359">
        <v>19511</v>
      </c>
      <c r="H359">
        <v>45737</v>
      </c>
      <c r="I359">
        <v>45784</v>
      </c>
      <c r="J359">
        <v>42</v>
      </c>
      <c r="K359">
        <v>43</v>
      </c>
      <c r="L359">
        <f t="shared" si="40"/>
        <v>1</v>
      </c>
      <c r="M359" t="str">
        <f t="shared" si="41"/>
        <v>Delayed</v>
      </c>
      <c r="N359">
        <v>16</v>
      </c>
      <c r="O359">
        <v>12</v>
      </c>
      <c r="P359">
        <f t="shared" si="42"/>
        <v>0.75</v>
      </c>
      <c r="Q359">
        <v>39</v>
      </c>
      <c r="R359">
        <v>453.7</v>
      </c>
      <c r="S359">
        <v>19511</v>
      </c>
      <c r="T359" t="s">
        <v>45</v>
      </c>
      <c r="U359">
        <v>1</v>
      </c>
      <c r="V359">
        <v>4</v>
      </c>
      <c r="W359">
        <v>3</v>
      </c>
      <c r="X359">
        <v>3</v>
      </c>
      <c r="Y359">
        <v>3.97</v>
      </c>
      <c r="Z359">
        <v>4.2</v>
      </c>
      <c r="AA359">
        <v>0.83</v>
      </c>
      <c r="AB359">
        <f t="shared" si="43"/>
        <v>5</v>
      </c>
      <c r="AC359">
        <f t="shared" si="44"/>
        <v>4.18</v>
      </c>
      <c r="AD359" t="str">
        <f t="shared" si="45"/>
        <v>⭐⭐⭐⭐</v>
      </c>
      <c r="AE359" t="str">
        <f t="shared" si="46"/>
        <v>Increase daily output monitoring</v>
      </c>
      <c r="AF359" t="str">
        <f t="shared" si="47"/>
        <v>Recommended for medium-high orders</v>
      </c>
    </row>
    <row r="360" spans="1:32" ht="24" customHeight="1">
      <c r="A360" t="s">
        <v>772</v>
      </c>
      <c r="B360" t="s">
        <v>53</v>
      </c>
      <c r="C360" t="s">
        <v>54</v>
      </c>
      <c r="D360" t="s">
        <v>55</v>
      </c>
      <c r="E360" t="s">
        <v>773</v>
      </c>
      <c r="F360" t="s">
        <v>67</v>
      </c>
      <c r="G360">
        <v>57435</v>
      </c>
      <c r="H360">
        <v>45884</v>
      </c>
      <c r="I360">
        <v>45960</v>
      </c>
      <c r="J360">
        <v>72</v>
      </c>
      <c r="K360">
        <v>72</v>
      </c>
      <c r="L360">
        <f t="shared" si="40"/>
        <v>0</v>
      </c>
      <c r="M360" t="str">
        <f t="shared" si="41"/>
        <v>On Time</v>
      </c>
      <c r="N360">
        <v>15</v>
      </c>
      <c r="O360">
        <v>13</v>
      </c>
      <c r="P360">
        <f t="shared" si="42"/>
        <v>0.8666666666666667</v>
      </c>
      <c r="Q360">
        <v>59</v>
      </c>
      <c r="R360">
        <v>797.7</v>
      </c>
      <c r="S360">
        <v>59435</v>
      </c>
      <c r="T360" t="s">
        <v>45</v>
      </c>
      <c r="U360">
        <v>2</v>
      </c>
      <c r="V360">
        <v>5</v>
      </c>
      <c r="W360">
        <v>0</v>
      </c>
      <c r="X360">
        <v>2</v>
      </c>
      <c r="Y360">
        <v>2.96</v>
      </c>
      <c r="Z360">
        <v>4.5</v>
      </c>
      <c r="AA360">
        <v>0.88</v>
      </c>
      <c r="AB360">
        <f t="shared" si="43"/>
        <v>5</v>
      </c>
      <c r="AC360">
        <f t="shared" si="44"/>
        <v>4.53</v>
      </c>
      <c r="AD360" t="str">
        <f t="shared" si="45"/>
        <v>⭐⭐⭐⭐⭐</v>
      </c>
      <c r="AE360" t="str">
        <f t="shared" si="46"/>
        <v>Maintain current resource allocation</v>
      </c>
      <c r="AF360" t="str">
        <f t="shared" si="47"/>
        <v>Best for urgent/high priority orders</v>
      </c>
    </row>
    <row r="361" spans="1:32" ht="24" customHeight="1">
      <c r="A361" t="s">
        <v>774</v>
      </c>
      <c r="B361" t="s">
        <v>40</v>
      </c>
      <c r="C361" t="s">
        <v>41</v>
      </c>
      <c r="D361" t="s">
        <v>42</v>
      </c>
      <c r="E361" t="s">
        <v>775</v>
      </c>
      <c r="F361" t="s">
        <v>44</v>
      </c>
      <c r="G361">
        <v>11983</v>
      </c>
      <c r="H361">
        <v>45715</v>
      </c>
      <c r="I361">
        <v>45739</v>
      </c>
      <c r="J361">
        <v>24</v>
      </c>
      <c r="K361">
        <v>24</v>
      </c>
      <c r="L361">
        <f t="shared" si="40"/>
        <v>0</v>
      </c>
      <c r="M361" t="str">
        <f t="shared" si="41"/>
        <v>On Time</v>
      </c>
      <c r="N361">
        <v>15</v>
      </c>
      <c r="O361">
        <v>11</v>
      </c>
      <c r="P361">
        <f t="shared" si="42"/>
        <v>0.73333333333333328</v>
      </c>
      <c r="Q361">
        <v>42</v>
      </c>
      <c r="R361">
        <v>499.3</v>
      </c>
      <c r="S361">
        <v>11983</v>
      </c>
      <c r="T361" t="s">
        <v>45</v>
      </c>
      <c r="U361">
        <v>3</v>
      </c>
      <c r="V361">
        <v>3</v>
      </c>
      <c r="W361">
        <v>3</v>
      </c>
      <c r="X361">
        <v>3</v>
      </c>
      <c r="Y361">
        <v>2.5</v>
      </c>
      <c r="Z361">
        <v>4.3</v>
      </c>
      <c r="AA361">
        <v>0.85</v>
      </c>
      <c r="AB361">
        <f t="shared" si="43"/>
        <v>5</v>
      </c>
      <c r="AC361">
        <f t="shared" si="44"/>
        <v>4.33</v>
      </c>
      <c r="AD361" t="str">
        <f t="shared" si="45"/>
        <v>⭐⭐⭐⭐</v>
      </c>
      <c r="AE361" t="str">
        <f t="shared" si="46"/>
        <v>Maintain current resource allocation</v>
      </c>
      <c r="AF361" t="str">
        <f t="shared" si="47"/>
        <v>Recommended for medium-high orders</v>
      </c>
    </row>
    <row r="362" spans="1:32" ht="24" customHeight="1">
      <c r="A362" t="s">
        <v>776</v>
      </c>
      <c r="B362" t="s">
        <v>78</v>
      </c>
      <c r="C362" t="s">
        <v>79</v>
      </c>
      <c r="D362" t="s">
        <v>80</v>
      </c>
      <c r="E362" t="s">
        <v>777</v>
      </c>
      <c r="F362" t="s">
        <v>57</v>
      </c>
      <c r="G362">
        <v>5696</v>
      </c>
      <c r="H362">
        <v>45958</v>
      </c>
      <c r="I362">
        <v>45979</v>
      </c>
      <c r="J362">
        <v>19</v>
      </c>
      <c r="K362">
        <v>20</v>
      </c>
      <c r="L362">
        <f t="shared" si="40"/>
        <v>1</v>
      </c>
      <c r="M362" t="str">
        <f t="shared" si="41"/>
        <v>Delayed</v>
      </c>
      <c r="N362">
        <v>15</v>
      </c>
      <c r="O362">
        <v>12</v>
      </c>
      <c r="P362">
        <f t="shared" si="42"/>
        <v>0.8</v>
      </c>
      <c r="Q362">
        <v>50</v>
      </c>
      <c r="R362">
        <v>284.8</v>
      </c>
      <c r="S362">
        <v>5696</v>
      </c>
      <c r="T362" t="s">
        <v>38</v>
      </c>
      <c r="U362">
        <v>6</v>
      </c>
      <c r="V362">
        <v>4</v>
      </c>
      <c r="W362">
        <v>0</v>
      </c>
      <c r="X362">
        <v>0</v>
      </c>
      <c r="Y362">
        <v>3.34</v>
      </c>
      <c r="Z362">
        <v>4.8</v>
      </c>
      <c r="AA362">
        <v>0.92</v>
      </c>
      <c r="AB362">
        <f t="shared" si="43"/>
        <v>5</v>
      </c>
      <c r="AC362">
        <f t="shared" si="44"/>
        <v>4.51</v>
      </c>
      <c r="AD362" t="str">
        <f t="shared" si="45"/>
        <v>⭐⭐⭐⭐⭐</v>
      </c>
      <c r="AE362" t="str">
        <f t="shared" si="46"/>
        <v>Increase daily output monitoring</v>
      </c>
      <c r="AF362" t="str">
        <f t="shared" si="47"/>
        <v>Best for urgent/high priority orders</v>
      </c>
    </row>
    <row r="363" spans="1:32" ht="24" customHeight="1">
      <c r="A363" t="s">
        <v>778</v>
      </c>
      <c r="B363" t="s">
        <v>78</v>
      </c>
      <c r="C363" t="s">
        <v>79</v>
      </c>
      <c r="D363" t="s">
        <v>80</v>
      </c>
      <c r="E363" t="s">
        <v>779</v>
      </c>
      <c r="F363" t="s">
        <v>44</v>
      </c>
      <c r="G363">
        <v>4974</v>
      </c>
      <c r="H363">
        <v>45928</v>
      </c>
      <c r="I363">
        <v>45946</v>
      </c>
      <c r="J363">
        <v>18</v>
      </c>
      <c r="K363">
        <v>17</v>
      </c>
      <c r="L363">
        <f t="shared" si="40"/>
        <v>-1</v>
      </c>
      <c r="M363" t="str">
        <f t="shared" si="41"/>
        <v>Early</v>
      </c>
      <c r="N363">
        <v>18</v>
      </c>
      <c r="O363">
        <v>15</v>
      </c>
      <c r="P363">
        <f t="shared" si="42"/>
        <v>0.83333333333333337</v>
      </c>
      <c r="Q363">
        <v>52</v>
      </c>
      <c r="R363">
        <v>292.60000000000002</v>
      </c>
      <c r="S363">
        <v>4974</v>
      </c>
      <c r="T363" t="s">
        <v>45</v>
      </c>
      <c r="U363">
        <v>0</v>
      </c>
      <c r="V363">
        <v>5</v>
      </c>
      <c r="W363">
        <v>5</v>
      </c>
      <c r="X363">
        <v>0</v>
      </c>
      <c r="Y363">
        <v>3.12</v>
      </c>
      <c r="Z363">
        <v>4.8</v>
      </c>
      <c r="AA363">
        <v>0.92</v>
      </c>
      <c r="AB363">
        <f t="shared" si="43"/>
        <v>5</v>
      </c>
      <c r="AC363">
        <f t="shared" si="44"/>
        <v>4.6900000000000004</v>
      </c>
      <c r="AD363" t="str">
        <f t="shared" si="45"/>
        <v>⭐⭐⭐⭐⭐</v>
      </c>
      <c r="AE363" t="str">
        <f t="shared" si="46"/>
        <v>Maintain current resource allocation</v>
      </c>
      <c r="AF363" t="str">
        <f t="shared" si="47"/>
        <v>Best for urgent/high priority orders</v>
      </c>
    </row>
    <row r="364" spans="1:32" ht="24" customHeight="1">
      <c r="A364" t="s">
        <v>780</v>
      </c>
      <c r="B364" t="s">
        <v>33</v>
      </c>
      <c r="C364" t="s">
        <v>34</v>
      </c>
      <c r="D364" t="s">
        <v>35</v>
      </c>
      <c r="E364" t="s">
        <v>781</v>
      </c>
      <c r="F364" t="s">
        <v>44</v>
      </c>
      <c r="G364">
        <v>19600</v>
      </c>
      <c r="H364">
        <v>45852</v>
      </c>
      <c r="I364">
        <v>45881</v>
      </c>
      <c r="J364">
        <v>24</v>
      </c>
      <c r="K364">
        <v>26</v>
      </c>
      <c r="L364">
        <f t="shared" si="40"/>
        <v>2</v>
      </c>
      <c r="M364" t="str">
        <f t="shared" si="41"/>
        <v>Delayed</v>
      </c>
      <c r="N364">
        <v>15</v>
      </c>
      <c r="O364">
        <v>12</v>
      </c>
      <c r="P364">
        <f t="shared" si="42"/>
        <v>0.8</v>
      </c>
      <c r="Q364">
        <v>39</v>
      </c>
      <c r="R364">
        <v>753.8</v>
      </c>
      <c r="S364">
        <v>22600</v>
      </c>
      <c r="T364" t="s">
        <v>45</v>
      </c>
      <c r="U364">
        <v>0</v>
      </c>
      <c r="V364">
        <v>7</v>
      </c>
      <c r="W364">
        <v>3</v>
      </c>
      <c r="X364">
        <v>0</v>
      </c>
      <c r="Y364">
        <v>3.38</v>
      </c>
      <c r="Z364">
        <v>4.2</v>
      </c>
      <c r="AA364">
        <v>0.83</v>
      </c>
      <c r="AB364">
        <f t="shared" si="43"/>
        <v>5</v>
      </c>
      <c r="AC364">
        <f t="shared" si="44"/>
        <v>4.22</v>
      </c>
      <c r="AD364" t="str">
        <f t="shared" si="45"/>
        <v>⭐⭐⭐⭐</v>
      </c>
      <c r="AE364" t="str">
        <f t="shared" si="46"/>
        <v>Increase daily output monitoring</v>
      </c>
      <c r="AF364" t="str">
        <f t="shared" si="47"/>
        <v>Recommended for medium-high orders</v>
      </c>
    </row>
    <row r="365" spans="1:32" ht="24" customHeight="1">
      <c r="A365" t="s">
        <v>782</v>
      </c>
      <c r="B365" t="s">
        <v>78</v>
      </c>
      <c r="C365" t="s">
        <v>79</v>
      </c>
      <c r="D365" t="s">
        <v>80</v>
      </c>
      <c r="E365" t="s">
        <v>783</v>
      </c>
      <c r="F365" t="s">
        <v>67</v>
      </c>
      <c r="G365">
        <v>43697</v>
      </c>
      <c r="H365">
        <v>45891</v>
      </c>
      <c r="I365">
        <v>45961</v>
      </c>
      <c r="J365">
        <v>65</v>
      </c>
      <c r="K365">
        <v>66</v>
      </c>
      <c r="L365">
        <f t="shared" si="40"/>
        <v>1</v>
      </c>
      <c r="M365" t="str">
        <f t="shared" si="41"/>
        <v>Delayed</v>
      </c>
      <c r="N365">
        <v>16</v>
      </c>
      <c r="O365">
        <v>13</v>
      </c>
      <c r="P365">
        <f t="shared" si="42"/>
        <v>0.8125</v>
      </c>
      <c r="Q365">
        <v>53</v>
      </c>
      <c r="R365">
        <v>662.1</v>
      </c>
      <c r="S365">
        <v>46697</v>
      </c>
      <c r="T365" t="s">
        <v>38</v>
      </c>
      <c r="U365">
        <v>2</v>
      </c>
      <c r="V365">
        <v>6</v>
      </c>
      <c r="W365">
        <v>0</v>
      </c>
      <c r="X365">
        <v>1</v>
      </c>
      <c r="Y365">
        <v>3.18</v>
      </c>
      <c r="Z365">
        <v>4.8</v>
      </c>
      <c r="AA365">
        <v>0.92</v>
      </c>
      <c r="AB365">
        <f t="shared" si="43"/>
        <v>5</v>
      </c>
      <c r="AC365">
        <f t="shared" si="44"/>
        <v>4.5199999999999996</v>
      </c>
      <c r="AD365" t="str">
        <f t="shared" si="45"/>
        <v>⭐⭐⭐⭐⭐</v>
      </c>
      <c r="AE365" t="str">
        <f t="shared" si="46"/>
        <v>Increase daily output monitoring</v>
      </c>
      <c r="AF365" t="str">
        <f t="shared" si="47"/>
        <v>Best for urgent/high priority orders</v>
      </c>
    </row>
    <row r="366" spans="1:32" ht="24" customHeight="1">
      <c r="A366" t="s">
        <v>784</v>
      </c>
      <c r="B366" t="s">
        <v>61</v>
      </c>
      <c r="C366" t="s">
        <v>62</v>
      </c>
      <c r="D366" t="s">
        <v>63</v>
      </c>
      <c r="E366" t="s">
        <v>785</v>
      </c>
      <c r="F366" t="s">
        <v>57</v>
      </c>
      <c r="G366">
        <v>14075</v>
      </c>
      <c r="H366">
        <v>45711</v>
      </c>
      <c r="I366">
        <v>45756</v>
      </c>
      <c r="J366">
        <v>37</v>
      </c>
      <c r="K366">
        <v>42</v>
      </c>
      <c r="L366">
        <f t="shared" si="40"/>
        <v>5</v>
      </c>
      <c r="M366" t="str">
        <f t="shared" si="41"/>
        <v>Delayed</v>
      </c>
      <c r="N366">
        <v>16</v>
      </c>
      <c r="O366">
        <v>12</v>
      </c>
      <c r="P366">
        <f t="shared" si="42"/>
        <v>0.75</v>
      </c>
      <c r="Q366">
        <v>41</v>
      </c>
      <c r="R366">
        <v>335.1</v>
      </c>
      <c r="S366">
        <v>15075</v>
      </c>
      <c r="T366" t="s">
        <v>45</v>
      </c>
      <c r="U366">
        <v>0</v>
      </c>
      <c r="V366">
        <v>8</v>
      </c>
      <c r="W366">
        <v>2</v>
      </c>
      <c r="X366">
        <v>6</v>
      </c>
      <c r="Y366">
        <v>3.82</v>
      </c>
      <c r="Z366">
        <v>4</v>
      </c>
      <c r="AA366">
        <v>0.8</v>
      </c>
      <c r="AB366">
        <f t="shared" si="43"/>
        <v>5</v>
      </c>
      <c r="AC366">
        <f t="shared" si="44"/>
        <v>4.08</v>
      </c>
      <c r="AD366" t="str">
        <f t="shared" si="45"/>
        <v>⭐⭐⭐⭐</v>
      </c>
      <c r="AE366" t="str">
        <f t="shared" si="46"/>
        <v>Improve workforce allocation</v>
      </c>
      <c r="AF366" t="str">
        <f t="shared" si="47"/>
        <v>Recommended for medium-high orders</v>
      </c>
    </row>
    <row r="367" spans="1:32" ht="24" customHeight="1">
      <c r="A367" t="s">
        <v>786</v>
      </c>
      <c r="B367" t="s">
        <v>40</v>
      </c>
      <c r="C367" t="s">
        <v>41</v>
      </c>
      <c r="D367" t="s">
        <v>42</v>
      </c>
      <c r="E367" t="s">
        <v>787</v>
      </c>
      <c r="F367" t="s">
        <v>37</v>
      </c>
      <c r="G367">
        <v>14697</v>
      </c>
      <c r="H367">
        <v>45962</v>
      </c>
      <c r="I367">
        <v>46009</v>
      </c>
      <c r="J367">
        <v>36</v>
      </c>
      <c r="K367">
        <v>44</v>
      </c>
      <c r="L367">
        <f t="shared" si="40"/>
        <v>8</v>
      </c>
      <c r="M367" t="str">
        <f t="shared" si="41"/>
        <v>Delayed</v>
      </c>
      <c r="N367">
        <v>12</v>
      </c>
      <c r="O367">
        <v>9</v>
      </c>
      <c r="P367">
        <f t="shared" si="42"/>
        <v>0.75</v>
      </c>
      <c r="Q367">
        <v>44</v>
      </c>
      <c r="R367">
        <v>334</v>
      </c>
      <c r="S367">
        <v>16697</v>
      </c>
      <c r="T367" t="s">
        <v>45</v>
      </c>
      <c r="U367">
        <v>1</v>
      </c>
      <c r="V367">
        <v>5</v>
      </c>
      <c r="W367">
        <v>2</v>
      </c>
      <c r="X367">
        <v>2</v>
      </c>
      <c r="Y367">
        <v>2.59</v>
      </c>
      <c r="Z367">
        <v>4.3</v>
      </c>
      <c r="AA367">
        <v>0.85</v>
      </c>
      <c r="AB367">
        <f t="shared" si="43"/>
        <v>5</v>
      </c>
      <c r="AC367">
        <f t="shared" si="44"/>
        <v>4.24</v>
      </c>
      <c r="AD367" t="str">
        <f t="shared" si="45"/>
        <v>⭐⭐⭐⭐</v>
      </c>
      <c r="AE367" t="str">
        <f t="shared" si="46"/>
        <v>Increase daily output monitoring</v>
      </c>
      <c r="AF367" t="str">
        <f t="shared" si="47"/>
        <v>Recommended for medium-high orders</v>
      </c>
    </row>
    <row r="368" spans="1:32" ht="24" customHeight="1">
      <c r="A368" t="s">
        <v>788</v>
      </c>
      <c r="B368" t="s">
        <v>78</v>
      </c>
      <c r="C368" t="s">
        <v>79</v>
      </c>
      <c r="D368" t="s">
        <v>80</v>
      </c>
      <c r="E368" t="s">
        <v>789</v>
      </c>
      <c r="F368" t="s">
        <v>57</v>
      </c>
      <c r="G368">
        <v>9563</v>
      </c>
      <c r="H368">
        <v>45720</v>
      </c>
      <c r="I368">
        <v>45746</v>
      </c>
      <c r="J368">
        <v>28</v>
      </c>
      <c r="K368">
        <v>24</v>
      </c>
      <c r="L368">
        <f t="shared" si="40"/>
        <v>-4</v>
      </c>
      <c r="M368" t="str">
        <f t="shared" si="41"/>
        <v>Early</v>
      </c>
      <c r="N368">
        <v>21</v>
      </c>
      <c r="O368">
        <v>17</v>
      </c>
      <c r="P368">
        <f t="shared" si="42"/>
        <v>0.80952380952380953</v>
      </c>
      <c r="Q368">
        <v>62</v>
      </c>
      <c r="R368">
        <v>398.5</v>
      </c>
      <c r="S368">
        <v>12563</v>
      </c>
      <c r="T368" t="s">
        <v>45</v>
      </c>
      <c r="U368">
        <v>2</v>
      </c>
      <c r="V368">
        <v>0</v>
      </c>
      <c r="W368">
        <v>1</v>
      </c>
      <c r="X368">
        <v>2</v>
      </c>
      <c r="Y368">
        <v>3.2</v>
      </c>
      <c r="Z368">
        <v>4.8</v>
      </c>
      <c r="AA368">
        <v>0.92</v>
      </c>
      <c r="AB368">
        <f t="shared" si="43"/>
        <v>5</v>
      </c>
      <c r="AC368">
        <f t="shared" si="44"/>
        <v>4.67</v>
      </c>
      <c r="AD368" t="str">
        <f t="shared" si="45"/>
        <v>⭐⭐⭐⭐⭐</v>
      </c>
      <c r="AE368" t="str">
        <f t="shared" si="46"/>
        <v>Maintain current resource allocation</v>
      </c>
      <c r="AF368" t="str">
        <f t="shared" si="47"/>
        <v>Best for urgent/high priority orders</v>
      </c>
    </row>
    <row r="369" spans="1:32" ht="24" customHeight="1">
      <c r="A369" t="s">
        <v>790</v>
      </c>
      <c r="B369" t="s">
        <v>40</v>
      </c>
      <c r="C369" t="s">
        <v>41</v>
      </c>
      <c r="D369" t="s">
        <v>42</v>
      </c>
      <c r="E369" t="s">
        <v>791</v>
      </c>
      <c r="F369" t="s">
        <v>67</v>
      </c>
      <c r="G369">
        <v>40973</v>
      </c>
      <c r="H369">
        <v>45896</v>
      </c>
      <c r="I369">
        <v>45958</v>
      </c>
      <c r="J369">
        <v>58</v>
      </c>
      <c r="K369">
        <v>61</v>
      </c>
      <c r="L369">
        <f t="shared" si="40"/>
        <v>3</v>
      </c>
      <c r="M369" t="str">
        <f t="shared" si="41"/>
        <v>Delayed</v>
      </c>
      <c r="N369">
        <v>16</v>
      </c>
      <c r="O369">
        <v>12</v>
      </c>
      <c r="P369">
        <f t="shared" si="42"/>
        <v>0.75</v>
      </c>
      <c r="Q369">
        <v>41</v>
      </c>
      <c r="R369">
        <v>671.7</v>
      </c>
      <c r="S369">
        <v>40973</v>
      </c>
      <c r="T369" t="s">
        <v>45</v>
      </c>
      <c r="U369">
        <v>3</v>
      </c>
      <c r="V369">
        <v>7</v>
      </c>
      <c r="W369">
        <v>3</v>
      </c>
      <c r="X369">
        <v>0</v>
      </c>
      <c r="Y369">
        <v>3.2</v>
      </c>
      <c r="Z369">
        <v>4.3</v>
      </c>
      <c r="AA369">
        <v>0.85</v>
      </c>
      <c r="AB369">
        <f t="shared" si="43"/>
        <v>5</v>
      </c>
      <c r="AC369">
        <f t="shared" si="44"/>
        <v>4.24</v>
      </c>
      <c r="AD369" t="str">
        <f t="shared" si="45"/>
        <v>⭐⭐⭐⭐</v>
      </c>
      <c r="AE369" t="str">
        <f t="shared" si="46"/>
        <v>Increase daily output monitoring</v>
      </c>
      <c r="AF369" t="str">
        <f t="shared" si="47"/>
        <v>Recommended for medium-high orders</v>
      </c>
    </row>
    <row r="370" spans="1:32" ht="24" customHeight="1">
      <c r="A370" t="s">
        <v>792</v>
      </c>
      <c r="B370" t="s">
        <v>53</v>
      </c>
      <c r="C370" t="s">
        <v>54</v>
      </c>
      <c r="D370" t="s">
        <v>55</v>
      </c>
      <c r="E370" t="s">
        <v>793</v>
      </c>
      <c r="F370" t="s">
        <v>57</v>
      </c>
      <c r="G370">
        <v>13270</v>
      </c>
      <c r="H370">
        <v>45893</v>
      </c>
      <c r="I370">
        <v>45926</v>
      </c>
      <c r="J370">
        <v>32</v>
      </c>
      <c r="K370">
        <v>33</v>
      </c>
      <c r="L370">
        <f t="shared" si="40"/>
        <v>1</v>
      </c>
      <c r="M370" t="str">
        <f t="shared" si="41"/>
        <v>Delayed</v>
      </c>
      <c r="N370">
        <v>19</v>
      </c>
      <c r="O370">
        <v>16</v>
      </c>
      <c r="P370">
        <f t="shared" si="42"/>
        <v>0.84210526315789469</v>
      </c>
      <c r="Q370">
        <v>47</v>
      </c>
      <c r="R370">
        <v>402.1</v>
      </c>
      <c r="S370">
        <v>16270</v>
      </c>
      <c r="T370" t="s">
        <v>45</v>
      </c>
      <c r="U370">
        <v>3</v>
      </c>
      <c r="V370">
        <v>5</v>
      </c>
      <c r="W370">
        <v>0</v>
      </c>
      <c r="X370">
        <v>5</v>
      </c>
      <c r="Y370">
        <v>2.88</v>
      </c>
      <c r="Z370">
        <v>4.5</v>
      </c>
      <c r="AA370">
        <v>0.88</v>
      </c>
      <c r="AB370">
        <f t="shared" si="43"/>
        <v>5</v>
      </c>
      <c r="AC370">
        <f t="shared" si="44"/>
        <v>4.4000000000000004</v>
      </c>
      <c r="AD370" t="str">
        <f t="shared" si="45"/>
        <v>⭐⭐⭐⭐</v>
      </c>
      <c r="AE370" t="str">
        <f t="shared" si="46"/>
        <v>Improve workforce allocation</v>
      </c>
      <c r="AF370" t="str">
        <f t="shared" si="47"/>
        <v>Recommended for medium-high orders</v>
      </c>
    </row>
    <row r="371" spans="1:32" ht="24" customHeight="1">
      <c r="A371" t="s">
        <v>794</v>
      </c>
      <c r="B371" t="s">
        <v>78</v>
      </c>
      <c r="C371" t="s">
        <v>79</v>
      </c>
      <c r="D371" t="s">
        <v>80</v>
      </c>
      <c r="E371" t="s">
        <v>795</v>
      </c>
      <c r="F371" t="s">
        <v>44</v>
      </c>
      <c r="G371">
        <v>18104</v>
      </c>
      <c r="H371">
        <v>45858</v>
      </c>
      <c r="I371">
        <v>45898</v>
      </c>
      <c r="J371">
        <v>37</v>
      </c>
      <c r="K371">
        <v>38</v>
      </c>
      <c r="L371">
        <f t="shared" si="40"/>
        <v>1</v>
      </c>
      <c r="M371" t="str">
        <f t="shared" si="41"/>
        <v>Delayed</v>
      </c>
      <c r="N371">
        <v>22</v>
      </c>
      <c r="O371">
        <v>19</v>
      </c>
      <c r="P371">
        <f t="shared" si="42"/>
        <v>0.86363636363636365</v>
      </c>
      <c r="Q371">
        <v>55</v>
      </c>
      <c r="R371">
        <v>476.4</v>
      </c>
      <c r="S371">
        <v>22104</v>
      </c>
      <c r="T371" t="s">
        <v>38</v>
      </c>
      <c r="U371">
        <v>0</v>
      </c>
      <c r="V371">
        <v>9</v>
      </c>
      <c r="W371">
        <v>1</v>
      </c>
      <c r="X371">
        <v>1</v>
      </c>
      <c r="Y371">
        <v>2.31</v>
      </c>
      <c r="Z371">
        <v>4.8</v>
      </c>
      <c r="AA371">
        <v>0.92</v>
      </c>
      <c r="AB371">
        <f t="shared" si="43"/>
        <v>5</v>
      </c>
      <c r="AC371">
        <f t="shared" si="44"/>
        <v>4.5599999999999996</v>
      </c>
      <c r="AD371" t="str">
        <f t="shared" si="45"/>
        <v>⭐⭐⭐⭐⭐</v>
      </c>
      <c r="AE371" t="str">
        <f t="shared" si="46"/>
        <v>Reduce risk days and add supervisor monitoring</v>
      </c>
      <c r="AF371" t="str">
        <f t="shared" si="47"/>
        <v>Best for urgent/high priority orders</v>
      </c>
    </row>
    <row r="372" spans="1:32" ht="24" customHeight="1">
      <c r="A372" t="s">
        <v>796</v>
      </c>
      <c r="B372" t="s">
        <v>40</v>
      </c>
      <c r="C372" t="s">
        <v>41</v>
      </c>
      <c r="D372" t="s">
        <v>42</v>
      </c>
      <c r="E372" t="s">
        <v>797</v>
      </c>
      <c r="F372" t="s">
        <v>57</v>
      </c>
      <c r="G372">
        <v>17557</v>
      </c>
      <c r="H372">
        <v>45868</v>
      </c>
      <c r="I372">
        <v>45903</v>
      </c>
      <c r="J372">
        <v>33</v>
      </c>
      <c r="K372">
        <v>33</v>
      </c>
      <c r="L372">
        <f t="shared" si="40"/>
        <v>0</v>
      </c>
      <c r="M372" t="str">
        <f t="shared" si="41"/>
        <v>On Time</v>
      </c>
      <c r="N372">
        <v>11</v>
      </c>
      <c r="O372">
        <v>9</v>
      </c>
      <c r="P372">
        <f t="shared" si="42"/>
        <v>0.81818181818181823</v>
      </c>
      <c r="Q372">
        <v>48</v>
      </c>
      <c r="R372">
        <v>532</v>
      </c>
      <c r="S372">
        <v>20557</v>
      </c>
      <c r="T372" t="s">
        <v>45</v>
      </c>
      <c r="U372">
        <v>0</v>
      </c>
      <c r="V372">
        <v>6</v>
      </c>
      <c r="W372">
        <v>2</v>
      </c>
      <c r="X372">
        <v>3</v>
      </c>
      <c r="Y372">
        <v>1.89</v>
      </c>
      <c r="Z372">
        <v>4.3</v>
      </c>
      <c r="AA372">
        <v>0.85</v>
      </c>
      <c r="AB372">
        <f t="shared" si="43"/>
        <v>5</v>
      </c>
      <c r="AC372">
        <f t="shared" si="44"/>
        <v>4.4000000000000004</v>
      </c>
      <c r="AD372" t="str">
        <f t="shared" si="45"/>
        <v>⭐⭐⭐⭐</v>
      </c>
      <c r="AE372" t="str">
        <f t="shared" si="46"/>
        <v>Maintain current resource allocation</v>
      </c>
      <c r="AF372" t="str">
        <f t="shared" si="47"/>
        <v>Recommended for medium-high orders</v>
      </c>
    </row>
    <row r="373" spans="1:32" ht="24" customHeight="1">
      <c r="A373" t="s">
        <v>798</v>
      </c>
      <c r="B373" t="s">
        <v>78</v>
      </c>
      <c r="C373" t="s">
        <v>79</v>
      </c>
      <c r="D373" t="s">
        <v>80</v>
      </c>
      <c r="E373" t="s">
        <v>799</v>
      </c>
      <c r="F373" t="s">
        <v>67</v>
      </c>
      <c r="G373">
        <v>47688</v>
      </c>
      <c r="H373">
        <v>45874</v>
      </c>
      <c r="I373">
        <v>45954</v>
      </c>
      <c r="J373">
        <v>75</v>
      </c>
      <c r="K373">
        <v>76</v>
      </c>
      <c r="L373">
        <f t="shared" si="40"/>
        <v>1</v>
      </c>
      <c r="M373" t="str">
        <f t="shared" si="41"/>
        <v>Delayed</v>
      </c>
      <c r="N373">
        <v>17</v>
      </c>
      <c r="O373">
        <v>13</v>
      </c>
      <c r="P373">
        <f t="shared" si="42"/>
        <v>0.76470588235294112</v>
      </c>
      <c r="Q373">
        <v>60</v>
      </c>
      <c r="R373">
        <v>627.5</v>
      </c>
      <c r="S373">
        <v>47688</v>
      </c>
      <c r="T373" t="s">
        <v>45</v>
      </c>
      <c r="U373">
        <v>3</v>
      </c>
      <c r="V373">
        <v>6</v>
      </c>
      <c r="W373">
        <v>3</v>
      </c>
      <c r="X373">
        <v>3</v>
      </c>
      <c r="Y373">
        <v>2.74</v>
      </c>
      <c r="Z373">
        <v>4.8</v>
      </c>
      <c r="AA373">
        <v>0.92</v>
      </c>
      <c r="AB373">
        <f t="shared" si="43"/>
        <v>5</v>
      </c>
      <c r="AC373">
        <f t="shared" si="44"/>
        <v>4.4800000000000004</v>
      </c>
      <c r="AD373" t="str">
        <f t="shared" si="45"/>
        <v>⭐⭐⭐⭐</v>
      </c>
      <c r="AE373" t="str">
        <f t="shared" si="46"/>
        <v>Increase daily output monitoring</v>
      </c>
      <c r="AF373" t="str">
        <f t="shared" si="47"/>
        <v>Recommended for medium-high orders</v>
      </c>
    </row>
    <row r="374" spans="1:32" ht="24" customHeight="1">
      <c r="A374" t="s">
        <v>800</v>
      </c>
      <c r="B374" t="s">
        <v>40</v>
      </c>
      <c r="C374" t="s">
        <v>41</v>
      </c>
      <c r="D374" t="s">
        <v>42</v>
      </c>
      <c r="E374" t="s">
        <v>801</v>
      </c>
      <c r="F374" t="s">
        <v>57</v>
      </c>
      <c r="G374">
        <v>5334</v>
      </c>
      <c r="H374">
        <v>45831</v>
      </c>
      <c r="I374">
        <v>45860</v>
      </c>
      <c r="J374">
        <v>27</v>
      </c>
      <c r="K374">
        <v>28</v>
      </c>
      <c r="L374">
        <f t="shared" si="40"/>
        <v>1</v>
      </c>
      <c r="M374" t="str">
        <f t="shared" si="41"/>
        <v>Delayed</v>
      </c>
      <c r="N374">
        <v>12</v>
      </c>
      <c r="O374">
        <v>10</v>
      </c>
      <c r="P374">
        <f t="shared" si="42"/>
        <v>0.83333333333333337</v>
      </c>
      <c r="Q374">
        <v>41</v>
      </c>
      <c r="R374">
        <v>190.5</v>
      </c>
      <c r="S374">
        <v>6334</v>
      </c>
      <c r="T374" t="s">
        <v>45</v>
      </c>
      <c r="U374">
        <v>2</v>
      </c>
      <c r="V374">
        <v>7</v>
      </c>
      <c r="W374">
        <v>2</v>
      </c>
      <c r="X374">
        <v>1</v>
      </c>
      <c r="Y374">
        <v>2.33</v>
      </c>
      <c r="Z374">
        <v>4.3</v>
      </c>
      <c r="AA374">
        <v>0.85</v>
      </c>
      <c r="AB374">
        <f t="shared" si="43"/>
        <v>5</v>
      </c>
      <c r="AC374">
        <f t="shared" si="44"/>
        <v>4.3</v>
      </c>
      <c r="AD374" t="str">
        <f t="shared" si="45"/>
        <v>⭐⭐⭐⭐</v>
      </c>
      <c r="AE374" t="str">
        <f t="shared" si="46"/>
        <v>Increase daily output monitoring</v>
      </c>
      <c r="AF374" t="str">
        <f t="shared" si="47"/>
        <v>Recommended for medium-high orders</v>
      </c>
    </row>
    <row r="375" spans="1:32" ht="24" customHeight="1">
      <c r="A375" t="s">
        <v>802</v>
      </c>
      <c r="B375" t="s">
        <v>33</v>
      </c>
      <c r="C375" t="s">
        <v>34</v>
      </c>
      <c r="D375" t="s">
        <v>35</v>
      </c>
      <c r="E375" t="s">
        <v>803</v>
      </c>
      <c r="F375" t="s">
        <v>44</v>
      </c>
      <c r="G375">
        <v>8611</v>
      </c>
      <c r="H375">
        <v>45977</v>
      </c>
      <c r="I375">
        <v>46008</v>
      </c>
      <c r="J375">
        <v>23</v>
      </c>
      <c r="K375">
        <v>26</v>
      </c>
      <c r="L375">
        <f t="shared" si="40"/>
        <v>3</v>
      </c>
      <c r="M375" t="str">
        <f t="shared" si="41"/>
        <v>Delayed</v>
      </c>
      <c r="N375">
        <v>14</v>
      </c>
      <c r="O375">
        <v>9</v>
      </c>
      <c r="P375">
        <f t="shared" si="42"/>
        <v>0.6428571428571429</v>
      </c>
      <c r="Q375">
        <v>52</v>
      </c>
      <c r="R375">
        <v>331.2</v>
      </c>
      <c r="S375">
        <v>11611</v>
      </c>
      <c r="T375" t="s">
        <v>45</v>
      </c>
      <c r="U375">
        <v>1</v>
      </c>
      <c r="V375">
        <v>6</v>
      </c>
      <c r="W375">
        <v>3</v>
      </c>
      <c r="X375">
        <v>2</v>
      </c>
      <c r="Y375">
        <v>2.95</v>
      </c>
      <c r="Z375">
        <v>4.2</v>
      </c>
      <c r="AA375">
        <v>0.83</v>
      </c>
      <c r="AB375">
        <f t="shared" si="43"/>
        <v>5</v>
      </c>
      <c r="AC375">
        <f t="shared" si="44"/>
        <v>4.0999999999999996</v>
      </c>
      <c r="AD375" t="str">
        <f t="shared" si="45"/>
        <v>⭐⭐⭐⭐</v>
      </c>
      <c r="AE375" t="str">
        <f t="shared" si="46"/>
        <v>Increase daily output monitoring</v>
      </c>
      <c r="AF375" t="str">
        <f t="shared" si="47"/>
        <v>Recommended for medium-high orders</v>
      </c>
    </row>
    <row r="376" spans="1:32" ht="24" customHeight="1">
      <c r="A376" t="s">
        <v>804</v>
      </c>
      <c r="B376" t="s">
        <v>69</v>
      </c>
      <c r="C376" t="s">
        <v>70</v>
      </c>
      <c r="D376" t="s">
        <v>71</v>
      </c>
      <c r="E376" t="s">
        <v>805</v>
      </c>
      <c r="F376" t="s">
        <v>37</v>
      </c>
      <c r="G376">
        <v>21037</v>
      </c>
      <c r="H376">
        <v>45921</v>
      </c>
      <c r="I376">
        <v>45963</v>
      </c>
      <c r="J376">
        <v>32</v>
      </c>
      <c r="K376">
        <v>39</v>
      </c>
      <c r="L376">
        <f t="shared" si="40"/>
        <v>7</v>
      </c>
      <c r="M376" t="str">
        <f t="shared" si="41"/>
        <v>Delayed</v>
      </c>
      <c r="N376">
        <v>12</v>
      </c>
      <c r="O376">
        <v>9</v>
      </c>
      <c r="P376">
        <f t="shared" si="42"/>
        <v>0.75</v>
      </c>
      <c r="Q376">
        <v>44</v>
      </c>
      <c r="R376">
        <v>539.4</v>
      </c>
      <c r="S376">
        <v>23037</v>
      </c>
      <c r="T376" t="s">
        <v>38</v>
      </c>
      <c r="U376">
        <v>1</v>
      </c>
      <c r="V376">
        <v>10</v>
      </c>
      <c r="W376">
        <v>1</v>
      </c>
      <c r="X376">
        <v>3</v>
      </c>
      <c r="Y376">
        <v>3.11</v>
      </c>
      <c r="Z376">
        <v>3.8</v>
      </c>
      <c r="AA376">
        <v>0.78</v>
      </c>
      <c r="AB376">
        <f t="shared" si="43"/>
        <v>5</v>
      </c>
      <c r="AC376">
        <f t="shared" si="44"/>
        <v>4</v>
      </c>
      <c r="AD376" t="str">
        <f t="shared" si="45"/>
        <v>⭐⭐⭐⭐</v>
      </c>
      <c r="AE376" t="str">
        <f t="shared" si="46"/>
        <v>Reduce risk days and add supervisor monitoring</v>
      </c>
      <c r="AF376" t="str">
        <f t="shared" si="47"/>
        <v>Recommended for medium-high orders</v>
      </c>
    </row>
    <row r="377" spans="1:32" ht="24" customHeight="1">
      <c r="A377" t="s">
        <v>806</v>
      </c>
      <c r="B377" t="s">
        <v>33</v>
      </c>
      <c r="C377" t="s">
        <v>34</v>
      </c>
      <c r="D377" t="s">
        <v>35</v>
      </c>
      <c r="E377" t="s">
        <v>807</v>
      </c>
      <c r="F377" t="s">
        <v>67</v>
      </c>
      <c r="G377">
        <v>56915</v>
      </c>
      <c r="H377">
        <v>45844</v>
      </c>
      <c r="I377">
        <v>45909</v>
      </c>
      <c r="J377">
        <v>60</v>
      </c>
      <c r="K377">
        <v>62</v>
      </c>
      <c r="L377">
        <f t="shared" si="40"/>
        <v>2</v>
      </c>
      <c r="M377" t="str">
        <f t="shared" si="41"/>
        <v>Delayed</v>
      </c>
      <c r="N377">
        <v>16</v>
      </c>
      <c r="O377">
        <v>13</v>
      </c>
      <c r="P377">
        <f t="shared" si="42"/>
        <v>0.8125</v>
      </c>
      <c r="Q377">
        <v>35</v>
      </c>
      <c r="R377">
        <v>918</v>
      </c>
      <c r="S377">
        <v>60915</v>
      </c>
      <c r="T377" t="s">
        <v>45</v>
      </c>
      <c r="U377">
        <v>1</v>
      </c>
      <c r="V377">
        <v>7</v>
      </c>
      <c r="W377">
        <v>3</v>
      </c>
      <c r="X377">
        <v>7</v>
      </c>
      <c r="Y377">
        <v>2.7</v>
      </c>
      <c r="Z377">
        <v>4.2</v>
      </c>
      <c r="AA377">
        <v>0.83</v>
      </c>
      <c r="AB377">
        <f t="shared" si="43"/>
        <v>5</v>
      </c>
      <c r="AC377">
        <f t="shared" si="44"/>
        <v>4.2300000000000004</v>
      </c>
      <c r="AD377" t="str">
        <f t="shared" si="45"/>
        <v>⭐⭐⭐⭐</v>
      </c>
      <c r="AE377" t="str">
        <f t="shared" si="46"/>
        <v>Improve workforce allocation</v>
      </c>
      <c r="AF377" t="str">
        <f t="shared" si="47"/>
        <v>Recommended for medium-high orders</v>
      </c>
    </row>
    <row r="378" spans="1:32" ht="24" customHeight="1">
      <c r="A378" t="s">
        <v>808</v>
      </c>
      <c r="B378" t="s">
        <v>78</v>
      </c>
      <c r="C378" t="s">
        <v>79</v>
      </c>
      <c r="D378" t="s">
        <v>80</v>
      </c>
      <c r="E378" t="s">
        <v>809</v>
      </c>
      <c r="F378" t="s">
        <v>67</v>
      </c>
      <c r="G378">
        <v>54266</v>
      </c>
      <c r="H378">
        <v>45756</v>
      </c>
      <c r="I378">
        <v>45826</v>
      </c>
      <c r="J378">
        <v>68</v>
      </c>
      <c r="K378">
        <v>70</v>
      </c>
      <c r="L378">
        <f t="shared" si="40"/>
        <v>2</v>
      </c>
      <c r="M378" t="str">
        <f t="shared" si="41"/>
        <v>Delayed</v>
      </c>
      <c r="N378">
        <v>19</v>
      </c>
      <c r="O378">
        <v>17</v>
      </c>
      <c r="P378">
        <f t="shared" si="42"/>
        <v>0.89473684210526316</v>
      </c>
      <c r="Q378">
        <v>58</v>
      </c>
      <c r="R378">
        <v>775.2</v>
      </c>
      <c r="S378">
        <v>58266</v>
      </c>
      <c r="T378" t="s">
        <v>45</v>
      </c>
      <c r="U378">
        <v>1</v>
      </c>
      <c r="V378">
        <v>3</v>
      </c>
      <c r="W378">
        <v>1</v>
      </c>
      <c r="X378">
        <v>2</v>
      </c>
      <c r="Y378">
        <v>2.72</v>
      </c>
      <c r="Z378">
        <v>4.8</v>
      </c>
      <c r="AA378">
        <v>0.92</v>
      </c>
      <c r="AB378">
        <f t="shared" si="43"/>
        <v>5</v>
      </c>
      <c r="AC378">
        <f t="shared" si="44"/>
        <v>4.58</v>
      </c>
      <c r="AD378" t="str">
        <f t="shared" si="45"/>
        <v>⭐⭐⭐⭐⭐</v>
      </c>
      <c r="AE378" t="str">
        <f t="shared" si="46"/>
        <v>Increase daily output monitoring</v>
      </c>
      <c r="AF378" t="str">
        <f t="shared" si="47"/>
        <v>Best for urgent/high priority orders</v>
      </c>
    </row>
    <row r="379" spans="1:32" ht="24" customHeight="1">
      <c r="A379" t="s">
        <v>810</v>
      </c>
      <c r="B379" t="s">
        <v>53</v>
      </c>
      <c r="C379" t="s">
        <v>54</v>
      </c>
      <c r="D379" t="s">
        <v>55</v>
      </c>
      <c r="E379" t="s">
        <v>811</v>
      </c>
      <c r="F379" t="s">
        <v>44</v>
      </c>
      <c r="G379">
        <v>17905</v>
      </c>
      <c r="H379">
        <v>45987</v>
      </c>
      <c r="I379">
        <v>46029</v>
      </c>
      <c r="J379">
        <v>41</v>
      </c>
      <c r="K379">
        <v>42</v>
      </c>
      <c r="L379">
        <f t="shared" si="40"/>
        <v>1</v>
      </c>
      <c r="M379" t="str">
        <f t="shared" si="41"/>
        <v>Delayed</v>
      </c>
      <c r="N379">
        <v>13</v>
      </c>
      <c r="O379">
        <v>10</v>
      </c>
      <c r="P379">
        <f t="shared" si="42"/>
        <v>0.76923076923076927</v>
      </c>
      <c r="Q379">
        <v>52</v>
      </c>
      <c r="R379">
        <v>426.3</v>
      </c>
      <c r="S379">
        <v>21905</v>
      </c>
      <c r="T379" t="s">
        <v>45</v>
      </c>
      <c r="U379">
        <v>1</v>
      </c>
      <c r="V379">
        <v>5</v>
      </c>
      <c r="W379">
        <v>0</v>
      </c>
      <c r="X379">
        <v>3</v>
      </c>
      <c r="Y379">
        <v>3.39</v>
      </c>
      <c r="Z379">
        <v>4.5</v>
      </c>
      <c r="AA379">
        <v>0.88</v>
      </c>
      <c r="AB379">
        <f t="shared" si="43"/>
        <v>5</v>
      </c>
      <c r="AC379">
        <f t="shared" si="44"/>
        <v>4.3499999999999996</v>
      </c>
      <c r="AD379" t="str">
        <f t="shared" si="45"/>
        <v>⭐⭐⭐⭐</v>
      </c>
      <c r="AE379" t="str">
        <f t="shared" si="46"/>
        <v>Increase daily output monitoring</v>
      </c>
      <c r="AF379" t="str">
        <f t="shared" si="47"/>
        <v>Recommended for medium-high orders</v>
      </c>
    </row>
    <row r="380" spans="1:32" ht="24" customHeight="1">
      <c r="A380" t="s">
        <v>812</v>
      </c>
      <c r="B380" t="s">
        <v>69</v>
      </c>
      <c r="C380" t="s">
        <v>70</v>
      </c>
      <c r="D380" t="s">
        <v>71</v>
      </c>
      <c r="E380" t="s">
        <v>813</v>
      </c>
      <c r="F380" t="s">
        <v>57</v>
      </c>
      <c r="G380">
        <v>5906</v>
      </c>
      <c r="H380">
        <v>45914</v>
      </c>
      <c r="I380">
        <v>45948</v>
      </c>
      <c r="J380">
        <v>29</v>
      </c>
      <c r="K380">
        <v>34</v>
      </c>
      <c r="L380">
        <f t="shared" si="40"/>
        <v>5</v>
      </c>
      <c r="M380" t="str">
        <f t="shared" si="41"/>
        <v>Delayed</v>
      </c>
      <c r="N380">
        <v>13</v>
      </c>
      <c r="O380">
        <v>10</v>
      </c>
      <c r="P380">
        <f t="shared" si="42"/>
        <v>0.76923076923076927</v>
      </c>
      <c r="Q380">
        <v>29</v>
      </c>
      <c r="R380">
        <v>173.7</v>
      </c>
      <c r="S380">
        <v>8906</v>
      </c>
      <c r="T380" t="s">
        <v>45</v>
      </c>
      <c r="U380">
        <v>1</v>
      </c>
      <c r="V380">
        <v>6</v>
      </c>
      <c r="W380">
        <v>4</v>
      </c>
      <c r="X380">
        <v>8</v>
      </c>
      <c r="Y380">
        <v>3.45</v>
      </c>
      <c r="Z380">
        <v>3.8</v>
      </c>
      <c r="AA380">
        <v>0.78</v>
      </c>
      <c r="AB380">
        <f t="shared" si="43"/>
        <v>5</v>
      </c>
      <c r="AC380">
        <f t="shared" si="44"/>
        <v>4.01</v>
      </c>
      <c r="AD380" t="str">
        <f t="shared" si="45"/>
        <v>⭐⭐⭐⭐</v>
      </c>
      <c r="AE380" t="str">
        <f t="shared" si="46"/>
        <v>Increase machine maintenance support</v>
      </c>
      <c r="AF380" t="str">
        <f t="shared" si="47"/>
        <v>Recommended for medium-high orders</v>
      </c>
    </row>
    <row r="381" spans="1:32" ht="24" customHeight="1">
      <c r="A381" t="s">
        <v>814</v>
      </c>
      <c r="B381" t="s">
        <v>40</v>
      </c>
      <c r="C381" t="s">
        <v>41</v>
      </c>
      <c r="D381" t="s">
        <v>42</v>
      </c>
      <c r="E381" t="s">
        <v>815</v>
      </c>
      <c r="F381" t="s">
        <v>44</v>
      </c>
      <c r="G381">
        <v>4957</v>
      </c>
      <c r="H381">
        <v>45747</v>
      </c>
      <c r="I381">
        <v>45771</v>
      </c>
      <c r="J381">
        <v>19</v>
      </c>
      <c r="K381">
        <v>23</v>
      </c>
      <c r="L381">
        <f t="shared" si="40"/>
        <v>4</v>
      </c>
      <c r="M381" t="str">
        <f t="shared" si="41"/>
        <v>Delayed</v>
      </c>
      <c r="N381">
        <v>14</v>
      </c>
      <c r="O381">
        <v>12</v>
      </c>
      <c r="P381">
        <f t="shared" si="42"/>
        <v>0.8571428571428571</v>
      </c>
      <c r="Q381">
        <v>44</v>
      </c>
      <c r="R381">
        <v>215.5</v>
      </c>
      <c r="S381">
        <v>5957</v>
      </c>
      <c r="T381" t="s">
        <v>45</v>
      </c>
      <c r="U381">
        <v>0</v>
      </c>
      <c r="V381">
        <v>9</v>
      </c>
      <c r="W381">
        <v>2</v>
      </c>
      <c r="X381">
        <v>0</v>
      </c>
      <c r="Y381">
        <v>2.5099999999999998</v>
      </c>
      <c r="Z381">
        <v>4.3</v>
      </c>
      <c r="AA381">
        <v>0.85</v>
      </c>
      <c r="AB381">
        <f t="shared" si="43"/>
        <v>5</v>
      </c>
      <c r="AC381">
        <f t="shared" si="44"/>
        <v>4.32</v>
      </c>
      <c r="AD381" t="str">
        <f t="shared" si="45"/>
        <v>⭐⭐⭐⭐</v>
      </c>
      <c r="AE381" t="str">
        <f t="shared" si="46"/>
        <v>Reduce risk days and add supervisor monitoring</v>
      </c>
      <c r="AF381" t="str">
        <f t="shared" si="47"/>
        <v>Recommended for medium-high orders</v>
      </c>
    </row>
    <row r="382" spans="1:32" ht="24" customHeight="1">
      <c r="A382" t="s">
        <v>816</v>
      </c>
      <c r="B382" t="s">
        <v>69</v>
      </c>
      <c r="C382" t="s">
        <v>70</v>
      </c>
      <c r="D382" t="s">
        <v>71</v>
      </c>
      <c r="E382" t="s">
        <v>817</v>
      </c>
      <c r="F382" t="s">
        <v>57</v>
      </c>
      <c r="G382">
        <v>9166</v>
      </c>
      <c r="H382">
        <v>45815</v>
      </c>
      <c r="I382">
        <v>45846</v>
      </c>
      <c r="J382">
        <v>29</v>
      </c>
      <c r="K382">
        <v>31</v>
      </c>
      <c r="L382">
        <f t="shared" si="40"/>
        <v>2</v>
      </c>
      <c r="M382" t="str">
        <f t="shared" si="41"/>
        <v>Delayed</v>
      </c>
      <c r="N382">
        <v>14</v>
      </c>
      <c r="O382">
        <v>10</v>
      </c>
      <c r="P382">
        <f t="shared" si="42"/>
        <v>0.7142857142857143</v>
      </c>
      <c r="Q382">
        <v>34</v>
      </c>
      <c r="R382">
        <v>295.7</v>
      </c>
      <c r="S382">
        <v>11166</v>
      </c>
      <c r="T382" t="s">
        <v>45</v>
      </c>
      <c r="U382">
        <v>1</v>
      </c>
      <c r="V382">
        <v>4</v>
      </c>
      <c r="W382">
        <v>3</v>
      </c>
      <c r="X382">
        <v>5</v>
      </c>
      <c r="Y382">
        <v>2.93</v>
      </c>
      <c r="Z382">
        <v>3.8</v>
      </c>
      <c r="AA382">
        <v>0.78</v>
      </c>
      <c r="AB382">
        <f t="shared" si="43"/>
        <v>5</v>
      </c>
      <c r="AC382">
        <f t="shared" si="44"/>
        <v>3.97</v>
      </c>
      <c r="AD382" t="str">
        <f t="shared" si="45"/>
        <v>⭐⭐⭐</v>
      </c>
      <c r="AE382" t="str">
        <f t="shared" si="46"/>
        <v>Improve workforce allocation</v>
      </c>
      <c r="AF382" t="str">
        <f t="shared" si="47"/>
        <v>Use for normal priority orders</v>
      </c>
    </row>
    <row r="383" spans="1:32" ht="24" customHeight="1">
      <c r="A383" t="s">
        <v>818</v>
      </c>
      <c r="B383" t="s">
        <v>33</v>
      </c>
      <c r="C383" t="s">
        <v>34</v>
      </c>
      <c r="D383" t="s">
        <v>35</v>
      </c>
      <c r="E383" t="s">
        <v>819</v>
      </c>
      <c r="F383" t="s">
        <v>37</v>
      </c>
      <c r="G383">
        <v>11791</v>
      </c>
      <c r="H383">
        <v>45662</v>
      </c>
      <c r="I383">
        <v>45696</v>
      </c>
      <c r="J383">
        <v>31</v>
      </c>
      <c r="K383">
        <v>31</v>
      </c>
      <c r="L383">
        <f t="shared" si="40"/>
        <v>0</v>
      </c>
      <c r="M383" t="str">
        <f t="shared" si="41"/>
        <v>On Time</v>
      </c>
      <c r="N383">
        <v>11</v>
      </c>
      <c r="O383">
        <v>8</v>
      </c>
      <c r="P383">
        <f t="shared" si="42"/>
        <v>0.72727272727272729</v>
      </c>
      <c r="Q383">
        <v>41</v>
      </c>
      <c r="R383">
        <v>380.4</v>
      </c>
      <c r="S383">
        <v>14791</v>
      </c>
      <c r="T383" t="s">
        <v>45</v>
      </c>
      <c r="U383">
        <v>3</v>
      </c>
      <c r="V383">
        <v>9</v>
      </c>
      <c r="W383">
        <v>1</v>
      </c>
      <c r="X383">
        <v>4</v>
      </c>
      <c r="Y383">
        <v>2.27</v>
      </c>
      <c r="Z383">
        <v>4.2</v>
      </c>
      <c r="AA383">
        <v>0.83</v>
      </c>
      <c r="AB383">
        <f t="shared" si="43"/>
        <v>5</v>
      </c>
      <c r="AC383">
        <f t="shared" si="44"/>
        <v>4.2699999999999996</v>
      </c>
      <c r="AD383" t="str">
        <f t="shared" si="45"/>
        <v>⭐⭐⭐⭐</v>
      </c>
      <c r="AE383" t="str">
        <f t="shared" si="46"/>
        <v>Maintain current resource allocation</v>
      </c>
      <c r="AF383" t="str">
        <f t="shared" si="47"/>
        <v>Recommended for medium-high orders</v>
      </c>
    </row>
    <row r="384" spans="1:32" ht="24" customHeight="1">
      <c r="A384" t="s">
        <v>820</v>
      </c>
      <c r="B384" t="s">
        <v>69</v>
      </c>
      <c r="C384" t="s">
        <v>70</v>
      </c>
      <c r="D384" t="s">
        <v>71</v>
      </c>
      <c r="E384" t="s">
        <v>821</v>
      </c>
      <c r="F384" t="s">
        <v>44</v>
      </c>
      <c r="G384">
        <v>4957</v>
      </c>
      <c r="H384">
        <v>45909</v>
      </c>
      <c r="I384">
        <v>45942</v>
      </c>
      <c r="J384">
        <v>30</v>
      </c>
      <c r="K384">
        <v>30</v>
      </c>
      <c r="L384">
        <f t="shared" si="40"/>
        <v>0</v>
      </c>
      <c r="M384" t="str">
        <f t="shared" si="41"/>
        <v>On Time</v>
      </c>
      <c r="N384">
        <v>13</v>
      </c>
      <c r="O384">
        <v>10</v>
      </c>
      <c r="P384">
        <f t="shared" si="42"/>
        <v>0.76923076923076927</v>
      </c>
      <c r="Q384">
        <v>40</v>
      </c>
      <c r="R384">
        <v>165.2</v>
      </c>
      <c r="S384">
        <v>4957</v>
      </c>
      <c r="T384" t="s">
        <v>45</v>
      </c>
      <c r="U384">
        <v>2</v>
      </c>
      <c r="V384">
        <v>7</v>
      </c>
      <c r="W384">
        <v>4</v>
      </c>
      <c r="X384">
        <v>7</v>
      </c>
      <c r="Y384">
        <v>3.96</v>
      </c>
      <c r="Z384">
        <v>3.8</v>
      </c>
      <c r="AA384">
        <v>0.78</v>
      </c>
      <c r="AB384">
        <f t="shared" si="43"/>
        <v>5</v>
      </c>
      <c r="AC384">
        <f t="shared" si="44"/>
        <v>4.12</v>
      </c>
      <c r="AD384" t="str">
        <f t="shared" si="45"/>
        <v>⭐⭐⭐⭐</v>
      </c>
      <c r="AE384" t="str">
        <f t="shared" si="46"/>
        <v>Maintain current resource allocation</v>
      </c>
      <c r="AF384" t="str">
        <f t="shared" si="47"/>
        <v>Recommended for medium-high orders</v>
      </c>
    </row>
    <row r="385" spans="1:32" ht="24" customHeight="1">
      <c r="A385" t="s">
        <v>822</v>
      </c>
      <c r="B385" t="s">
        <v>61</v>
      </c>
      <c r="C385" t="s">
        <v>62</v>
      </c>
      <c r="D385" t="s">
        <v>63</v>
      </c>
      <c r="E385" t="s">
        <v>823</v>
      </c>
      <c r="F385" t="s">
        <v>44</v>
      </c>
      <c r="G385">
        <v>5289</v>
      </c>
      <c r="H385">
        <v>45986</v>
      </c>
      <c r="I385">
        <v>46015</v>
      </c>
      <c r="J385">
        <v>29</v>
      </c>
      <c r="K385">
        <v>28</v>
      </c>
      <c r="L385">
        <f t="shared" si="40"/>
        <v>-1</v>
      </c>
      <c r="M385" t="str">
        <f t="shared" si="41"/>
        <v>Early</v>
      </c>
      <c r="N385">
        <v>14</v>
      </c>
      <c r="O385">
        <v>10</v>
      </c>
      <c r="P385">
        <f t="shared" si="42"/>
        <v>0.7142857142857143</v>
      </c>
      <c r="Q385">
        <v>30</v>
      </c>
      <c r="R385">
        <v>188.9</v>
      </c>
      <c r="S385">
        <v>5289</v>
      </c>
      <c r="T385" t="s">
        <v>38</v>
      </c>
      <c r="U385">
        <v>5</v>
      </c>
      <c r="V385">
        <v>5</v>
      </c>
      <c r="W385">
        <v>2</v>
      </c>
      <c r="X385">
        <v>3</v>
      </c>
      <c r="Y385">
        <v>2.81</v>
      </c>
      <c r="Z385">
        <v>4</v>
      </c>
      <c r="AA385">
        <v>0.8</v>
      </c>
      <c r="AB385">
        <f t="shared" si="43"/>
        <v>5</v>
      </c>
      <c r="AC385">
        <f t="shared" si="44"/>
        <v>4.21</v>
      </c>
      <c r="AD385" t="str">
        <f t="shared" si="45"/>
        <v>⭐⭐⭐⭐</v>
      </c>
      <c r="AE385" t="str">
        <f t="shared" si="46"/>
        <v>Suitable for urgent style handling</v>
      </c>
      <c r="AF385" t="str">
        <f t="shared" si="47"/>
        <v>Recommended for medium-high orders</v>
      </c>
    </row>
    <row r="386" spans="1:32" ht="24" customHeight="1">
      <c r="A386" t="s">
        <v>824</v>
      </c>
      <c r="B386" t="s">
        <v>33</v>
      </c>
      <c r="C386" t="s">
        <v>34</v>
      </c>
      <c r="D386" t="s">
        <v>35</v>
      </c>
      <c r="E386" t="s">
        <v>825</v>
      </c>
      <c r="F386" t="s">
        <v>67</v>
      </c>
      <c r="G386">
        <v>53128</v>
      </c>
      <c r="H386">
        <v>45791</v>
      </c>
      <c r="I386">
        <v>45857</v>
      </c>
      <c r="J386">
        <v>61</v>
      </c>
      <c r="K386">
        <v>65</v>
      </c>
      <c r="L386">
        <f t="shared" ref="L386:L449" si="48">K386-J386</f>
        <v>4</v>
      </c>
      <c r="M386" t="str">
        <f t="shared" ref="M386:M449" si="49">IF(L386&gt;0,"Delayed",IF(L386&lt;0,"Early","On Time"))</f>
        <v>Delayed</v>
      </c>
      <c r="N386">
        <v>12</v>
      </c>
      <c r="O386">
        <v>10</v>
      </c>
      <c r="P386">
        <f t="shared" ref="P386:P449" si="50">O386/N386</f>
        <v>0.83333333333333337</v>
      </c>
      <c r="Q386">
        <v>47</v>
      </c>
      <c r="R386">
        <v>817.4</v>
      </c>
      <c r="S386">
        <v>55128</v>
      </c>
      <c r="T386" t="s">
        <v>45</v>
      </c>
      <c r="U386">
        <v>3</v>
      </c>
      <c r="V386">
        <v>5</v>
      </c>
      <c r="W386">
        <v>3</v>
      </c>
      <c r="X386">
        <v>4</v>
      </c>
      <c r="Y386">
        <v>2.4700000000000002</v>
      </c>
      <c r="Z386">
        <v>4.2</v>
      </c>
      <c r="AA386">
        <v>0.83</v>
      </c>
      <c r="AB386">
        <f t="shared" ref="AB386:AB449" si="51">MIN(5,MAX(1,(R386/MAX(1,Q386))*0.08 + (1-Y386/100)*2.2 + Z386*0.35 + AA386*2))</f>
        <v>5</v>
      </c>
      <c r="AC386">
        <f t="shared" ref="AC386:AC449" si="52">ROUND((0.3*Z386)+(0.25*(AA386*5))+(0.2*AB386)+(0.15*(P386*5))+(0.1*IF(M386="Delayed",3.2,IF(M386="On Time",4.3,4.7))),2)</f>
        <v>4.24</v>
      </c>
      <c r="AD386" t="str">
        <f t="shared" ref="AD386:AD449" si="53">IF(AC386&gt;=4.5,"⭐⭐⭐⭐⭐",IF(AC386&gt;=4,"⭐⭐⭐⭐",IF(AC386&gt;=3.5,"⭐⭐⭐",IF(AC386&gt;=3,"⭐⭐","⭐"))))</f>
        <v>⭐⭐⭐⭐</v>
      </c>
      <c r="AE386" t="str">
        <f t="shared" ref="AE386:AE449" si="54">IF(M386="Delayed",IF(V386&gt;8,"Reduce risk days and add supervisor monitoring",IF(W386&gt;3,"Increase machine maintenance support",IF(X386&gt;3,"Improve workforce allocation","Increase daily output monitoring"))),IF(T386="Yes","Suitable for urgent style handling","Maintain current resource allocation"))</f>
        <v>Improve workforce allocation</v>
      </c>
      <c r="AF386" t="str">
        <f t="shared" ref="AF386:AF449" si="55">IF(AC386&gt;=4.5,"Best for urgent/high priority orders",IF(AC386&gt;=4,"Recommended for medium-high orders",IF(AC386&gt;=3.5,"Use for normal priority orders","Use only with management support")))</f>
        <v>Recommended for medium-high orders</v>
      </c>
    </row>
    <row r="387" spans="1:32" ht="24" customHeight="1">
      <c r="A387" t="s">
        <v>826</v>
      </c>
      <c r="B387" t="s">
        <v>33</v>
      </c>
      <c r="C387" t="s">
        <v>34</v>
      </c>
      <c r="D387" t="s">
        <v>35</v>
      </c>
      <c r="E387" t="s">
        <v>827</v>
      </c>
      <c r="F387" t="s">
        <v>44</v>
      </c>
      <c r="G387">
        <v>8509</v>
      </c>
      <c r="H387">
        <v>45703</v>
      </c>
      <c r="I387">
        <v>45730</v>
      </c>
      <c r="J387">
        <v>17</v>
      </c>
      <c r="K387">
        <v>24</v>
      </c>
      <c r="L387">
        <f t="shared" si="48"/>
        <v>7</v>
      </c>
      <c r="M387" t="str">
        <f t="shared" si="49"/>
        <v>Delayed</v>
      </c>
      <c r="N387">
        <v>13</v>
      </c>
      <c r="O387">
        <v>9</v>
      </c>
      <c r="P387">
        <f t="shared" si="50"/>
        <v>0.69230769230769229</v>
      </c>
      <c r="Q387">
        <v>34</v>
      </c>
      <c r="R387">
        <v>354.5</v>
      </c>
      <c r="S387">
        <v>12509</v>
      </c>
      <c r="T387" t="s">
        <v>45</v>
      </c>
      <c r="U387">
        <v>1</v>
      </c>
      <c r="V387">
        <v>6</v>
      </c>
      <c r="W387">
        <v>4</v>
      </c>
      <c r="X387">
        <v>6</v>
      </c>
      <c r="Y387">
        <v>2.88</v>
      </c>
      <c r="Z387">
        <v>4.2</v>
      </c>
      <c r="AA387">
        <v>0.83</v>
      </c>
      <c r="AB387">
        <f t="shared" si="51"/>
        <v>5</v>
      </c>
      <c r="AC387">
        <f t="shared" si="52"/>
        <v>4.1399999999999997</v>
      </c>
      <c r="AD387" t="str">
        <f t="shared" si="53"/>
        <v>⭐⭐⭐⭐</v>
      </c>
      <c r="AE387" t="str">
        <f t="shared" si="54"/>
        <v>Increase machine maintenance support</v>
      </c>
      <c r="AF387" t="str">
        <f t="shared" si="55"/>
        <v>Recommended for medium-high orders</v>
      </c>
    </row>
    <row r="388" spans="1:32" ht="24" customHeight="1">
      <c r="A388" t="s">
        <v>828</v>
      </c>
      <c r="B388" t="s">
        <v>78</v>
      </c>
      <c r="C388" t="s">
        <v>79</v>
      </c>
      <c r="D388" t="s">
        <v>80</v>
      </c>
      <c r="E388" t="s">
        <v>829</v>
      </c>
      <c r="F388" t="s">
        <v>67</v>
      </c>
      <c r="G388">
        <v>53141</v>
      </c>
      <c r="H388">
        <v>45772</v>
      </c>
      <c r="I388">
        <v>45855</v>
      </c>
      <c r="J388">
        <v>74</v>
      </c>
      <c r="K388">
        <v>78</v>
      </c>
      <c r="L388">
        <f t="shared" si="48"/>
        <v>4</v>
      </c>
      <c r="M388" t="str">
        <f t="shared" si="49"/>
        <v>Delayed</v>
      </c>
      <c r="N388">
        <v>16</v>
      </c>
      <c r="O388">
        <v>12</v>
      </c>
      <c r="P388">
        <f t="shared" si="50"/>
        <v>0.75</v>
      </c>
      <c r="Q388">
        <v>66</v>
      </c>
      <c r="R388">
        <v>681.3</v>
      </c>
      <c r="S388">
        <v>56141</v>
      </c>
      <c r="T388" t="s">
        <v>45</v>
      </c>
      <c r="U388">
        <v>3</v>
      </c>
      <c r="V388">
        <v>2</v>
      </c>
      <c r="W388">
        <v>2</v>
      </c>
      <c r="X388">
        <v>0</v>
      </c>
      <c r="Y388">
        <v>3.15</v>
      </c>
      <c r="Z388">
        <v>4.8</v>
      </c>
      <c r="AA388">
        <v>0.92</v>
      </c>
      <c r="AB388">
        <f t="shared" si="51"/>
        <v>5</v>
      </c>
      <c r="AC388">
        <f t="shared" si="52"/>
        <v>4.47</v>
      </c>
      <c r="AD388" t="str">
        <f t="shared" si="53"/>
        <v>⭐⭐⭐⭐</v>
      </c>
      <c r="AE388" t="str">
        <f t="shared" si="54"/>
        <v>Increase daily output monitoring</v>
      </c>
      <c r="AF388" t="str">
        <f t="shared" si="55"/>
        <v>Recommended for medium-high orders</v>
      </c>
    </row>
    <row r="389" spans="1:32" ht="24" customHeight="1">
      <c r="A389" t="s">
        <v>830</v>
      </c>
      <c r="B389" t="s">
        <v>78</v>
      </c>
      <c r="C389" t="s">
        <v>79</v>
      </c>
      <c r="D389" t="s">
        <v>80</v>
      </c>
      <c r="E389" t="s">
        <v>831</v>
      </c>
      <c r="F389" t="s">
        <v>44</v>
      </c>
      <c r="G389">
        <v>18192</v>
      </c>
      <c r="H389">
        <v>45792</v>
      </c>
      <c r="I389">
        <v>45828</v>
      </c>
      <c r="J389">
        <v>36</v>
      </c>
      <c r="K389">
        <v>35</v>
      </c>
      <c r="L389">
        <f t="shared" si="48"/>
        <v>-1</v>
      </c>
      <c r="M389" t="str">
        <f t="shared" si="49"/>
        <v>Early</v>
      </c>
      <c r="N389">
        <v>21</v>
      </c>
      <c r="O389">
        <v>17</v>
      </c>
      <c r="P389">
        <f t="shared" si="50"/>
        <v>0.80952380952380953</v>
      </c>
      <c r="Q389">
        <v>54</v>
      </c>
      <c r="R389">
        <v>519.79999999999995</v>
      </c>
      <c r="S389">
        <v>18192</v>
      </c>
      <c r="T389" t="s">
        <v>38</v>
      </c>
      <c r="U389">
        <v>2</v>
      </c>
      <c r="V389">
        <v>2</v>
      </c>
      <c r="W389">
        <v>0</v>
      </c>
      <c r="X389">
        <v>0</v>
      </c>
      <c r="Y389">
        <v>3.56</v>
      </c>
      <c r="Z389">
        <v>4.8</v>
      </c>
      <c r="AA389">
        <v>0.92</v>
      </c>
      <c r="AB389">
        <f t="shared" si="51"/>
        <v>5</v>
      </c>
      <c r="AC389">
        <f t="shared" si="52"/>
        <v>4.67</v>
      </c>
      <c r="AD389" t="str">
        <f t="shared" si="53"/>
        <v>⭐⭐⭐⭐⭐</v>
      </c>
      <c r="AE389" t="str">
        <f t="shared" si="54"/>
        <v>Suitable for urgent style handling</v>
      </c>
      <c r="AF389" t="str">
        <f t="shared" si="55"/>
        <v>Best for urgent/high priority orders</v>
      </c>
    </row>
    <row r="390" spans="1:32" ht="24" customHeight="1">
      <c r="A390" t="s">
        <v>832</v>
      </c>
      <c r="B390" t="s">
        <v>33</v>
      </c>
      <c r="C390" t="s">
        <v>34</v>
      </c>
      <c r="D390" t="s">
        <v>35</v>
      </c>
      <c r="E390" t="s">
        <v>833</v>
      </c>
      <c r="F390" t="s">
        <v>67</v>
      </c>
      <c r="G390">
        <v>59100</v>
      </c>
      <c r="H390">
        <v>45684</v>
      </c>
      <c r="I390">
        <v>45766</v>
      </c>
      <c r="J390">
        <v>75</v>
      </c>
      <c r="K390">
        <v>80</v>
      </c>
      <c r="L390">
        <f t="shared" si="48"/>
        <v>5</v>
      </c>
      <c r="M390" t="str">
        <f t="shared" si="49"/>
        <v>Delayed</v>
      </c>
      <c r="N390">
        <v>13</v>
      </c>
      <c r="O390">
        <v>10</v>
      </c>
      <c r="P390">
        <f t="shared" si="50"/>
        <v>0.76923076923076927</v>
      </c>
      <c r="Q390">
        <v>47</v>
      </c>
      <c r="R390">
        <v>738.8</v>
      </c>
      <c r="S390">
        <v>63100</v>
      </c>
      <c r="T390" t="s">
        <v>45</v>
      </c>
      <c r="U390">
        <v>2</v>
      </c>
      <c r="V390">
        <v>7</v>
      </c>
      <c r="W390">
        <v>3</v>
      </c>
      <c r="X390">
        <v>1</v>
      </c>
      <c r="Y390">
        <v>3.71</v>
      </c>
      <c r="Z390">
        <v>4.2</v>
      </c>
      <c r="AA390">
        <v>0.83</v>
      </c>
      <c r="AB390">
        <f t="shared" si="51"/>
        <v>5</v>
      </c>
      <c r="AC390">
        <f t="shared" si="52"/>
        <v>4.1900000000000004</v>
      </c>
      <c r="AD390" t="str">
        <f t="shared" si="53"/>
        <v>⭐⭐⭐⭐</v>
      </c>
      <c r="AE390" t="str">
        <f t="shared" si="54"/>
        <v>Increase daily output monitoring</v>
      </c>
      <c r="AF390" t="str">
        <f t="shared" si="55"/>
        <v>Recommended for medium-high orders</v>
      </c>
    </row>
    <row r="391" spans="1:32" ht="24" customHeight="1">
      <c r="A391" t="s">
        <v>834</v>
      </c>
      <c r="B391" t="s">
        <v>69</v>
      </c>
      <c r="C391" t="s">
        <v>70</v>
      </c>
      <c r="D391" t="s">
        <v>71</v>
      </c>
      <c r="E391" t="s">
        <v>835</v>
      </c>
      <c r="F391" t="s">
        <v>57</v>
      </c>
      <c r="G391">
        <v>14934</v>
      </c>
      <c r="H391">
        <v>45897</v>
      </c>
      <c r="I391">
        <v>45924</v>
      </c>
      <c r="J391">
        <v>25</v>
      </c>
      <c r="K391">
        <v>26</v>
      </c>
      <c r="L391">
        <f t="shared" si="48"/>
        <v>1</v>
      </c>
      <c r="M391" t="str">
        <f t="shared" si="49"/>
        <v>Delayed</v>
      </c>
      <c r="N391">
        <v>10</v>
      </c>
      <c r="O391">
        <v>7</v>
      </c>
      <c r="P391">
        <f t="shared" si="50"/>
        <v>0.7</v>
      </c>
      <c r="Q391">
        <v>43</v>
      </c>
      <c r="R391">
        <v>574.4</v>
      </c>
      <c r="S391">
        <v>17934</v>
      </c>
      <c r="T391" t="s">
        <v>38</v>
      </c>
      <c r="U391">
        <v>2</v>
      </c>
      <c r="V391">
        <v>13</v>
      </c>
      <c r="W391">
        <v>2</v>
      </c>
      <c r="X391">
        <v>5</v>
      </c>
      <c r="Y391">
        <v>4.26</v>
      </c>
      <c r="Z391">
        <v>3.8</v>
      </c>
      <c r="AA391">
        <v>0.78</v>
      </c>
      <c r="AB391">
        <f t="shared" si="51"/>
        <v>5</v>
      </c>
      <c r="AC391">
        <f t="shared" si="52"/>
        <v>3.96</v>
      </c>
      <c r="AD391" t="str">
        <f t="shared" si="53"/>
        <v>⭐⭐⭐</v>
      </c>
      <c r="AE391" t="str">
        <f t="shared" si="54"/>
        <v>Reduce risk days and add supervisor monitoring</v>
      </c>
      <c r="AF391" t="str">
        <f t="shared" si="55"/>
        <v>Use for normal priority orders</v>
      </c>
    </row>
    <row r="392" spans="1:32" ht="24" customHeight="1">
      <c r="A392" t="s">
        <v>836</v>
      </c>
      <c r="B392" t="s">
        <v>78</v>
      </c>
      <c r="C392" t="s">
        <v>79</v>
      </c>
      <c r="D392" t="s">
        <v>80</v>
      </c>
      <c r="E392" t="s">
        <v>837</v>
      </c>
      <c r="F392" t="s">
        <v>57</v>
      </c>
      <c r="G392">
        <v>9266</v>
      </c>
      <c r="H392">
        <v>45742</v>
      </c>
      <c r="I392">
        <v>45761</v>
      </c>
      <c r="J392">
        <v>17</v>
      </c>
      <c r="K392">
        <v>17</v>
      </c>
      <c r="L392">
        <f t="shared" si="48"/>
        <v>0</v>
      </c>
      <c r="M392" t="str">
        <f t="shared" si="49"/>
        <v>On Time</v>
      </c>
      <c r="N392">
        <v>20</v>
      </c>
      <c r="O392">
        <v>18</v>
      </c>
      <c r="P392">
        <f t="shared" si="50"/>
        <v>0.9</v>
      </c>
      <c r="Q392">
        <v>59</v>
      </c>
      <c r="R392">
        <v>545.1</v>
      </c>
      <c r="S392">
        <v>11266</v>
      </c>
      <c r="T392" t="s">
        <v>45</v>
      </c>
      <c r="U392">
        <v>2</v>
      </c>
      <c r="V392">
        <v>6</v>
      </c>
      <c r="W392">
        <v>1</v>
      </c>
      <c r="X392">
        <v>3</v>
      </c>
      <c r="Y392">
        <v>2.42</v>
      </c>
      <c r="Z392">
        <v>4.8</v>
      </c>
      <c r="AA392">
        <v>0.92</v>
      </c>
      <c r="AB392">
        <f t="shared" si="51"/>
        <v>5</v>
      </c>
      <c r="AC392">
        <f t="shared" si="52"/>
        <v>4.7</v>
      </c>
      <c r="AD392" t="str">
        <f t="shared" si="53"/>
        <v>⭐⭐⭐⭐⭐</v>
      </c>
      <c r="AE392" t="str">
        <f t="shared" si="54"/>
        <v>Maintain current resource allocation</v>
      </c>
      <c r="AF392" t="str">
        <f t="shared" si="55"/>
        <v>Best for urgent/high priority orders</v>
      </c>
    </row>
    <row r="393" spans="1:32" ht="24" customHeight="1">
      <c r="A393" t="s">
        <v>838</v>
      </c>
      <c r="B393" t="s">
        <v>61</v>
      </c>
      <c r="C393" t="s">
        <v>62</v>
      </c>
      <c r="D393" t="s">
        <v>63</v>
      </c>
      <c r="E393" t="s">
        <v>839</v>
      </c>
      <c r="F393" t="s">
        <v>57</v>
      </c>
      <c r="G393">
        <v>14104</v>
      </c>
      <c r="H393">
        <v>45840</v>
      </c>
      <c r="I393">
        <v>45886</v>
      </c>
      <c r="J393">
        <v>38</v>
      </c>
      <c r="K393">
        <v>41</v>
      </c>
      <c r="L393">
        <f t="shared" si="48"/>
        <v>3</v>
      </c>
      <c r="M393" t="str">
        <f t="shared" si="49"/>
        <v>Delayed</v>
      </c>
      <c r="N393">
        <v>10</v>
      </c>
      <c r="O393">
        <v>8</v>
      </c>
      <c r="P393">
        <f t="shared" si="50"/>
        <v>0.8</v>
      </c>
      <c r="Q393">
        <v>45</v>
      </c>
      <c r="R393">
        <v>344</v>
      </c>
      <c r="S393">
        <v>14104</v>
      </c>
      <c r="T393" t="s">
        <v>38</v>
      </c>
      <c r="U393">
        <v>3</v>
      </c>
      <c r="V393">
        <v>8</v>
      </c>
      <c r="W393">
        <v>4</v>
      </c>
      <c r="X393">
        <v>3</v>
      </c>
      <c r="Y393">
        <v>3.35</v>
      </c>
      <c r="Z393">
        <v>4</v>
      </c>
      <c r="AA393">
        <v>0.8</v>
      </c>
      <c r="AB393">
        <f t="shared" si="51"/>
        <v>5</v>
      </c>
      <c r="AC393">
        <f t="shared" si="52"/>
        <v>4.12</v>
      </c>
      <c r="AD393" t="str">
        <f t="shared" si="53"/>
        <v>⭐⭐⭐⭐</v>
      </c>
      <c r="AE393" t="str">
        <f t="shared" si="54"/>
        <v>Increase machine maintenance support</v>
      </c>
      <c r="AF393" t="str">
        <f t="shared" si="55"/>
        <v>Recommended for medium-high orders</v>
      </c>
    </row>
    <row r="394" spans="1:32" ht="24" customHeight="1">
      <c r="A394" t="s">
        <v>840</v>
      </c>
      <c r="B394" t="s">
        <v>40</v>
      </c>
      <c r="C394" t="s">
        <v>41</v>
      </c>
      <c r="D394" t="s">
        <v>42</v>
      </c>
      <c r="E394" t="s">
        <v>841</v>
      </c>
      <c r="F394" t="s">
        <v>57</v>
      </c>
      <c r="G394">
        <v>6843</v>
      </c>
      <c r="H394">
        <v>45927</v>
      </c>
      <c r="I394">
        <v>45964</v>
      </c>
      <c r="J394">
        <v>29</v>
      </c>
      <c r="K394">
        <v>33</v>
      </c>
      <c r="L394">
        <f t="shared" si="48"/>
        <v>4</v>
      </c>
      <c r="M394" t="str">
        <f t="shared" si="49"/>
        <v>Delayed</v>
      </c>
      <c r="N394">
        <v>13</v>
      </c>
      <c r="O394">
        <v>11</v>
      </c>
      <c r="P394">
        <f t="shared" si="50"/>
        <v>0.84615384615384615</v>
      </c>
      <c r="Q394">
        <v>46</v>
      </c>
      <c r="R394">
        <v>207.4</v>
      </c>
      <c r="S394">
        <v>10843</v>
      </c>
      <c r="T394" t="s">
        <v>45</v>
      </c>
      <c r="U394">
        <v>1</v>
      </c>
      <c r="V394">
        <v>6</v>
      </c>
      <c r="W394">
        <v>3</v>
      </c>
      <c r="X394">
        <v>3</v>
      </c>
      <c r="Y394">
        <v>2.11</v>
      </c>
      <c r="Z394">
        <v>4.3</v>
      </c>
      <c r="AA394">
        <v>0.85</v>
      </c>
      <c r="AB394">
        <f t="shared" si="51"/>
        <v>5</v>
      </c>
      <c r="AC394">
        <f t="shared" si="52"/>
        <v>4.3099999999999996</v>
      </c>
      <c r="AD394" t="str">
        <f t="shared" si="53"/>
        <v>⭐⭐⭐⭐</v>
      </c>
      <c r="AE394" t="str">
        <f t="shared" si="54"/>
        <v>Increase daily output monitoring</v>
      </c>
      <c r="AF394" t="str">
        <f t="shared" si="55"/>
        <v>Recommended for medium-high orders</v>
      </c>
    </row>
    <row r="395" spans="1:32" ht="24" customHeight="1">
      <c r="A395" t="s">
        <v>842</v>
      </c>
      <c r="B395" t="s">
        <v>78</v>
      </c>
      <c r="C395" t="s">
        <v>79</v>
      </c>
      <c r="D395" t="s">
        <v>80</v>
      </c>
      <c r="E395" t="s">
        <v>843</v>
      </c>
      <c r="F395" t="s">
        <v>37</v>
      </c>
      <c r="G395">
        <v>26322</v>
      </c>
      <c r="H395">
        <v>45893</v>
      </c>
      <c r="I395">
        <v>45938</v>
      </c>
      <c r="J395">
        <v>41</v>
      </c>
      <c r="K395">
        <v>40</v>
      </c>
      <c r="L395">
        <f t="shared" si="48"/>
        <v>-1</v>
      </c>
      <c r="M395" t="str">
        <f t="shared" si="49"/>
        <v>Early</v>
      </c>
      <c r="N395">
        <v>16</v>
      </c>
      <c r="O395">
        <v>14</v>
      </c>
      <c r="P395">
        <f t="shared" si="50"/>
        <v>0.875</v>
      </c>
      <c r="Q395">
        <v>54</v>
      </c>
      <c r="R395">
        <v>658</v>
      </c>
      <c r="S395">
        <v>26322</v>
      </c>
      <c r="T395" t="s">
        <v>45</v>
      </c>
      <c r="U395">
        <v>0</v>
      </c>
      <c r="V395">
        <v>0</v>
      </c>
      <c r="W395">
        <v>4</v>
      </c>
      <c r="X395">
        <v>1</v>
      </c>
      <c r="Y395">
        <v>2.4900000000000002</v>
      </c>
      <c r="Z395">
        <v>4.8</v>
      </c>
      <c r="AA395">
        <v>0.92</v>
      </c>
      <c r="AB395">
        <f t="shared" si="51"/>
        <v>5</v>
      </c>
      <c r="AC395">
        <f t="shared" si="52"/>
        <v>4.72</v>
      </c>
      <c r="AD395" t="str">
        <f t="shared" si="53"/>
        <v>⭐⭐⭐⭐⭐</v>
      </c>
      <c r="AE395" t="str">
        <f t="shared" si="54"/>
        <v>Maintain current resource allocation</v>
      </c>
      <c r="AF395" t="str">
        <f t="shared" si="55"/>
        <v>Best for urgent/high priority orders</v>
      </c>
    </row>
    <row r="396" spans="1:32" ht="24" customHeight="1">
      <c r="A396" t="s">
        <v>844</v>
      </c>
      <c r="B396" t="s">
        <v>33</v>
      </c>
      <c r="C396" t="s">
        <v>34</v>
      </c>
      <c r="D396" t="s">
        <v>35</v>
      </c>
      <c r="E396" t="s">
        <v>845</v>
      </c>
      <c r="F396" t="s">
        <v>57</v>
      </c>
      <c r="G396">
        <v>14735</v>
      </c>
      <c r="H396">
        <v>45938</v>
      </c>
      <c r="I396">
        <v>45970</v>
      </c>
      <c r="J396">
        <v>24</v>
      </c>
      <c r="K396">
        <v>28</v>
      </c>
      <c r="L396">
        <f t="shared" si="48"/>
        <v>4</v>
      </c>
      <c r="M396" t="str">
        <f t="shared" si="49"/>
        <v>Delayed</v>
      </c>
      <c r="N396">
        <v>12</v>
      </c>
      <c r="O396">
        <v>8</v>
      </c>
      <c r="P396">
        <f t="shared" si="50"/>
        <v>0.66666666666666663</v>
      </c>
      <c r="Q396">
        <v>35</v>
      </c>
      <c r="R396">
        <v>526.20000000000005</v>
      </c>
      <c r="S396">
        <v>16735</v>
      </c>
      <c r="T396" t="s">
        <v>45</v>
      </c>
      <c r="U396">
        <v>2</v>
      </c>
      <c r="V396">
        <v>9</v>
      </c>
      <c r="W396">
        <v>3</v>
      </c>
      <c r="X396">
        <v>0</v>
      </c>
      <c r="Y396">
        <v>3.42</v>
      </c>
      <c r="Z396">
        <v>4.2</v>
      </c>
      <c r="AA396">
        <v>0.83</v>
      </c>
      <c r="AB396">
        <f t="shared" si="51"/>
        <v>5</v>
      </c>
      <c r="AC396">
        <f t="shared" si="52"/>
        <v>4.12</v>
      </c>
      <c r="AD396" t="str">
        <f t="shared" si="53"/>
        <v>⭐⭐⭐⭐</v>
      </c>
      <c r="AE396" t="str">
        <f t="shared" si="54"/>
        <v>Reduce risk days and add supervisor monitoring</v>
      </c>
      <c r="AF396" t="str">
        <f t="shared" si="55"/>
        <v>Recommended for medium-high orders</v>
      </c>
    </row>
    <row r="397" spans="1:32" ht="24" customHeight="1">
      <c r="A397" t="s">
        <v>846</v>
      </c>
      <c r="B397" t="s">
        <v>53</v>
      </c>
      <c r="C397" t="s">
        <v>54</v>
      </c>
      <c r="D397" t="s">
        <v>55</v>
      </c>
      <c r="E397" t="s">
        <v>847</v>
      </c>
      <c r="F397" t="s">
        <v>57</v>
      </c>
      <c r="G397">
        <v>7916</v>
      </c>
      <c r="H397">
        <v>45909</v>
      </c>
      <c r="I397">
        <v>45933</v>
      </c>
      <c r="J397">
        <v>19</v>
      </c>
      <c r="K397">
        <v>21</v>
      </c>
      <c r="L397">
        <f t="shared" si="48"/>
        <v>2</v>
      </c>
      <c r="M397" t="str">
        <f t="shared" si="49"/>
        <v>Delayed</v>
      </c>
      <c r="N397">
        <v>19</v>
      </c>
      <c r="O397">
        <v>15</v>
      </c>
      <c r="P397">
        <f t="shared" si="50"/>
        <v>0.78947368421052633</v>
      </c>
      <c r="Q397">
        <v>48</v>
      </c>
      <c r="R397">
        <v>377</v>
      </c>
      <c r="S397">
        <v>7916</v>
      </c>
      <c r="T397" t="s">
        <v>45</v>
      </c>
      <c r="U397">
        <v>2</v>
      </c>
      <c r="V397">
        <v>0</v>
      </c>
      <c r="W397">
        <v>2</v>
      </c>
      <c r="X397">
        <v>1</v>
      </c>
      <c r="Y397">
        <v>2.84</v>
      </c>
      <c r="Z397">
        <v>4.5</v>
      </c>
      <c r="AA397">
        <v>0.88</v>
      </c>
      <c r="AB397">
        <f t="shared" si="51"/>
        <v>5</v>
      </c>
      <c r="AC397">
        <f t="shared" si="52"/>
        <v>4.3600000000000003</v>
      </c>
      <c r="AD397" t="str">
        <f t="shared" si="53"/>
        <v>⭐⭐⭐⭐</v>
      </c>
      <c r="AE397" t="str">
        <f t="shared" si="54"/>
        <v>Increase daily output monitoring</v>
      </c>
      <c r="AF397" t="str">
        <f t="shared" si="55"/>
        <v>Recommended for medium-high orders</v>
      </c>
    </row>
    <row r="398" spans="1:32" ht="24" customHeight="1">
      <c r="A398" t="s">
        <v>848</v>
      </c>
      <c r="B398" t="s">
        <v>61</v>
      </c>
      <c r="C398" t="s">
        <v>62</v>
      </c>
      <c r="D398" t="s">
        <v>63</v>
      </c>
      <c r="E398" t="s">
        <v>849</v>
      </c>
      <c r="F398" t="s">
        <v>44</v>
      </c>
      <c r="G398">
        <v>13765</v>
      </c>
      <c r="H398">
        <v>45678</v>
      </c>
      <c r="I398">
        <v>45710</v>
      </c>
      <c r="J398">
        <v>27</v>
      </c>
      <c r="K398">
        <v>28</v>
      </c>
      <c r="L398">
        <f t="shared" si="48"/>
        <v>1</v>
      </c>
      <c r="M398" t="str">
        <f t="shared" si="49"/>
        <v>Delayed</v>
      </c>
      <c r="N398">
        <v>15</v>
      </c>
      <c r="O398">
        <v>10</v>
      </c>
      <c r="P398">
        <f t="shared" si="50"/>
        <v>0.66666666666666663</v>
      </c>
      <c r="Q398">
        <v>43</v>
      </c>
      <c r="R398">
        <v>491.6</v>
      </c>
      <c r="S398">
        <v>15765</v>
      </c>
      <c r="T398" t="s">
        <v>45</v>
      </c>
      <c r="U398">
        <v>1</v>
      </c>
      <c r="V398">
        <v>3</v>
      </c>
      <c r="W398">
        <v>3</v>
      </c>
      <c r="X398">
        <v>5</v>
      </c>
      <c r="Y398">
        <v>2.87</v>
      </c>
      <c r="Z398">
        <v>4</v>
      </c>
      <c r="AA398">
        <v>0.8</v>
      </c>
      <c r="AB398">
        <f t="shared" si="51"/>
        <v>5</v>
      </c>
      <c r="AC398">
        <f t="shared" si="52"/>
        <v>4.0199999999999996</v>
      </c>
      <c r="AD398" t="str">
        <f t="shared" si="53"/>
        <v>⭐⭐⭐⭐</v>
      </c>
      <c r="AE398" t="str">
        <f t="shared" si="54"/>
        <v>Improve workforce allocation</v>
      </c>
      <c r="AF398" t="str">
        <f t="shared" si="55"/>
        <v>Recommended for medium-high orders</v>
      </c>
    </row>
    <row r="399" spans="1:32" ht="24" customHeight="1">
      <c r="A399" t="s">
        <v>850</v>
      </c>
      <c r="B399" t="s">
        <v>53</v>
      </c>
      <c r="C399" t="s">
        <v>54</v>
      </c>
      <c r="D399" t="s">
        <v>55</v>
      </c>
      <c r="E399" t="s">
        <v>851</v>
      </c>
      <c r="F399" t="s">
        <v>57</v>
      </c>
      <c r="G399">
        <v>15610</v>
      </c>
      <c r="H399">
        <v>45723</v>
      </c>
      <c r="I399">
        <v>45759</v>
      </c>
      <c r="J399">
        <v>28</v>
      </c>
      <c r="K399">
        <v>31</v>
      </c>
      <c r="L399">
        <f t="shared" si="48"/>
        <v>3</v>
      </c>
      <c r="M399" t="str">
        <f t="shared" si="49"/>
        <v>Delayed</v>
      </c>
      <c r="N399">
        <v>14</v>
      </c>
      <c r="O399">
        <v>12</v>
      </c>
      <c r="P399">
        <f t="shared" si="50"/>
        <v>0.8571428571428571</v>
      </c>
      <c r="Q399">
        <v>59</v>
      </c>
      <c r="R399">
        <v>503.5</v>
      </c>
      <c r="S399">
        <v>17610</v>
      </c>
      <c r="T399" t="s">
        <v>45</v>
      </c>
      <c r="U399">
        <v>1</v>
      </c>
      <c r="V399">
        <v>5</v>
      </c>
      <c r="W399">
        <v>0</v>
      </c>
      <c r="X399">
        <v>1</v>
      </c>
      <c r="Y399">
        <v>3.3</v>
      </c>
      <c r="Z399">
        <v>4.5</v>
      </c>
      <c r="AA399">
        <v>0.88</v>
      </c>
      <c r="AB399">
        <f t="shared" si="51"/>
        <v>5</v>
      </c>
      <c r="AC399">
        <f t="shared" si="52"/>
        <v>4.41</v>
      </c>
      <c r="AD399" t="str">
        <f t="shared" si="53"/>
        <v>⭐⭐⭐⭐</v>
      </c>
      <c r="AE399" t="str">
        <f t="shared" si="54"/>
        <v>Increase daily output monitoring</v>
      </c>
      <c r="AF399" t="str">
        <f t="shared" si="55"/>
        <v>Recommended for medium-high orders</v>
      </c>
    </row>
    <row r="400" spans="1:32" ht="24" customHeight="1">
      <c r="A400" t="s">
        <v>852</v>
      </c>
      <c r="B400" t="s">
        <v>69</v>
      </c>
      <c r="C400" t="s">
        <v>70</v>
      </c>
      <c r="D400" t="s">
        <v>71</v>
      </c>
      <c r="E400" t="s">
        <v>853</v>
      </c>
      <c r="F400" t="s">
        <v>67</v>
      </c>
      <c r="G400">
        <v>54015</v>
      </c>
      <c r="H400">
        <v>45915</v>
      </c>
      <c r="I400">
        <v>45982</v>
      </c>
      <c r="J400">
        <v>64</v>
      </c>
      <c r="K400">
        <v>67</v>
      </c>
      <c r="L400">
        <f t="shared" si="48"/>
        <v>3</v>
      </c>
      <c r="M400" t="str">
        <f t="shared" si="49"/>
        <v>Delayed</v>
      </c>
      <c r="N400">
        <v>14</v>
      </c>
      <c r="O400">
        <v>9</v>
      </c>
      <c r="P400">
        <f t="shared" si="50"/>
        <v>0.6428571428571429</v>
      </c>
      <c r="Q400">
        <v>45</v>
      </c>
      <c r="R400">
        <v>806.2</v>
      </c>
      <c r="S400">
        <v>56015</v>
      </c>
      <c r="T400" t="s">
        <v>45</v>
      </c>
      <c r="U400">
        <v>2</v>
      </c>
      <c r="V400">
        <v>1</v>
      </c>
      <c r="W400">
        <v>2</v>
      </c>
      <c r="X400">
        <v>1</v>
      </c>
      <c r="Y400">
        <v>3.39</v>
      </c>
      <c r="Z400">
        <v>3.8</v>
      </c>
      <c r="AA400">
        <v>0.78</v>
      </c>
      <c r="AB400">
        <f t="shared" si="51"/>
        <v>5</v>
      </c>
      <c r="AC400">
        <f t="shared" si="52"/>
        <v>3.92</v>
      </c>
      <c r="AD400" t="str">
        <f t="shared" si="53"/>
        <v>⭐⭐⭐</v>
      </c>
      <c r="AE400" t="str">
        <f t="shared" si="54"/>
        <v>Increase daily output monitoring</v>
      </c>
      <c r="AF400" t="str">
        <f t="shared" si="55"/>
        <v>Use for normal priority orders</v>
      </c>
    </row>
    <row r="401" spans="1:32" ht="24" customHeight="1">
      <c r="A401" t="s">
        <v>854</v>
      </c>
      <c r="B401" t="s">
        <v>78</v>
      </c>
      <c r="C401" t="s">
        <v>79</v>
      </c>
      <c r="D401" t="s">
        <v>80</v>
      </c>
      <c r="E401" t="s">
        <v>855</v>
      </c>
      <c r="F401" t="s">
        <v>57</v>
      </c>
      <c r="G401">
        <v>17880</v>
      </c>
      <c r="H401">
        <v>45832</v>
      </c>
      <c r="I401">
        <v>45861</v>
      </c>
      <c r="J401">
        <v>29</v>
      </c>
      <c r="K401">
        <v>28</v>
      </c>
      <c r="L401">
        <f t="shared" si="48"/>
        <v>-1</v>
      </c>
      <c r="M401" t="str">
        <f t="shared" si="49"/>
        <v>Early</v>
      </c>
      <c r="N401">
        <v>22</v>
      </c>
      <c r="O401">
        <v>20</v>
      </c>
      <c r="P401">
        <f t="shared" si="50"/>
        <v>0.90909090909090906</v>
      </c>
      <c r="Q401">
        <v>64</v>
      </c>
      <c r="R401">
        <v>638.6</v>
      </c>
      <c r="S401">
        <v>21880</v>
      </c>
      <c r="T401" t="s">
        <v>45</v>
      </c>
      <c r="U401">
        <v>2</v>
      </c>
      <c r="V401">
        <v>4</v>
      </c>
      <c r="W401">
        <v>3</v>
      </c>
      <c r="X401">
        <v>2</v>
      </c>
      <c r="Y401">
        <v>2.5299999999999998</v>
      </c>
      <c r="Z401">
        <v>4.8</v>
      </c>
      <c r="AA401">
        <v>0.92</v>
      </c>
      <c r="AB401">
        <f t="shared" si="51"/>
        <v>5</v>
      </c>
      <c r="AC401">
        <f t="shared" si="52"/>
        <v>4.74</v>
      </c>
      <c r="AD401" t="str">
        <f t="shared" si="53"/>
        <v>⭐⭐⭐⭐⭐</v>
      </c>
      <c r="AE401" t="str">
        <f t="shared" si="54"/>
        <v>Maintain current resource allocation</v>
      </c>
      <c r="AF401" t="str">
        <f t="shared" si="55"/>
        <v>Best for urgent/high priority orders</v>
      </c>
    </row>
    <row r="402" spans="1:32" ht="24" customHeight="1">
      <c r="A402" t="s">
        <v>856</v>
      </c>
      <c r="B402" t="s">
        <v>78</v>
      </c>
      <c r="C402" t="s">
        <v>79</v>
      </c>
      <c r="D402" t="s">
        <v>80</v>
      </c>
      <c r="E402" t="s">
        <v>857</v>
      </c>
      <c r="F402" t="s">
        <v>37</v>
      </c>
      <c r="G402">
        <v>29793</v>
      </c>
      <c r="H402">
        <v>45973</v>
      </c>
      <c r="I402">
        <v>46021</v>
      </c>
      <c r="J402">
        <v>46</v>
      </c>
      <c r="K402">
        <v>46</v>
      </c>
      <c r="L402">
        <f t="shared" si="48"/>
        <v>0</v>
      </c>
      <c r="M402" t="str">
        <f t="shared" si="49"/>
        <v>On Time</v>
      </c>
      <c r="N402">
        <v>17</v>
      </c>
      <c r="O402">
        <v>15</v>
      </c>
      <c r="P402">
        <f t="shared" si="50"/>
        <v>0.88235294117647056</v>
      </c>
      <c r="Q402">
        <v>64</v>
      </c>
      <c r="R402">
        <v>647.70000000000005</v>
      </c>
      <c r="S402">
        <v>32793</v>
      </c>
      <c r="T402" t="s">
        <v>45</v>
      </c>
      <c r="U402">
        <v>3</v>
      </c>
      <c r="V402">
        <v>5</v>
      </c>
      <c r="W402">
        <v>2</v>
      </c>
      <c r="X402">
        <v>2</v>
      </c>
      <c r="Y402">
        <v>2.63</v>
      </c>
      <c r="Z402">
        <v>4.8</v>
      </c>
      <c r="AA402">
        <v>0.92</v>
      </c>
      <c r="AB402">
        <f t="shared" si="51"/>
        <v>5</v>
      </c>
      <c r="AC402">
        <f t="shared" si="52"/>
        <v>4.68</v>
      </c>
      <c r="AD402" t="str">
        <f t="shared" si="53"/>
        <v>⭐⭐⭐⭐⭐</v>
      </c>
      <c r="AE402" t="str">
        <f t="shared" si="54"/>
        <v>Maintain current resource allocation</v>
      </c>
      <c r="AF402" t="str">
        <f t="shared" si="55"/>
        <v>Best for urgent/high priority orders</v>
      </c>
    </row>
    <row r="403" spans="1:32" ht="24" customHeight="1">
      <c r="A403" t="s">
        <v>858</v>
      </c>
      <c r="B403" t="s">
        <v>33</v>
      </c>
      <c r="C403" t="s">
        <v>34</v>
      </c>
      <c r="D403" t="s">
        <v>35</v>
      </c>
      <c r="E403" t="s">
        <v>859</v>
      </c>
      <c r="F403" t="s">
        <v>57</v>
      </c>
      <c r="G403">
        <v>6435</v>
      </c>
      <c r="H403">
        <v>45702</v>
      </c>
      <c r="I403">
        <v>45730</v>
      </c>
      <c r="J403">
        <v>18</v>
      </c>
      <c r="K403">
        <v>26</v>
      </c>
      <c r="L403">
        <f t="shared" si="48"/>
        <v>8</v>
      </c>
      <c r="M403" t="str">
        <f t="shared" si="49"/>
        <v>Delayed</v>
      </c>
      <c r="N403">
        <v>12</v>
      </c>
      <c r="O403">
        <v>9</v>
      </c>
      <c r="P403">
        <f t="shared" si="50"/>
        <v>0.75</v>
      </c>
      <c r="Q403">
        <v>47</v>
      </c>
      <c r="R403">
        <v>247.5</v>
      </c>
      <c r="S403">
        <v>10435</v>
      </c>
      <c r="T403" t="s">
        <v>38</v>
      </c>
      <c r="U403">
        <v>1</v>
      </c>
      <c r="V403">
        <v>13</v>
      </c>
      <c r="W403">
        <v>3</v>
      </c>
      <c r="X403">
        <v>3</v>
      </c>
      <c r="Y403">
        <v>3.04</v>
      </c>
      <c r="Z403">
        <v>4.2</v>
      </c>
      <c r="AA403">
        <v>0.83</v>
      </c>
      <c r="AB403">
        <f t="shared" si="51"/>
        <v>5</v>
      </c>
      <c r="AC403">
        <f t="shared" si="52"/>
        <v>4.18</v>
      </c>
      <c r="AD403" t="str">
        <f t="shared" si="53"/>
        <v>⭐⭐⭐⭐</v>
      </c>
      <c r="AE403" t="str">
        <f t="shared" si="54"/>
        <v>Reduce risk days and add supervisor monitoring</v>
      </c>
      <c r="AF403" t="str">
        <f t="shared" si="55"/>
        <v>Recommended for medium-high orders</v>
      </c>
    </row>
    <row r="404" spans="1:32" ht="24" customHeight="1">
      <c r="A404" t="s">
        <v>860</v>
      </c>
      <c r="B404" t="s">
        <v>61</v>
      </c>
      <c r="C404" t="s">
        <v>62</v>
      </c>
      <c r="D404" t="s">
        <v>63</v>
      </c>
      <c r="E404" t="s">
        <v>861</v>
      </c>
      <c r="F404" t="s">
        <v>67</v>
      </c>
      <c r="G404">
        <v>53824</v>
      </c>
      <c r="H404">
        <v>45879</v>
      </c>
      <c r="I404">
        <v>45942</v>
      </c>
      <c r="J404">
        <v>55</v>
      </c>
      <c r="K404">
        <v>60</v>
      </c>
      <c r="L404">
        <f t="shared" si="48"/>
        <v>5</v>
      </c>
      <c r="M404" t="str">
        <f t="shared" si="49"/>
        <v>Delayed</v>
      </c>
      <c r="N404">
        <v>12</v>
      </c>
      <c r="O404">
        <v>8</v>
      </c>
      <c r="P404">
        <f t="shared" si="50"/>
        <v>0.66666666666666663</v>
      </c>
      <c r="Q404">
        <v>48</v>
      </c>
      <c r="R404">
        <v>897.1</v>
      </c>
      <c r="S404">
        <v>56824</v>
      </c>
      <c r="T404" t="s">
        <v>38</v>
      </c>
      <c r="U404">
        <v>0</v>
      </c>
      <c r="V404">
        <v>15</v>
      </c>
      <c r="W404">
        <v>2</v>
      </c>
      <c r="X404">
        <v>5</v>
      </c>
      <c r="Y404">
        <v>3.19</v>
      </c>
      <c r="Z404">
        <v>4</v>
      </c>
      <c r="AA404">
        <v>0.8</v>
      </c>
      <c r="AB404">
        <f t="shared" si="51"/>
        <v>5</v>
      </c>
      <c r="AC404">
        <f t="shared" si="52"/>
        <v>4.0199999999999996</v>
      </c>
      <c r="AD404" t="str">
        <f t="shared" si="53"/>
        <v>⭐⭐⭐⭐</v>
      </c>
      <c r="AE404" t="str">
        <f t="shared" si="54"/>
        <v>Reduce risk days and add supervisor monitoring</v>
      </c>
      <c r="AF404" t="str">
        <f t="shared" si="55"/>
        <v>Recommended for medium-high orders</v>
      </c>
    </row>
    <row r="405" spans="1:32" ht="24" customHeight="1">
      <c r="A405" t="s">
        <v>862</v>
      </c>
      <c r="B405" t="s">
        <v>61</v>
      </c>
      <c r="C405" t="s">
        <v>62</v>
      </c>
      <c r="D405" t="s">
        <v>63</v>
      </c>
      <c r="E405" t="s">
        <v>863</v>
      </c>
      <c r="F405" t="s">
        <v>44</v>
      </c>
      <c r="G405">
        <v>17974</v>
      </c>
      <c r="H405">
        <v>45874</v>
      </c>
      <c r="I405">
        <v>45915</v>
      </c>
      <c r="J405">
        <v>36</v>
      </c>
      <c r="K405">
        <v>37</v>
      </c>
      <c r="L405">
        <f t="shared" si="48"/>
        <v>1</v>
      </c>
      <c r="M405" t="str">
        <f t="shared" si="49"/>
        <v>Delayed</v>
      </c>
      <c r="N405">
        <v>16</v>
      </c>
      <c r="O405">
        <v>11</v>
      </c>
      <c r="P405">
        <f t="shared" si="50"/>
        <v>0.6875</v>
      </c>
      <c r="Q405">
        <v>31</v>
      </c>
      <c r="R405">
        <v>485.8</v>
      </c>
      <c r="S405">
        <v>21974</v>
      </c>
      <c r="T405" t="s">
        <v>45</v>
      </c>
      <c r="U405">
        <v>0</v>
      </c>
      <c r="V405">
        <v>8</v>
      </c>
      <c r="W405">
        <v>1</v>
      </c>
      <c r="X405">
        <v>1</v>
      </c>
      <c r="Y405">
        <v>2.5499999999999998</v>
      </c>
      <c r="Z405">
        <v>4</v>
      </c>
      <c r="AA405">
        <v>0.8</v>
      </c>
      <c r="AB405">
        <f t="shared" si="51"/>
        <v>5</v>
      </c>
      <c r="AC405">
        <f t="shared" si="52"/>
        <v>4.04</v>
      </c>
      <c r="AD405" t="str">
        <f t="shared" si="53"/>
        <v>⭐⭐⭐⭐</v>
      </c>
      <c r="AE405" t="str">
        <f t="shared" si="54"/>
        <v>Increase daily output monitoring</v>
      </c>
      <c r="AF405" t="str">
        <f t="shared" si="55"/>
        <v>Recommended for medium-high orders</v>
      </c>
    </row>
    <row r="406" spans="1:32" ht="24" customHeight="1">
      <c r="A406" t="s">
        <v>864</v>
      </c>
      <c r="B406" t="s">
        <v>53</v>
      </c>
      <c r="C406" t="s">
        <v>54</v>
      </c>
      <c r="D406" t="s">
        <v>55</v>
      </c>
      <c r="E406" t="s">
        <v>865</v>
      </c>
      <c r="F406" t="s">
        <v>37</v>
      </c>
      <c r="G406">
        <v>23668</v>
      </c>
      <c r="H406">
        <v>45831</v>
      </c>
      <c r="I406">
        <v>45874</v>
      </c>
      <c r="J406">
        <v>39</v>
      </c>
      <c r="K406">
        <v>39</v>
      </c>
      <c r="L406">
        <f t="shared" si="48"/>
        <v>0</v>
      </c>
      <c r="M406" t="str">
        <f t="shared" si="49"/>
        <v>On Time</v>
      </c>
      <c r="N406">
        <v>17</v>
      </c>
      <c r="O406">
        <v>14</v>
      </c>
      <c r="P406">
        <f t="shared" si="50"/>
        <v>0.82352941176470584</v>
      </c>
      <c r="Q406">
        <v>59</v>
      </c>
      <c r="R406">
        <v>606.9</v>
      </c>
      <c r="S406">
        <v>25668</v>
      </c>
      <c r="T406" t="s">
        <v>38</v>
      </c>
      <c r="U406">
        <v>3</v>
      </c>
      <c r="V406">
        <v>5</v>
      </c>
      <c r="W406">
        <v>0</v>
      </c>
      <c r="X406">
        <v>1</v>
      </c>
      <c r="Y406">
        <v>3.09</v>
      </c>
      <c r="Z406">
        <v>4.5</v>
      </c>
      <c r="AA406">
        <v>0.88</v>
      </c>
      <c r="AB406">
        <f t="shared" si="51"/>
        <v>5</v>
      </c>
      <c r="AC406">
        <f t="shared" si="52"/>
        <v>4.5</v>
      </c>
      <c r="AD406" t="str">
        <f t="shared" si="53"/>
        <v>⭐⭐⭐⭐⭐</v>
      </c>
      <c r="AE406" t="str">
        <f t="shared" si="54"/>
        <v>Suitable for urgent style handling</v>
      </c>
      <c r="AF406" t="str">
        <f t="shared" si="55"/>
        <v>Best for urgent/high priority orders</v>
      </c>
    </row>
    <row r="407" spans="1:32" ht="24" customHeight="1">
      <c r="A407" t="s">
        <v>866</v>
      </c>
      <c r="B407" t="s">
        <v>61</v>
      </c>
      <c r="C407" t="s">
        <v>62</v>
      </c>
      <c r="D407" t="s">
        <v>63</v>
      </c>
      <c r="E407" t="s">
        <v>867</v>
      </c>
      <c r="F407" t="s">
        <v>57</v>
      </c>
      <c r="G407">
        <v>19469</v>
      </c>
      <c r="H407">
        <v>45802</v>
      </c>
      <c r="I407">
        <v>45846</v>
      </c>
      <c r="J407">
        <v>33</v>
      </c>
      <c r="K407">
        <v>39</v>
      </c>
      <c r="L407">
        <f t="shared" si="48"/>
        <v>6</v>
      </c>
      <c r="M407" t="str">
        <f t="shared" si="49"/>
        <v>Delayed</v>
      </c>
      <c r="N407">
        <v>14</v>
      </c>
      <c r="O407">
        <v>10</v>
      </c>
      <c r="P407">
        <f t="shared" si="50"/>
        <v>0.7142857142857143</v>
      </c>
      <c r="Q407">
        <v>35</v>
      </c>
      <c r="R407">
        <v>499.2</v>
      </c>
      <c r="S407">
        <v>23469</v>
      </c>
      <c r="T407" t="s">
        <v>45</v>
      </c>
      <c r="U407">
        <v>1</v>
      </c>
      <c r="V407">
        <v>9</v>
      </c>
      <c r="W407">
        <v>2</v>
      </c>
      <c r="X407">
        <v>4</v>
      </c>
      <c r="Y407">
        <v>3.06</v>
      </c>
      <c r="Z407">
        <v>4</v>
      </c>
      <c r="AA407">
        <v>0.8</v>
      </c>
      <c r="AB407">
        <f t="shared" si="51"/>
        <v>5</v>
      </c>
      <c r="AC407">
        <f t="shared" si="52"/>
        <v>4.0599999999999996</v>
      </c>
      <c r="AD407" t="str">
        <f t="shared" si="53"/>
        <v>⭐⭐⭐⭐</v>
      </c>
      <c r="AE407" t="str">
        <f t="shared" si="54"/>
        <v>Reduce risk days and add supervisor monitoring</v>
      </c>
      <c r="AF407" t="str">
        <f t="shared" si="55"/>
        <v>Recommended for medium-high orders</v>
      </c>
    </row>
    <row r="408" spans="1:32" ht="24" customHeight="1">
      <c r="A408" t="s">
        <v>868</v>
      </c>
      <c r="B408" t="s">
        <v>61</v>
      </c>
      <c r="C408" t="s">
        <v>62</v>
      </c>
      <c r="D408" t="s">
        <v>63</v>
      </c>
      <c r="E408" t="s">
        <v>869</v>
      </c>
      <c r="F408" t="s">
        <v>57</v>
      </c>
      <c r="G408">
        <v>7839</v>
      </c>
      <c r="H408">
        <v>45915</v>
      </c>
      <c r="I408">
        <v>45938</v>
      </c>
      <c r="J408">
        <v>19</v>
      </c>
      <c r="K408">
        <v>23</v>
      </c>
      <c r="L408">
        <f t="shared" si="48"/>
        <v>4</v>
      </c>
      <c r="M408" t="str">
        <f t="shared" si="49"/>
        <v>Delayed</v>
      </c>
      <c r="N408">
        <v>9</v>
      </c>
      <c r="O408">
        <v>7</v>
      </c>
      <c r="P408">
        <f t="shared" si="50"/>
        <v>0.77777777777777779</v>
      </c>
      <c r="Q408">
        <v>41</v>
      </c>
      <c r="R408">
        <v>340.8</v>
      </c>
      <c r="S408">
        <v>9839</v>
      </c>
      <c r="T408" t="s">
        <v>38</v>
      </c>
      <c r="U408">
        <v>2</v>
      </c>
      <c r="V408">
        <v>5</v>
      </c>
      <c r="W408">
        <v>3</v>
      </c>
      <c r="X408">
        <v>2</v>
      </c>
      <c r="Y408">
        <v>3.18</v>
      </c>
      <c r="Z408">
        <v>4</v>
      </c>
      <c r="AA408">
        <v>0.8</v>
      </c>
      <c r="AB408">
        <f t="shared" si="51"/>
        <v>5</v>
      </c>
      <c r="AC408">
        <f t="shared" si="52"/>
        <v>4.0999999999999996</v>
      </c>
      <c r="AD408" t="str">
        <f t="shared" si="53"/>
        <v>⭐⭐⭐⭐</v>
      </c>
      <c r="AE408" t="str">
        <f t="shared" si="54"/>
        <v>Increase daily output monitoring</v>
      </c>
      <c r="AF408" t="str">
        <f t="shared" si="55"/>
        <v>Recommended for medium-high orders</v>
      </c>
    </row>
    <row r="409" spans="1:32" ht="24" customHeight="1">
      <c r="A409" t="s">
        <v>870</v>
      </c>
      <c r="B409" t="s">
        <v>61</v>
      </c>
      <c r="C409" t="s">
        <v>62</v>
      </c>
      <c r="D409" t="s">
        <v>63</v>
      </c>
      <c r="E409" t="s">
        <v>871</v>
      </c>
      <c r="F409" t="s">
        <v>44</v>
      </c>
      <c r="G409">
        <v>5734</v>
      </c>
      <c r="H409">
        <v>45711</v>
      </c>
      <c r="I409">
        <v>45747</v>
      </c>
      <c r="J409">
        <v>25</v>
      </c>
      <c r="K409">
        <v>31</v>
      </c>
      <c r="L409">
        <f t="shared" si="48"/>
        <v>6</v>
      </c>
      <c r="M409" t="str">
        <f t="shared" si="49"/>
        <v>Delayed</v>
      </c>
      <c r="N409">
        <v>13</v>
      </c>
      <c r="O409">
        <v>10</v>
      </c>
      <c r="P409">
        <f t="shared" si="50"/>
        <v>0.76923076923076927</v>
      </c>
      <c r="Q409">
        <v>46</v>
      </c>
      <c r="R409">
        <v>185</v>
      </c>
      <c r="S409">
        <v>9734</v>
      </c>
      <c r="T409" t="s">
        <v>38</v>
      </c>
      <c r="U409">
        <v>5</v>
      </c>
      <c r="V409">
        <v>7</v>
      </c>
      <c r="W409">
        <v>0</v>
      </c>
      <c r="X409">
        <v>3</v>
      </c>
      <c r="Y409">
        <v>2.5499999999999998</v>
      </c>
      <c r="Z409">
        <v>4</v>
      </c>
      <c r="AA409">
        <v>0.8</v>
      </c>
      <c r="AB409">
        <f t="shared" si="51"/>
        <v>5</v>
      </c>
      <c r="AC409">
        <f t="shared" si="52"/>
        <v>4.0999999999999996</v>
      </c>
      <c r="AD409" t="str">
        <f t="shared" si="53"/>
        <v>⭐⭐⭐⭐</v>
      </c>
      <c r="AE409" t="str">
        <f t="shared" si="54"/>
        <v>Increase daily output monitoring</v>
      </c>
      <c r="AF409" t="str">
        <f t="shared" si="55"/>
        <v>Recommended for medium-high orders</v>
      </c>
    </row>
    <row r="410" spans="1:32" ht="24" customHeight="1">
      <c r="A410" t="s">
        <v>872</v>
      </c>
      <c r="B410" t="s">
        <v>78</v>
      </c>
      <c r="C410" t="s">
        <v>79</v>
      </c>
      <c r="D410" t="s">
        <v>80</v>
      </c>
      <c r="E410" t="s">
        <v>873</v>
      </c>
      <c r="F410" t="s">
        <v>57</v>
      </c>
      <c r="G410">
        <v>18788</v>
      </c>
      <c r="H410">
        <v>45807</v>
      </c>
      <c r="I410">
        <v>45838</v>
      </c>
      <c r="J410">
        <v>27</v>
      </c>
      <c r="K410">
        <v>26</v>
      </c>
      <c r="L410">
        <f t="shared" si="48"/>
        <v>-1</v>
      </c>
      <c r="M410" t="str">
        <f t="shared" si="49"/>
        <v>Early</v>
      </c>
      <c r="N410">
        <v>15</v>
      </c>
      <c r="O410">
        <v>13</v>
      </c>
      <c r="P410">
        <f t="shared" si="50"/>
        <v>0.8666666666666667</v>
      </c>
      <c r="Q410">
        <v>55</v>
      </c>
      <c r="R410">
        <v>722.6</v>
      </c>
      <c r="S410">
        <v>18788</v>
      </c>
      <c r="T410" t="s">
        <v>45</v>
      </c>
      <c r="U410">
        <v>1</v>
      </c>
      <c r="V410">
        <v>3</v>
      </c>
      <c r="W410">
        <v>0</v>
      </c>
      <c r="X410">
        <v>2</v>
      </c>
      <c r="Y410">
        <v>3.12</v>
      </c>
      <c r="Z410">
        <v>4.8</v>
      </c>
      <c r="AA410">
        <v>0.92</v>
      </c>
      <c r="AB410">
        <f t="shared" si="51"/>
        <v>5</v>
      </c>
      <c r="AC410">
        <f t="shared" si="52"/>
        <v>4.71</v>
      </c>
      <c r="AD410" t="str">
        <f t="shared" si="53"/>
        <v>⭐⭐⭐⭐⭐</v>
      </c>
      <c r="AE410" t="str">
        <f t="shared" si="54"/>
        <v>Maintain current resource allocation</v>
      </c>
      <c r="AF410" t="str">
        <f t="shared" si="55"/>
        <v>Best for urgent/high priority orders</v>
      </c>
    </row>
    <row r="411" spans="1:32" ht="24" customHeight="1">
      <c r="A411" t="s">
        <v>874</v>
      </c>
      <c r="B411" t="s">
        <v>40</v>
      </c>
      <c r="C411" t="s">
        <v>41</v>
      </c>
      <c r="D411" t="s">
        <v>42</v>
      </c>
      <c r="E411" t="s">
        <v>875</v>
      </c>
      <c r="F411" t="s">
        <v>57</v>
      </c>
      <c r="G411">
        <v>7527</v>
      </c>
      <c r="H411">
        <v>45916</v>
      </c>
      <c r="I411">
        <v>45947</v>
      </c>
      <c r="J411">
        <v>26</v>
      </c>
      <c r="K411">
        <v>30</v>
      </c>
      <c r="L411">
        <f t="shared" si="48"/>
        <v>4</v>
      </c>
      <c r="M411" t="str">
        <f t="shared" si="49"/>
        <v>Delayed</v>
      </c>
      <c r="N411">
        <v>11</v>
      </c>
      <c r="O411">
        <v>8</v>
      </c>
      <c r="P411">
        <f t="shared" si="50"/>
        <v>0.72727272727272729</v>
      </c>
      <c r="Q411">
        <v>53</v>
      </c>
      <c r="R411">
        <v>250.9</v>
      </c>
      <c r="S411">
        <v>9527</v>
      </c>
      <c r="T411" t="s">
        <v>45</v>
      </c>
      <c r="U411">
        <v>2</v>
      </c>
      <c r="V411">
        <v>4</v>
      </c>
      <c r="W411">
        <v>2</v>
      </c>
      <c r="X411">
        <v>1</v>
      </c>
      <c r="Y411">
        <v>4.29</v>
      </c>
      <c r="Z411">
        <v>4.3</v>
      </c>
      <c r="AA411">
        <v>0.85</v>
      </c>
      <c r="AB411">
        <f t="shared" si="51"/>
        <v>5</v>
      </c>
      <c r="AC411">
        <f t="shared" si="52"/>
        <v>4.22</v>
      </c>
      <c r="AD411" t="str">
        <f t="shared" si="53"/>
        <v>⭐⭐⭐⭐</v>
      </c>
      <c r="AE411" t="str">
        <f t="shared" si="54"/>
        <v>Increase daily output monitoring</v>
      </c>
      <c r="AF411" t="str">
        <f t="shared" si="55"/>
        <v>Recommended for medium-high orders</v>
      </c>
    </row>
    <row r="412" spans="1:32" ht="24" customHeight="1">
      <c r="A412" t="s">
        <v>876</v>
      </c>
      <c r="B412" t="s">
        <v>78</v>
      </c>
      <c r="C412" t="s">
        <v>79</v>
      </c>
      <c r="D412" t="s">
        <v>80</v>
      </c>
      <c r="E412" t="s">
        <v>877</v>
      </c>
      <c r="F412" t="s">
        <v>44</v>
      </c>
      <c r="G412">
        <v>13817</v>
      </c>
      <c r="H412">
        <v>45922</v>
      </c>
      <c r="I412">
        <v>45955</v>
      </c>
      <c r="J412">
        <v>31</v>
      </c>
      <c r="K412">
        <v>33</v>
      </c>
      <c r="L412">
        <f t="shared" si="48"/>
        <v>2</v>
      </c>
      <c r="M412" t="str">
        <f t="shared" si="49"/>
        <v>Delayed</v>
      </c>
      <c r="N412">
        <v>21</v>
      </c>
      <c r="O412">
        <v>19</v>
      </c>
      <c r="P412">
        <f t="shared" si="50"/>
        <v>0.90476190476190477</v>
      </c>
      <c r="Q412">
        <v>66</v>
      </c>
      <c r="R412">
        <v>418.7</v>
      </c>
      <c r="S412">
        <v>15817</v>
      </c>
      <c r="T412" t="s">
        <v>38</v>
      </c>
      <c r="U412">
        <v>0</v>
      </c>
      <c r="V412">
        <v>4</v>
      </c>
      <c r="W412">
        <v>0</v>
      </c>
      <c r="X412">
        <v>2</v>
      </c>
      <c r="Y412">
        <v>2.1800000000000002</v>
      </c>
      <c r="Z412">
        <v>4.8</v>
      </c>
      <c r="AA412">
        <v>0.92</v>
      </c>
      <c r="AB412">
        <f t="shared" si="51"/>
        <v>5</v>
      </c>
      <c r="AC412">
        <f t="shared" si="52"/>
        <v>4.59</v>
      </c>
      <c r="AD412" t="str">
        <f t="shared" si="53"/>
        <v>⭐⭐⭐⭐⭐</v>
      </c>
      <c r="AE412" t="str">
        <f t="shared" si="54"/>
        <v>Increase daily output monitoring</v>
      </c>
      <c r="AF412" t="str">
        <f t="shared" si="55"/>
        <v>Best for urgent/high priority orders</v>
      </c>
    </row>
    <row r="413" spans="1:32" ht="24" customHeight="1">
      <c r="A413" t="s">
        <v>878</v>
      </c>
      <c r="B413" t="s">
        <v>78</v>
      </c>
      <c r="C413" t="s">
        <v>79</v>
      </c>
      <c r="D413" t="s">
        <v>80</v>
      </c>
      <c r="E413" t="s">
        <v>879</v>
      </c>
      <c r="F413" t="s">
        <v>44</v>
      </c>
      <c r="G413">
        <v>7384</v>
      </c>
      <c r="H413">
        <v>45818</v>
      </c>
      <c r="I413">
        <v>45843</v>
      </c>
      <c r="J413">
        <v>22</v>
      </c>
      <c r="K413">
        <v>23</v>
      </c>
      <c r="L413">
        <f t="shared" si="48"/>
        <v>1</v>
      </c>
      <c r="M413" t="str">
        <f t="shared" si="49"/>
        <v>Delayed</v>
      </c>
      <c r="N413">
        <v>19</v>
      </c>
      <c r="O413">
        <v>16</v>
      </c>
      <c r="P413">
        <f t="shared" si="50"/>
        <v>0.84210526315789469</v>
      </c>
      <c r="Q413">
        <v>67</v>
      </c>
      <c r="R413">
        <v>321</v>
      </c>
      <c r="S413">
        <v>9384</v>
      </c>
      <c r="T413" t="s">
        <v>38</v>
      </c>
      <c r="U413">
        <v>5</v>
      </c>
      <c r="V413">
        <v>5</v>
      </c>
      <c r="W413">
        <v>0</v>
      </c>
      <c r="X413">
        <v>0</v>
      </c>
      <c r="Y413">
        <v>2.81</v>
      </c>
      <c r="Z413">
        <v>4.8</v>
      </c>
      <c r="AA413">
        <v>0.92</v>
      </c>
      <c r="AB413">
        <f t="shared" si="51"/>
        <v>5</v>
      </c>
      <c r="AC413">
        <f t="shared" si="52"/>
        <v>4.54</v>
      </c>
      <c r="AD413" t="str">
        <f t="shared" si="53"/>
        <v>⭐⭐⭐⭐⭐</v>
      </c>
      <c r="AE413" t="str">
        <f t="shared" si="54"/>
        <v>Increase daily output monitoring</v>
      </c>
      <c r="AF413" t="str">
        <f t="shared" si="55"/>
        <v>Best for urgent/high priority orders</v>
      </c>
    </row>
    <row r="414" spans="1:32" ht="24" customHeight="1">
      <c r="A414" t="s">
        <v>880</v>
      </c>
      <c r="B414" t="s">
        <v>78</v>
      </c>
      <c r="C414" t="s">
        <v>79</v>
      </c>
      <c r="D414" t="s">
        <v>80</v>
      </c>
      <c r="E414" t="s">
        <v>881</v>
      </c>
      <c r="F414" t="s">
        <v>44</v>
      </c>
      <c r="G414">
        <v>6812</v>
      </c>
      <c r="H414">
        <v>45857</v>
      </c>
      <c r="I414">
        <v>45886</v>
      </c>
      <c r="J414">
        <v>27</v>
      </c>
      <c r="K414">
        <v>24</v>
      </c>
      <c r="L414">
        <f t="shared" si="48"/>
        <v>-3</v>
      </c>
      <c r="M414" t="str">
        <f t="shared" si="49"/>
        <v>Early</v>
      </c>
      <c r="N414">
        <v>22</v>
      </c>
      <c r="O414">
        <v>19</v>
      </c>
      <c r="P414">
        <f t="shared" si="50"/>
        <v>0.86363636363636365</v>
      </c>
      <c r="Q414">
        <v>62</v>
      </c>
      <c r="R414">
        <v>283.8</v>
      </c>
      <c r="S414">
        <v>7812</v>
      </c>
      <c r="T414" t="s">
        <v>45</v>
      </c>
      <c r="U414">
        <v>2</v>
      </c>
      <c r="V414">
        <v>0</v>
      </c>
      <c r="W414">
        <v>0</v>
      </c>
      <c r="X414">
        <v>0</v>
      </c>
      <c r="Y414">
        <v>3.38</v>
      </c>
      <c r="Z414">
        <v>4.8</v>
      </c>
      <c r="AA414">
        <v>0.92</v>
      </c>
      <c r="AB414">
        <f t="shared" si="51"/>
        <v>5</v>
      </c>
      <c r="AC414">
        <f t="shared" si="52"/>
        <v>4.71</v>
      </c>
      <c r="AD414" t="str">
        <f t="shared" si="53"/>
        <v>⭐⭐⭐⭐⭐</v>
      </c>
      <c r="AE414" t="str">
        <f t="shared" si="54"/>
        <v>Maintain current resource allocation</v>
      </c>
      <c r="AF414" t="str">
        <f t="shared" si="55"/>
        <v>Best for urgent/high priority orders</v>
      </c>
    </row>
    <row r="415" spans="1:32" ht="24" customHeight="1">
      <c r="A415" t="s">
        <v>882</v>
      </c>
      <c r="B415" t="s">
        <v>33</v>
      </c>
      <c r="C415" t="s">
        <v>34</v>
      </c>
      <c r="D415" t="s">
        <v>35</v>
      </c>
      <c r="E415" t="s">
        <v>883</v>
      </c>
      <c r="F415" t="s">
        <v>67</v>
      </c>
      <c r="G415">
        <v>57720</v>
      </c>
      <c r="H415">
        <v>45714</v>
      </c>
      <c r="I415">
        <v>45788</v>
      </c>
      <c r="J415">
        <v>64</v>
      </c>
      <c r="K415">
        <v>69</v>
      </c>
      <c r="L415">
        <f t="shared" si="48"/>
        <v>5</v>
      </c>
      <c r="M415" t="str">
        <f t="shared" si="49"/>
        <v>Delayed</v>
      </c>
      <c r="N415">
        <v>14</v>
      </c>
      <c r="O415">
        <v>10</v>
      </c>
      <c r="P415">
        <f t="shared" si="50"/>
        <v>0.7142857142857143</v>
      </c>
      <c r="Q415">
        <v>43</v>
      </c>
      <c r="R415">
        <v>836.5</v>
      </c>
      <c r="S415">
        <v>60720</v>
      </c>
      <c r="T415" t="s">
        <v>38</v>
      </c>
      <c r="U415">
        <v>4</v>
      </c>
      <c r="V415">
        <v>10</v>
      </c>
      <c r="W415">
        <v>0</v>
      </c>
      <c r="X415">
        <v>2</v>
      </c>
      <c r="Y415">
        <v>3.29</v>
      </c>
      <c r="Z415">
        <v>4.2</v>
      </c>
      <c r="AA415">
        <v>0.83</v>
      </c>
      <c r="AB415">
        <f t="shared" si="51"/>
        <v>5</v>
      </c>
      <c r="AC415">
        <f t="shared" si="52"/>
        <v>4.1500000000000004</v>
      </c>
      <c r="AD415" t="str">
        <f t="shared" si="53"/>
        <v>⭐⭐⭐⭐</v>
      </c>
      <c r="AE415" t="str">
        <f t="shared" si="54"/>
        <v>Reduce risk days and add supervisor monitoring</v>
      </c>
      <c r="AF415" t="str">
        <f t="shared" si="55"/>
        <v>Recommended for medium-high orders</v>
      </c>
    </row>
    <row r="416" spans="1:32" ht="24" customHeight="1">
      <c r="A416" t="s">
        <v>884</v>
      </c>
      <c r="B416" t="s">
        <v>78</v>
      </c>
      <c r="C416" t="s">
        <v>79</v>
      </c>
      <c r="D416" t="s">
        <v>80</v>
      </c>
      <c r="E416" t="s">
        <v>885</v>
      </c>
      <c r="F416" t="s">
        <v>44</v>
      </c>
      <c r="G416">
        <v>18629</v>
      </c>
      <c r="H416">
        <v>45931</v>
      </c>
      <c r="I416">
        <v>45976</v>
      </c>
      <c r="J416">
        <v>35</v>
      </c>
      <c r="K416">
        <v>41</v>
      </c>
      <c r="L416">
        <f t="shared" si="48"/>
        <v>6</v>
      </c>
      <c r="M416" t="str">
        <f t="shared" si="49"/>
        <v>Delayed</v>
      </c>
      <c r="N416">
        <v>18</v>
      </c>
      <c r="O416">
        <v>16</v>
      </c>
      <c r="P416">
        <f t="shared" si="50"/>
        <v>0.88888888888888884</v>
      </c>
      <c r="Q416">
        <v>68</v>
      </c>
      <c r="R416">
        <v>454.4</v>
      </c>
      <c r="S416">
        <v>22629</v>
      </c>
      <c r="T416" t="s">
        <v>38</v>
      </c>
      <c r="U416">
        <v>5</v>
      </c>
      <c r="V416">
        <v>7</v>
      </c>
      <c r="W416">
        <v>0</v>
      </c>
      <c r="X416">
        <v>0</v>
      </c>
      <c r="Y416">
        <v>3.4</v>
      </c>
      <c r="Z416">
        <v>4.8</v>
      </c>
      <c r="AA416">
        <v>0.92</v>
      </c>
      <c r="AB416">
        <f t="shared" si="51"/>
        <v>5</v>
      </c>
      <c r="AC416">
        <f t="shared" si="52"/>
        <v>4.58</v>
      </c>
      <c r="AD416" t="str">
        <f t="shared" si="53"/>
        <v>⭐⭐⭐⭐⭐</v>
      </c>
      <c r="AE416" t="str">
        <f t="shared" si="54"/>
        <v>Increase daily output monitoring</v>
      </c>
      <c r="AF416" t="str">
        <f t="shared" si="55"/>
        <v>Best for urgent/high priority orders</v>
      </c>
    </row>
    <row r="417" spans="1:32" ht="24" customHeight="1">
      <c r="A417" t="s">
        <v>886</v>
      </c>
      <c r="B417" t="s">
        <v>53</v>
      </c>
      <c r="C417" t="s">
        <v>54</v>
      </c>
      <c r="D417" t="s">
        <v>55</v>
      </c>
      <c r="E417" t="s">
        <v>887</v>
      </c>
      <c r="F417" t="s">
        <v>44</v>
      </c>
      <c r="G417">
        <v>6586</v>
      </c>
      <c r="H417">
        <v>45699</v>
      </c>
      <c r="I417">
        <v>45725</v>
      </c>
      <c r="J417">
        <v>27</v>
      </c>
      <c r="K417">
        <v>26</v>
      </c>
      <c r="L417">
        <f t="shared" si="48"/>
        <v>-1</v>
      </c>
      <c r="M417" t="str">
        <f t="shared" si="49"/>
        <v>Early</v>
      </c>
      <c r="N417">
        <v>18</v>
      </c>
      <c r="O417">
        <v>14</v>
      </c>
      <c r="P417">
        <f t="shared" si="50"/>
        <v>0.77777777777777779</v>
      </c>
      <c r="Q417">
        <v>48</v>
      </c>
      <c r="R417">
        <v>253.3</v>
      </c>
      <c r="S417">
        <v>9586</v>
      </c>
      <c r="T417" t="s">
        <v>45</v>
      </c>
      <c r="U417">
        <v>3</v>
      </c>
      <c r="V417">
        <v>1</v>
      </c>
      <c r="W417">
        <v>2</v>
      </c>
      <c r="X417">
        <v>1</v>
      </c>
      <c r="Y417">
        <v>3.02</v>
      </c>
      <c r="Z417">
        <v>4.5</v>
      </c>
      <c r="AA417">
        <v>0.88</v>
      </c>
      <c r="AB417">
        <f t="shared" si="51"/>
        <v>5</v>
      </c>
      <c r="AC417">
        <f t="shared" si="52"/>
        <v>4.5</v>
      </c>
      <c r="AD417" t="str">
        <f t="shared" si="53"/>
        <v>⭐⭐⭐⭐⭐</v>
      </c>
      <c r="AE417" t="str">
        <f t="shared" si="54"/>
        <v>Maintain current resource allocation</v>
      </c>
      <c r="AF417" t="str">
        <f t="shared" si="55"/>
        <v>Best for urgent/high priority orders</v>
      </c>
    </row>
    <row r="418" spans="1:32" ht="24" customHeight="1">
      <c r="A418" t="s">
        <v>888</v>
      </c>
      <c r="B418" t="s">
        <v>78</v>
      </c>
      <c r="C418" t="s">
        <v>79</v>
      </c>
      <c r="D418" t="s">
        <v>80</v>
      </c>
      <c r="E418" t="s">
        <v>889</v>
      </c>
      <c r="F418" t="s">
        <v>67</v>
      </c>
      <c r="G418">
        <v>47038</v>
      </c>
      <c r="H418">
        <v>45906</v>
      </c>
      <c r="I418">
        <v>45977</v>
      </c>
      <c r="J418">
        <v>69</v>
      </c>
      <c r="K418">
        <v>66</v>
      </c>
      <c r="L418">
        <f t="shared" si="48"/>
        <v>-3</v>
      </c>
      <c r="M418" t="str">
        <f t="shared" si="49"/>
        <v>Early</v>
      </c>
      <c r="N418">
        <v>21</v>
      </c>
      <c r="O418">
        <v>20</v>
      </c>
      <c r="P418">
        <f t="shared" si="50"/>
        <v>0.95238095238095233</v>
      </c>
      <c r="Q418">
        <v>65</v>
      </c>
      <c r="R418">
        <v>712.7</v>
      </c>
      <c r="S418">
        <v>50038</v>
      </c>
      <c r="T418" t="s">
        <v>38</v>
      </c>
      <c r="U418">
        <v>6</v>
      </c>
      <c r="V418">
        <v>5</v>
      </c>
      <c r="W418">
        <v>0</v>
      </c>
      <c r="X418">
        <v>3</v>
      </c>
      <c r="Y418">
        <v>3.18</v>
      </c>
      <c r="Z418">
        <v>4.8</v>
      </c>
      <c r="AA418">
        <v>0.92</v>
      </c>
      <c r="AB418">
        <f t="shared" si="51"/>
        <v>5</v>
      </c>
      <c r="AC418">
        <f t="shared" si="52"/>
        <v>4.7699999999999996</v>
      </c>
      <c r="AD418" t="str">
        <f t="shared" si="53"/>
        <v>⭐⭐⭐⭐⭐</v>
      </c>
      <c r="AE418" t="str">
        <f t="shared" si="54"/>
        <v>Suitable for urgent style handling</v>
      </c>
      <c r="AF418" t="str">
        <f t="shared" si="55"/>
        <v>Best for urgent/high priority orders</v>
      </c>
    </row>
    <row r="419" spans="1:32" ht="24" customHeight="1">
      <c r="A419" t="s">
        <v>890</v>
      </c>
      <c r="B419" t="s">
        <v>40</v>
      </c>
      <c r="C419" t="s">
        <v>41</v>
      </c>
      <c r="D419" t="s">
        <v>42</v>
      </c>
      <c r="E419" t="s">
        <v>891</v>
      </c>
      <c r="F419" t="s">
        <v>37</v>
      </c>
      <c r="G419">
        <v>16967</v>
      </c>
      <c r="H419">
        <v>45678</v>
      </c>
      <c r="I419">
        <v>45717</v>
      </c>
      <c r="J419">
        <v>38</v>
      </c>
      <c r="K419">
        <v>35</v>
      </c>
      <c r="L419">
        <f t="shared" si="48"/>
        <v>-3</v>
      </c>
      <c r="M419" t="str">
        <f t="shared" si="49"/>
        <v>Early</v>
      </c>
      <c r="N419">
        <v>17</v>
      </c>
      <c r="O419">
        <v>12</v>
      </c>
      <c r="P419">
        <f t="shared" si="50"/>
        <v>0.70588235294117652</v>
      </c>
      <c r="Q419">
        <v>49</v>
      </c>
      <c r="R419">
        <v>484.8</v>
      </c>
      <c r="S419">
        <v>20967</v>
      </c>
      <c r="T419" t="s">
        <v>45</v>
      </c>
      <c r="U419">
        <v>2</v>
      </c>
      <c r="V419">
        <v>8</v>
      </c>
      <c r="W419">
        <v>2</v>
      </c>
      <c r="X419">
        <v>0</v>
      </c>
      <c r="Y419">
        <v>3.96</v>
      </c>
      <c r="Z419">
        <v>4.3</v>
      </c>
      <c r="AA419">
        <v>0.85</v>
      </c>
      <c r="AB419">
        <f t="shared" si="51"/>
        <v>5</v>
      </c>
      <c r="AC419">
        <f t="shared" si="52"/>
        <v>4.3499999999999996</v>
      </c>
      <c r="AD419" t="str">
        <f t="shared" si="53"/>
        <v>⭐⭐⭐⭐</v>
      </c>
      <c r="AE419" t="str">
        <f t="shared" si="54"/>
        <v>Maintain current resource allocation</v>
      </c>
      <c r="AF419" t="str">
        <f t="shared" si="55"/>
        <v>Recommended for medium-high orders</v>
      </c>
    </row>
    <row r="420" spans="1:32" ht="24" customHeight="1">
      <c r="A420" t="s">
        <v>892</v>
      </c>
      <c r="B420" t="s">
        <v>78</v>
      </c>
      <c r="C420" t="s">
        <v>79</v>
      </c>
      <c r="D420" t="s">
        <v>80</v>
      </c>
      <c r="E420" t="s">
        <v>893</v>
      </c>
      <c r="F420" t="s">
        <v>44</v>
      </c>
      <c r="G420">
        <v>14270</v>
      </c>
      <c r="H420">
        <v>45692</v>
      </c>
      <c r="I420">
        <v>45722</v>
      </c>
      <c r="J420">
        <v>33</v>
      </c>
      <c r="K420">
        <v>30</v>
      </c>
      <c r="L420">
        <f t="shared" si="48"/>
        <v>-3</v>
      </c>
      <c r="M420" t="str">
        <f t="shared" si="49"/>
        <v>Early</v>
      </c>
      <c r="N420">
        <v>19</v>
      </c>
      <c r="O420">
        <v>17</v>
      </c>
      <c r="P420">
        <f t="shared" si="50"/>
        <v>0.89473684210526316</v>
      </c>
      <c r="Q420">
        <v>56</v>
      </c>
      <c r="R420">
        <v>475.7</v>
      </c>
      <c r="S420">
        <v>15270</v>
      </c>
      <c r="T420" t="s">
        <v>45</v>
      </c>
      <c r="U420">
        <v>3</v>
      </c>
      <c r="V420">
        <v>4</v>
      </c>
      <c r="W420">
        <v>1</v>
      </c>
      <c r="X420">
        <v>1</v>
      </c>
      <c r="Y420">
        <v>3.47</v>
      </c>
      <c r="Z420">
        <v>4.8</v>
      </c>
      <c r="AA420">
        <v>0.92</v>
      </c>
      <c r="AB420">
        <f t="shared" si="51"/>
        <v>5</v>
      </c>
      <c r="AC420">
        <f t="shared" si="52"/>
        <v>4.7300000000000004</v>
      </c>
      <c r="AD420" t="str">
        <f t="shared" si="53"/>
        <v>⭐⭐⭐⭐⭐</v>
      </c>
      <c r="AE420" t="str">
        <f t="shared" si="54"/>
        <v>Maintain current resource allocation</v>
      </c>
      <c r="AF420" t="str">
        <f t="shared" si="55"/>
        <v>Best for urgent/high priority orders</v>
      </c>
    </row>
    <row r="421" spans="1:32" ht="24" customHeight="1">
      <c r="A421" t="s">
        <v>894</v>
      </c>
      <c r="B421" t="s">
        <v>40</v>
      </c>
      <c r="C421" t="s">
        <v>41</v>
      </c>
      <c r="D421" t="s">
        <v>42</v>
      </c>
      <c r="E421" t="s">
        <v>895</v>
      </c>
      <c r="F421" t="s">
        <v>44</v>
      </c>
      <c r="G421">
        <v>13069</v>
      </c>
      <c r="H421">
        <v>45703</v>
      </c>
      <c r="I421">
        <v>45745</v>
      </c>
      <c r="J421">
        <v>36</v>
      </c>
      <c r="K421">
        <v>38</v>
      </c>
      <c r="L421">
        <f t="shared" si="48"/>
        <v>2</v>
      </c>
      <c r="M421" t="str">
        <f t="shared" si="49"/>
        <v>Delayed</v>
      </c>
      <c r="N421">
        <v>18</v>
      </c>
      <c r="O421">
        <v>15</v>
      </c>
      <c r="P421">
        <f t="shared" si="50"/>
        <v>0.83333333333333337</v>
      </c>
      <c r="Q421">
        <v>52</v>
      </c>
      <c r="R421">
        <v>343.9</v>
      </c>
      <c r="S421">
        <v>14069</v>
      </c>
      <c r="T421" t="s">
        <v>45</v>
      </c>
      <c r="U421">
        <v>2</v>
      </c>
      <c r="V421">
        <v>5</v>
      </c>
      <c r="W421">
        <v>2</v>
      </c>
      <c r="X421">
        <v>0</v>
      </c>
      <c r="Y421">
        <v>2.62</v>
      </c>
      <c r="Z421">
        <v>4.3</v>
      </c>
      <c r="AA421">
        <v>0.85</v>
      </c>
      <c r="AB421">
        <f t="shared" si="51"/>
        <v>5</v>
      </c>
      <c r="AC421">
        <f t="shared" si="52"/>
        <v>4.3</v>
      </c>
      <c r="AD421" t="str">
        <f t="shared" si="53"/>
        <v>⭐⭐⭐⭐</v>
      </c>
      <c r="AE421" t="str">
        <f t="shared" si="54"/>
        <v>Increase daily output monitoring</v>
      </c>
      <c r="AF421" t="str">
        <f t="shared" si="55"/>
        <v>Recommended for medium-high orders</v>
      </c>
    </row>
    <row r="422" spans="1:32" ht="24" customHeight="1">
      <c r="A422" t="s">
        <v>896</v>
      </c>
      <c r="B422" t="s">
        <v>33</v>
      </c>
      <c r="C422" t="s">
        <v>34</v>
      </c>
      <c r="D422" t="s">
        <v>35</v>
      </c>
      <c r="E422" t="s">
        <v>897</v>
      </c>
      <c r="F422" t="s">
        <v>57</v>
      </c>
      <c r="G422">
        <v>8814</v>
      </c>
      <c r="H422">
        <v>45944</v>
      </c>
      <c r="I422">
        <v>45973</v>
      </c>
      <c r="J422">
        <v>30</v>
      </c>
      <c r="K422">
        <v>29</v>
      </c>
      <c r="L422">
        <f t="shared" si="48"/>
        <v>-1</v>
      </c>
      <c r="M422" t="str">
        <f t="shared" si="49"/>
        <v>Early</v>
      </c>
      <c r="N422">
        <v>11</v>
      </c>
      <c r="O422">
        <v>9</v>
      </c>
      <c r="P422">
        <f t="shared" si="50"/>
        <v>0.81818181818181823</v>
      </c>
      <c r="Q422">
        <v>34</v>
      </c>
      <c r="R422">
        <v>303.89999999999998</v>
      </c>
      <c r="S422">
        <v>12814</v>
      </c>
      <c r="T422" t="s">
        <v>45</v>
      </c>
      <c r="U422">
        <v>2</v>
      </c>
      <c r="V422">
        <v>0</v>
      </c>
      <c r="W422">
        <v>2</v>
      </c>
      <c r="X422">
        <v>5</v>
      </c>
      <c r="Y422">
        <v>2.99</v>
      </c>
      <c r="Z422">
        <v>4.2</v>
      </c>
      <c r="AA422">
        <v>0.83</v>
      </c>
      <c r="AB422">
        <f t="shared" si="51"/>
        <v>5</v>
      </c>
      <c r="AC422">
        <f t="shared" si="52"/>
        <v>4.38</v>
      </c>
      <c r="AD422" t="str">
        <f t="shared" si="53"/>
        <v>⭐⭐⭐⭐</v>
      </c>
      <c r="AE422" t="str">
        <f t="shared" si="54"/>
        <v>Maintain current resource allocation</v>
      </c>
      <c r="AF422" t="str">
        <f t="shared" si="55"/>
        <v>Recommended for medium-high orders</v>
      </c>
    </row>
    <row r="423" spans="1:32" ht="24" customHeight="1">
      <c r="A423" t="s">
        <v>898</v>
      </c>
      <c r="B423" t="s">
        <v>78</v>
      </c>
      <c r="C423" t="s">
        <v>79</v>
      </c>
      <c r="D423" t="s">
        <v>80</v>
      </c>
      <c r="E423" t="s">
        <v>899</v>
      </c>
      <c r="F423" t="s">
        <v>37</v>
      </c>
      <c r="G423">
        <v>27096</v>
      </c>
      <c r="H423">
        <v>45701</v>
      </c>
      <c r="I423">
        <v>45747</v>
      </c>
      <c r="J423">
        <v>44</v>
      </c>
      <c r="K423">
        <v>42</v>
      </c>
      <c r="L423">
        <f t="shared" si="48"/>
        <v>-2</v>
      </c>
      <c r="M423" t="str">
        <f t="shared" si="49"/>
        <v>Early</v>
      </c>
      <c r="N423">
        <v>15</v>
      </c>
      <c r="O423">
        <v>12</v>
      </c>
      <c r="P423">
        <f t="shared" si="50"/>
        <v>0.8</v>
      </c>
      <c r="Q423">
        <v>56</v>
      </c>
      <c r="R423">
        <v>645.1</v>
      </c>
      <c r="S423">
        <v>28096</v>
      </c>
      <c r="T423" t="s">
        <v>45</v>
      </c>
      <c r="U423">
        <v>3</v>
      </c>
      <c r="V423">
        <v>2</v>
      </c>
      <c r="W423">
        <v>1</v>
      </c>
      <c r="X423">
        <v>1</v>
      </c>
      <c r="Y423">
        <v>2.44</v>
      </c>
      <c r="Z423">
        <v>4.8</v>
      </c>
      <c r="AA423">
        <v>0.92</v>
      </c>
      <c r="AB423">
        <f t="shared" si="51"/>
        <v>5</v>
      </c>
      <c r="AC423">
        <f t="shared" si="52"/>
        <v>4.66</v>
      </c>
      <c r="AD423" t="str">
        <f t="shared" si="53"/>
        <v>⭐⭐⭐⭐⭐</v>
      </c>
      <c r="AE423" t="str">
        <f t="shared" si="54"/>
        <v>Maintain current resource allocation</v>
      </c>
      <c r="AF423" t="str">
        <f t="shared" si="55"/>
        <v>Best for urgent/high priority orders</v>
      </c>
    </row>
    <row r="424" spans="1:32" ht="24" customHeight="1">
      <c r="A424" t="s">
        <v>900</v>
      </c>
      <c r="B424" t="s">
        <v>33</v>
      </c>
      <c r="C424" t="s">
        <v>34</v>
      </c>
      <c r="D424" t="s">
        <v>35</v>
      </c>
      <c r="E424" t="s">
        <v>901</v>
      </c>
      <c r="F424" t="s">
        <v>57</v>
      </c>
      <c r="G424">
        <v>13052</v>
      </c>
      <c r="H424">
        <v>45703</v>
      </c>
      <c r="I424">
        <v>45730</v>
      </c>
      <c r="J424">
        <v>24</v>
      </c>
      <c r="K424">
        <v>26</v>
      </c>
      <c r="L424">
        <f t="shared" si="48"/>
        <v>2</v>
      </c>
      <c r="M424" t="str">
        <f t="shared" si="49"/>
        <v>Delayed</v>
      </c>
      <c r="N424">
        <v>11</v>
      </c>
      <c r="O424">
        <v>8</v>
      </c>
      <c r="P424">
        <f t="shared" si="50"/>
        <v>0.72727272727272729</v>
      </c>
      <c r="Q424">
        <v>37</v>
      </c>
      <c r="R424">
        <v>502</v>
      </c>
      <c r="S424">
        <v>17052</v>
      </c>
      <c r="T424" t="s">
        <v>45</v>
      </c>
      <c r="U424">
        <v>1</v>
      </c>
      <c r="V424">
        <v>6</v>
      </c>
      <c r="W424">
        <v>3</v>
      </c>
      <c r="X424">
        <v>1</v>
      </c>
      <c r="Y424">
        <v>3.14</v>
      </c>
      <c r="Z424">
        <v>4.2</v>
      </c>
      <c r="AA424">
        <v>0.83</v>
      </c>
      <c r="AB424">
        <f t="shared" si="51"/>
        <v>5</v>
      </c>
      <c r="AC424">
        <f t="shared" si="52"/>
        <v>4.16</v>
      </c>
      <c r="AD424" t="str">
        <f t="shared" si="53"/>
        <v>⭐⭐⭐⭐</v>
      </c>
      <c r="AE424" t="str">
        <f t="shared" si="54"/>
        <v>Increase daily output monitoring</v>
      </c>
      <c r="AF424" t="str">
        <f t="shared" si="55"/>
        <v>Recommended for medium-high orders</v>
      </c>
    </row>
    <row r="425" spans="1:32" ht="24" customHeight="1">
      <c r="A425" t="s">
        <v>902</v>
      </c>
      <c r="B425" t="s">
        <v>53</v>
      </c>
      <c r="C425" t="s">
        <v>54</v>
      </c>
      <c r="D425" t="s">
        <v>55</v>
      </c>
      <c r="E425" t="s">
        <v>903</v>
      </c>
      <c r="F425" t="s">
        <v>57</v>
      </c>
      <c r="G425">
        <v>5965</v>
      </c>
      <c r="H425">
        <v>45719</v>
      </c>
      <c r="I425">
        <v>45745</v>
      </c>
      <c r="J425">
        <v>25</v>
      </c>
      <c r="K425">
        <v>26</v>
      </c>
      <c r="L425">
        <f t="shared" si="48"/>
        <v>1</v>
      </c>
      <c r="M425" t="str">
        <f t="shared" si="49"/>
        <v>Delayed</v>
      </c>
      <c r="N425">
        <v>15</v>
      </c>
      <c r="O425">
        <v>12</v>
      </c>
      <c r="P425">
        <f t="shared" si="50"/>
        <v>0.8</v>
      </c>
      <c r="Q425">
        <v>54</v>
      </c>
      <c r="R425">
        <v>229.4</v>
      </c>
      <c r="S425">
        <v>7965</v>
      </c>
      <c r="T425" t="s">
        <v>45</v>
      </c>
      <c r="U425">
        <v>3</v>
      </c>
      <c r="V425">
        <v>6</v>
      </c>
      <c r="W425">
        <v>3</v>
      </c>
      <c r="X425">
        <v>4</v>
      </c>
      <c r="Y425">
        <v>3.25</v>
      </c>
      <c r="Z425">
        <v>4.5</v>
      </c>
      <c r="AA425">
        <v>0.88</v>
      </c>
      <c r="AB425">
        <f t="shared" si="51"/>
        <v>5</v>
      </c>
      <c r="AC425">
        <f t="shared" si="52"/>
        <v>4.37</v>
      </c>
      <c r="AD425" t="str">
        <f t="shared" si="53"/>
        <v>⭐⭐⭐⭐</v>
      </c>
      <c r="AE425" t="str">
        <f t="shared" si="54"/>
        <v>Improve workforce allocation</v>
      </c>
      <c r="AF425" t="str">
        <f t="shared" si="55"/>
        <v>Recommended for medium-high orders</v>
      </c>
    </row>
    <row r="426" spans="1:32" ht="24" customHeight="1">
      <c r="A426" t="s">
        <v>904</v>
      </c>
      <c r="B426" t="s">
        <v>78</v>
      </c>
      <c r="C426" t="s">
        <v>79</v>
      </c>
      <c r="D426" t="s">
        <v>80</v>
      </c>
      <c r="E426" t="s">
        <v>905</v>
      </c>
      <c r="F426" t="s">
        <v>67</v>
      </c>
      <c r="G426">
        <v>56666</v>
      </c>
      <c r="H426">
        <v>45709</v>
      </c>
      <c r="I426">
        <v>45781</v>
      </c>
      <c r="J426">
        <v>71</v>
      </c>
      <c r="K426">
        <v>71</v>
      </c>
      <c r="L426">
        <f t="shared" si="48"/>
        <v>0</v>
      </c>
      <c r="M426" t="str">
        <f t="shared" si="49"/>
        <v>On Time</v>
      </c>
      <c r="N426">
        <v>22</v>
      </c>
      <c r="O426">
        <v>17</v>
      </c>
      <c r="P426">
        <f t="shared" si="50"/>
        <v>0.77272727272727271</v>
      </c>
      <c r="Q426">
        <v>57</v>
      </c>
      <c r="R426">
        <v>798.1</v>
      </c>
      <c r="S426">
        <v>56666</v>
      </c>
      <c r="T426" t="s">
        <v>45</v>
      </c>
      <c r="U426">
        <v>2</v>
      </c>
      <c r="V426">
        <v>3</v>
      </c>
      <c r="W426">
        <v>2</v>
      </c>
      <c r="X426">
        <v>0</v>
      </c>
      <c r="Y426">
        <v>2.34</v>
      </c>
      <c r="Z426">
        <v>4.8</v>
      </c>
      <c r="AA426">
        <v>0.92</v>
      </c>
      <c r="AB426">
        <f t="shared" si="51"/>
        <v>5</v>
      </c>
      <c r="AC426">
        <f t="shared" si="52"/>
        <v>4.5999999999999996</v>
      </c>
      <c r="AD426" t="str">
        <f t="shared" si="53"/>
        <v>⭐⭐⭐⭐⭐</v>
      </c>
      <c r="AE426" t="str">
        <f t="shared" si="54"/>
        <v>Maintain current resource allocation</v>
      </c>
      <c r="AF426" t="str">
        <f t="shared" si="55"/>
        <v>Best for urgent/high priority orders</v>
      </c>
    </row>
    <row r="427" spans="1:32" ht="24" customHeight="1">
      <c r="A427" t="s">
        <v>906</v>
      </c>
      <c r="B427" t="s">
        <v>61</v>
      </c>
      <c r="C427" t="s">
        <v>62</v>
      </c>
      <c r="D427" t="s">
        <v>63</v>
      </c>
      <c r="E427" t="s">
        <v>907</v>
      </c>
      <c r="F427" t="s">
        <v>67</v>
      </c>
      <c r="G427">
        <v>58620</v>
      </c>
      <c r="H427">
        <v>45679</v>
      </c>
      <c r="I427">
        <v>45750</v>
      </c>
      <c r="J427">
        <v>68</v>
      </c>
      <c r="K427">
        <v>71</v>
      </c>
      <c r="L427">
        <f t="shared" si="48"/>
        <v>3</v>
      </c>
      <c r="M427" t="str">
        <f t="shared" si="49"/>
        <v>Delayed</v>
      </c>
      <c r="N427">
        <v>11</v>
      </c>
      <c r="O427">
        <v>8</v>
      </c>
      <c r="P427">
        <f t="shared" si="50"/>
        <v>0.72727272727272729</v>
      </c>
      <c r="Q427">
        <v>47</v>
      </c>
      <c r="R427">
        <v>825.6</v>
      </c>
      <c r="S427">
        <v>61620</v>
      </c>
      <c r="T427" t="s">
        <v>45</v>
      </c>
      <c r="U427">
        <v>3</v>
      </c>
      <c r="V427">
        <v>5</v>
      </c>
      <c r="W427">
        <v>4</v>
      </c>
      <c r="X427">
        <v>1</v>
      </c>
      <c r="Y427">
        <v>3.06</v>
      </c>
      <c r="Z427">
        <v>4</v>
      </c>
      <c r="AA427">
        <v>0.8</v>
      </c>
      <c r="AB427">
        <f t="shared" si="51"/>
        <v>5</v>
      </c>
      <c r="AC427">
        <f t="shared" si="52"/>
        <v>4.07</v>
      </c>
      <c r="AD427" t="str">
        <f t="shared" si="53"/>
        <v>⭐⭐⭐⭐</v>
      </c>
      <c r="AE427" t="str">
        <f t="shared" si="54"/>
        <v>Increase machine maintenance support</v>
      </c>
      <c r="AF427" t="str">
        <f t="shared" si="55"/>
        <v>Recommended for medium-high orders</v>
      </c>
    </row>
    <row r="428" spans="1:32" ht="24" customHeight="1">
      <c r="A428" t="s">
        <v>908</v>
      </c>
      <c r="B428" t="s">
        <v>61</v>
      </c>
      <c r="C428" t="s">
        <v>62</v>
      </c>
      <c r="D428" t="s">
        <v>63</v>
      </c>
      <c r="E428" t="s">
        <v>909</v>
      </c>
      <c r="F428" t="s">
        <v>44</v>
      </c>
      <c r="G428">
        <v>2017</v>
      </c>
      <c r="H428">
        <v>45946</v>
      </c>
      <c r="I428">
        <v>45963</v>
      </c>
      <c r="J428">
        <v>16</v>
      </c>
      <c r="K428">
        <v>17</v>
      </c>
      <c r="L428">
        <f t="shared" si="48"/>
        <v>1</v>
      </c>
      <c r="M428" t="str">
        <f t="shared" si="49"/>
        <v>Delayed</v>
      </c>
      <c r="N428">
        <v>14</v>
      </c>
      <c r="O428">
        <v>11</v>
      </c>
      <c r="P428">
        <f t="shared" si="50"/>
        <v>0.7857142857142857</v>
      </c>
      <c r="Q428">
        <v>36</v>
      </c>
      <c r="R428">
        <v>118.6</v>
      </c>
      <c r="S428">
        <v>6017</v>
      </c>
      <c r="T428" t="s">
        <v>45</v>
      </c>
      <c r="U428">
        <v>2</v>
      </c>
      <c r="V428">
        <v>2</v>
      </c>
      <c r="W428">
        <v>3</v>
      </c>
      <c r="X428">
        <v>4</v>
      </c>
      <c r="Y428">
        <v>4.01</v>
      </c>
      <c r="Z428">
        <v>4</v>
      </c>
      <c r="AA428">
        <v>0.8</v>
      </c>
      <c r="AB428">
        <f t="shared" si="51"/>
        <v>5</v>
      </c>
      <c r="AC428">
        <f t="shared" si="52"/>
        <v>4.1100000000000003</v>
      </c>
      <c r="AD428" t="str">
        <f t="shared" si="53"/>
        <v>⭐⭐⭐⭐</v>
      </c>
      <c r="AE428" t="str">
        <f t="shared" si="54"/>
        <v>Improve workforce allocation</v>
      </c>
      <c r="AF428" t="str">
        <f t="shared" si="55"/>
        <v>Recommended for medium-high orders</v>
      </c>
    </row>
    <row r="429" spans="1:32" ht="24" customHeight="1">
      <c r="A429" t="s">
        <v>910</v>
      </c>
      <c r="B429" t="s">
        <v>53</v>
      </c>
      <c r="C429" t="s">
        <v>54</v>
      </c>
      <c r="D429" t="s">
        <v>55</v>
      </c>
      <c r="E429" t="s">
        <v>911</v>
      </c>
      <c r="F429" t="s">
        <v>57</v>
      </c>
      <c r="G429">
        <v>18606</v>
      </c>
      <c r="H429">
        <v>45797</v>
      </c>
      <c r="I429">
        <v>45828</v>
      </c>
      <c r="J429">
        <v>28</v>
      </c>
      <c r="K429">
        <v>30</v>
      </c>
      <c r="L429">
        <f t="shared" si="48"/>
        <v>2</v>
      </c>
      <c r="M429" t="str">
        <f t="shared" si="49"/>
        <v>Delayed</v>
      </c>
      <c r="N429">
        <v>18</v>
      </c>
      <c r="O429">
        <v>16</v>
      </c>
      <c r="P429">
        <f t="shared" si="50"/>
        <v>0.88888888888888884</v>
      </c>
      <c r="Q429">
        <v>54</v>
      </c>
      <c r="R429">
        <v>620.20000000000005</v>
      </c>
      <c r="S429">
        <v>20606</v>
      </c>
      <c r="T429" t="s">
        <v>45</v>
      </c>
      <c r="U429">
        <v>3</v>
      </c>
      <c r="V429">
        <v>5</v>
      </c>
      <c r="W429">
        <v>5</v>
      </c>
      <c r="X429">
        <v>1</v>
      </c>
      <c r="Y429">
        <v>3.57</v>
      </c>
      <c r="Z429">
        <v>4.5</v>
      </c>
      <c r="AA429">
        <v>0.88</v>
      </c>
      <c r="AB429">
        <f t="shared" si="51"/>
        <v>5</v>
      </c>
      <c r="AC429">
        <f t="shared" si="52"/>
        <v>4.4400000000000004</v>
      </c>
      <c r="AD429" t="str">
        <f t="shared" si="53"/>
        <v>⭐⭐⭐⭐</v>
      </c>
      <c r="AE429" t="str">
        <f t="shared" si="54"/>
        <v>Increase machine maintenance support</v>
      </c>
      <c r="AF429" t="str">
        <f t="shared" si="55"/>
        <v>Recommended for medium-high orders</v>
      </c>
    </row>
    <row r="430" spans="1:32" ht="24" customHeight="1">
      <c r="A430" t="s">
        <v>912</v>
      </c>
      <c r="B430" t="s">
        <v>33</v>
      </c>
      <c r="C430" t="s">
        <v>34</v>
      </c>
      <c r="D430" t="s">
        <v>35</v>
      </c>
      <c r="E430" t="s">
        <v>913</v>
      </c>
      <c r="F430" t="s">
        <v>44</v>
      </c>
      <c r="G430">
        <v>8901</v>
      </c>
      <c r="H430">
        <v>45908</v>
      </c>
      <c r="I430">
        <v>45940</v>
      </c>
      <c r="J430">
        <v>23</v>
      </c>
      <c r="K430">
        <v>29</v>
      </c>
      <c r="L430">
        <f t="shared" si="48"/>
        <v>6</v>
      </c>
      <c r="M430" t="str">
        <f t="shared" si="49"/>
        <v>Delayed</v>
      </c>
      <c r="N430">
        <v>17</v>
      </c>
      <c r="O430">
        <v>11</v>
      </c>
      <c r="P430">
        <f t="shared" si="50"/>
        <v>0.6470588235294118</v>
      </c>
      <c r="Q430">
        <v>34</v>
      </c>
      <c r="R430">
        <v>306.89999999999998</v>
      </c>
      <c r="S430">
        <v>9901</v>
      </c>
      <c r="T430" t="s">
        <v>45</v>
      </c>
      <c r="U430">
        <v>3</v>
      </c>
      <c r="V430">
        <v>2</v>
      </c>
      <c r="W430">
        <v>5</v>
      </c>
      <c r="X430">
        <v>6</v>
      </c>
      <c r="Y430">
        <v>2.5499999999999998</v>
      </c>
      <c r="Z430">
        <v>4.2</v>
      </c>
      <c r="AA430">
        <v>0.83</v>
      </c>
      <c r="AB430">
        <f t="shared" si="51"/>
        <v>5</v>
      </c>
      <c r="AC430">
        <f t="shared" si="52"/>
        <v>4.0999999999999996</v>
      </c>
      <c r="AD430" t="str">
        <f t="shared" si="53"/>
        <v>⭐⭐⭐⭐</v>
      </c>
      <c r="AE430" t="str">
        <f t="shared" si="54"/>
        <v>Increase machine maintenance support</v>
      </c>
      <c r="AF430" t="str">
        <f t="shared" si="55"/>
        <v>Recommended for medium-high orders</v>
      </c>
    </row>
    <row r="431" spans="1:32" ht="24" customHeight="1">
      <c r="A431" t="s">
        <v>914</v>
      </c>
      <c r="B431" t="s">
        <v>40</v>
      </c>
      <c r="C431" t="s">
        <v>41</v>
      </c>
      <c r="D431" t="s">
        <v>42</v>
      </c>
      <c r="E431" t="s">
        <v>915</v>
      </c>
      <c r="F431" t="s">
        <v>37</v>
      </c>
      <c r="G431">
        <v>11014</v>
      </c>
      <c r="H431">
        <v>45847</v>
      </c>
      <c r="I431">
        <v>45889</v>
      </c>
      <c r="J431">
        <v>38</v>
      </c>
      <c r="K431">
        <v>41</v>
      </c>
      <c r="L431">
        <f t="shared" si="48"/>
        <v>3</v>
      </c>
      <c r="M431" t="str">
        <f t="shared" si="49"/>
        <v>Delayed</v>
      </c>
      <c r="N431">
        <v>13</v>
      </c>
      <c r="O431">
        <v>11</v>
      </c>
      <c r="P431">
        <f t="shared" si="50"/>
        <v>0.84615384615384615</v>
      </c>
      <c r="Q431">
        <v>38</v>
      </c>
      <c r="R431">
        <v>268.60000000000002</v>
      </c>
      <c r="S431">
        <v>11014</v>
      </c>
      <c r="T431" t="s">
        <v>45</v>
      </c>
      <c r="U431">
        <v>3</v>
      </c>
      <c r="V431">
        <v>3</v>
      </c>
      <c r="W431">
        <v>0</v>
      </c>
      <c r="X431">
        <v>5</v>
      </c>
      <c r="Y431">
        <v>2.78</v>
      </c>
      <c r="Z431">
        <v>4.3</v>
      </c>
      <c r="AA431">
        <v>0.85</v>
      </c>
      <c r="AB431">
        <f t="shared" si="51"/>
        <v>5</v>
      </c>
      <c r="AC431">
        <f t="shared" si="52"/>
        <v>4.3099999999999996</v>
      </c>
      <c r="AD431" t="str">
        <f t="shared" si="53"/>
        <v>⭐⭐⭐⭐</v>
      </c>
      <c r="AE431" t="str">
        <f t="shared" si="54"/>
        <v>Improve workforce allocation</v>
      </c>
      <c r="AF431" t="str">
        <f t="shared" si="55"/>
        <v>Recommended for medium-high orders</v>
      </c>
    </row>
    <row r="432" spans="1:32" ht="24" customHeight="1">
      <c r="A432" t="s">
        <v>916</v>
      </c>
      <c r="B432" t="s">
        <v>40</v>
      </c>
      <c r="C432" t="s">
        <v>41</v>
      </c>
      <c r="D432" t="s">
        <v>42</v>
      </c>
      <c r="E432" t="s">
        <v>917</v>
      </c>
      <c r="F432" t="s">
        <v>67</v>
      </c>
      <c r="G432">
        <v>49212</v>
      </c>
      <c r="H432">
        <v>45714</v>
      </c>
      <c r="I432">
        <v>45788</v>
      </c>
      <c r="J432">
        <v>66</v>
      </c>
      <c r="K432">
        <v>72</v>
      </c>
      <c r="L432">
        <f t="shared" si="48"/>
        <v>6</v>
      </c>
      <c r="M432" t="str">
        <f t="shared" si="49"/>
        <v>Delayed</v>
      </c>
      <c r="N432">
        <v>15</v>
      </c>
      <c r="O432">
        <v>12</v>
      </c>
      <c r="P432">
        <f t="shared" si="50"/>
        <v>0.8</v>
      </c>
      <c r="Q432">
        <v>44</v>
      </c>
      <c r="R432">
        <v>683.5</v>
      </c>
      <c r="S432">
        <v>49212</v>
      </c>
      <c r="T432" t="s">
        <v>38</v>
      </c>
      <c r="U432">
        <v>1</v>
      </c>
      <c r="V432">
        <v>8</v>
      </c>
      <c r="W432">
        <v>0</v>
      </c>
      <c r="X432">
        <v>2</v>
      </c>
      <c r="Y432">
        <v>3.79</v>
      </c>
      <c r="Z432">
        <v>4.3</v>
      </c>
      <c r="AA432">
        <v>0.85</v>
      </c>
      <c r="AB432">
        <f t="shared" si="51"/>
        <v>5</v>
      </c>
      <c r="AC432">
        <f t="shared" si="52"/>
        <v>4.2699999999999996</v>
      </c>
      <c r="AD432" t="str">
        <f t="shared" si="53"/>
        <v>⭐⭐⭐⭐</v>
      </c>
      <c r="AE432" t="str">
        <f t="shared" si="54"/>
        <v>Increase daily output monitoring</v>
      </c>
      <c r="AF432" t="str">
        <f t="shared" si="55"/>
        <v>Recommended for medium-high orders</v>
      </c>
    </row>
    <row r="433" spans="1:32" ht="24" customHeight="1">
      <c r="A433" t="s">
        <v>918</v>
      </c>
      <c r="B433" t="s">
        <v>40</v>
      </c>
      <c r="C433" t="s">
        <v>41</v>
      </c>
      <c r="D433" t="s">
        <v>42</v>
      </c>
      <c r="E433" t="s">
        <v>919</v>
      </c>
      <c r="F433" t="s">
        <v>57</v>
      </c>
      <c r="G433">
        <v>14040</v>
      </c>
      <c r="H433">
        <v>45925</v>
      </c>
      <c r="I433">
        <v>45961</v>
      </c>
      <c r="J433">
        <v>30</v>
      </c>
      <c r="K433">
        <v>31</v>
      </c>
      <c r="L433">
        <f t="shared" si="48"/>
        <v>1</v>
      </c>
      <c r="M433" t="str">
        <f t="shared" si="49"/>
        <v>Delayed</v>
      </c>
      <c r="N433">
        <v>13</v>
      </c>
      <c r="O433">
        <v>11</v>
      </c>
      <c r="P433">
        <f t="shared" si="50"/>
        <v>0.84615384615384615</v>
      </c>
      <c r="Q433">
        <v>42</v>
      </c>
      <c r="R433">
        <v>452.9</v>
      </c>
      <c r="S433">
        <v>16040</v>
      </c>
      <c r="T433" t="s">
        <v>45</v>
      </c>
      <c r="U433">
        <v>1</v>
      </c>
      <c r="V433">
        <v>4</v>
      </c>
      <c r="W433">
        <v>0</v>
      </c>
      <c r="X433">
        <v>1</v>
      </c>
      <c r="Y433">
        <v>3.08</v>
      </c>
      <c r="Z433">
        <v>4.3</v>
      </c>
      <c r="AA433">
        <v>0.85</v>
      </c>
      <c r="AB433">
        <f t="shared" si="51"/>
        <v>5</v>
      </c>
      <c r="AC433">
        <f t="shared" si="52"/>
        <v>4.3099999999999996</v>
      </c>
      <c r="AD433" t="str">
        <f t="shared" si="53"/>
        <v>⭐⭐⭐⭐</v>
      </c>
      <c r="AE433" t="str">
        <f t="shared" si="54"/>
        <v>Increase daily output monitoring</v>
      </c>
      <c r="AF433" t="str">
        <f t="shared" si="55"/>
        <v>Recommended for medium-high orders</v>
      </c>
    </row>
    <row r="434" spans="1:32" ht="24" customHeight="1">
      <c r="A434" t="s">
        <v>920</v>
      </c>
      <c r="B434" t="s">
        <v>61</v>
      </c>
      <c r="C434" t="s">
        <v>62</v>
      </c>
      <c r="D434" t="s">
        <v>63</v>
      </c>
      <c r="E434" t="s">
        <v>921</v>
      </c>
      <c r="F434" t="s">
        <v>67</v>
      </c>
      <c r="G434">
        <v>57463</v>
      </c>
      <c r="H434">
        <v>45896</v>
      </c>
      <c r="I434">
        <v>45974</v>
      </c>
      <c r="J434">
        <v>74</v>
      </c>
      <c r="K434">
        <v>75</v>
      </c>
      <c r="L434">
        <f t="shared" si="48"/>
        <v>1</v>
      </c>
      <c r="M434" t="str">
        <f t="shared" si="49"/>
        <v>Delayed</v>
      </c>
      <c r="N434">
        <v>9</v>
      </c>
      <c r="O434">
        <v>7</v>
      </c>
      <c r="P434">
        <f t="shared" si="50"/>
        <v>0.77777777777777779</v>
      </c>
      <c r="Q434">
        <v>40</v>
      </c>
      <c r="R434">
        <v>766.2</v>
      </c>
      <c r="S434">
        <v>60463</v>
      </c>
      <c r="T434" t="s">
        <v>45</v>
      </c>
      <c r="U434">
        <v>3</v>
      </c>
      <c r="V434">
        <v>3</v>
      </c>
      <c r="W434">
        <v>2</v>
      </c>
      <c r="X434">
        <v>5</v>
      </c>
      <c r="Y434">
        <v>3.2</v>
      </c>
      <c r="Z434">
        <v>4</v>
      </c>
      <c r="AA434">
        <v>0.8</v>
      </c>
      <c r="AB434">
        <f t="shared" si="51"/>
        <v>5</v>
      </c>
      <c r="AC434">
        <f t="shared" si="52"/>
        <v>4.0999999999999996</v>
      </c>
      <c r="AD434" t="str">
        <f t="shared" si="53"/>
        <v>⭐⭐⭐⭐</v>
      </c>
      <c r="AE434" t="str">
        <f t="shared" si="54"/>
        <v>Improve workforce allocation</v>
      </c>
      <c r="AF434" t="str">
        <f t="shared" si="55"/>
        <v>Recommended for medium-high orders</v>
      </c>
    </row>
    <row r="435" spans="1:32" ht="24" customHeight="1">
      <c r="A435" t="s">
        <v>922</v>
      </c>
      <c r="B435" t="s">
        <v>53</v>
      </c>
      <c r="C435" t="s">
        <v>54</v>
      </c>
      <c r="D435" t="s">
        <v>55</v>
      </c>
      <c r="E435" t="s">
        <v>923</v>
      </c>
      <c r="F435" t="s">
        <v>37</v>
      </c>
      <c r="G435">
        <v>17357</v>
      </c>
      <c r="H435">
        <v>45696</v>
      </c>
      <c r="I435">
        <v>45725</v>
      </c>
      <c r="J435">
        <v>25</v>
      </c>
      <c r="K435">
        <v>28</v>
      </c>
      <c r="L435">
        <f t="shared" si="48"/>
        <v>3</v>
      </c>
      <c r="M435" t="str">
        <f t="shared" si="49"/>
        <v>Delayed</v>
      </c>
      <c r="N435">
        <v>14</v>
      </c>
      <c r="O435">
        <v>12</v>
      </c>
      <c r="P435">
        <f t="shared" si="50"/>
        <v>0.8571428571428571</v>
      </c>
      <c r="Q435">
        <v>44</v>
      </c>
      <c r="R435">
        <v>619.9</v>
      </c>
      <c r="S435">
        <v>18357</v>
      </c>
      <c r="T435" t="s">
        <v>45</v>
      </c>
      <c r="U435">
        <v>3</v>
      </c>
      <c r="V435">
        <v>8</v>
      </c>
      <c r="W435">
        <v>0</v>
      </c>
      <c r="X435">
        <v>3</v>
      </c>
      <c r="Y435">
        <v>3.06</v>
      </c>
      <c r="Z435">
        <v>4.5</v>
      </c>
      <c r="AA435">
        <v>0.88</v>
      </c>
      <c r="AB435">
        <f t="shared" si="51"/>
        <v>5</v>
      </c>
      <c r="AC435">
        <f t="shared" si="52"/>
        <v>4.41</v>
      </c>
      <c r="AD435" t="str">
        <f t="shared" si="53"/>
        <v>⭐⭐⭐⭐</v>
      </c>
      <c r="AE435" t="str">
        <f t="shared" si="54"/>
        <v>Increase daily output monitoring</v>
      </c>
      <c r="AF435" t="str">
        <f t="shared" si="55"/>
        <v>Recommended for medium-high orders</v>
      </c>
    </row>
    <row r="436" spans="1:32" ht="24" customHeight="1">
      <c r="A436" t="s">
        <v>924</v>
      </c>
      <c r="B436" t="s">
        <v>78</v>
      </c>
      <c r="C436" t="s">
        <v>79</v>
      </c>
      <c r="D436" t="s">
        <v>80</v>
      </c>
      <c r="E436" t="s">
        <v>925</v>
      </c>
      <c r="F436" t="s">
        <v>44</v>
      </c>
      <c r="G436">
        <v>4059</v>
      </c>
      <c r="H436">
        <v>45685</v>
      </c>
      <c r="I436">
        <v>45714</v>
      </c>
      <c r="J436">
        <v>26</v>
      </c>
      <c r="K436">
        <v>27</v>
      </c>
      <c r="L436">
        <f t="shared" si="48"/>
        <v>1</v>
      </c>
      <c r="M436" t="str">
        <f t="shared" si="49"/>
        <v>Delayed</v>
      </c>
      <c r="N436">
        <v>20</v>
      </c>
      <c r="O436">
        <v>18</v>
      </c>
      <c r="P436">
        <f t="shared" si="50"/>
        <v>0.9</v>
      </c>
      <c r="Q436">
        <v>57</v>
      </c>
      <c r="R436">
        <v>150.30000000000001</v>
      </c>
      <c r="S436">
        <v>4059</v>
      </c>
      <c r="T436" t="s">
        <v>45</v>
      </c>
      <c r="U436">
        <v>3</v>
      </c>
      <c r="V436">
        <v>5</v>
      </c>
      <c r="W436">
        <v>2</v>
      </c>
      <c r="X436">
        <v>5</v>
      </c>
      <c r="Y436">
        <v>2.93</v>
      </c>
      <c r="Z436">
        <v>4.8</v>
      </c>
      <c r="AA436">
        <v>0.92</v>
      </c>
      <c r="AB436">
        <f t="shared" si="51"/>
        <v>5</v>
      </c>
      <c r="AC436">
        <f t="shared" si="52"/>
        <v>4.59</v>
      </c>
      <c r="AD436" t="str">
        <f t="shared" si="53"/>
        <v>⭐⭐⭐⭐⭐</v>
      </c>
      <c r="AE436" t="str">
        <f t="shared" si="54"/>
        <v>Improve workforce allocation</v>
      </c>
      <c r="AF436" t="str">
        <f t="shared" si="55"/>
        <v>Best for urgent/high priority orders</v>
      </c>
    </row>
    <row r="437" spans="1:32" ht="24" customHeight="1">
      <c r="A437" t="s">
        <v>926</v>
      </c>
      <c r="B437" t="s">
        <v>40</v>
      </c>
      <c r="C437" t="s">
        <v>41</v>
      </c>
      <c r="D437" t="s">
        <v>42</v>
      </c>
      <c r="E437" t="s">
        <v>927</v>
      </c>
      <c r="F437" t="s">
        <v>67</v>
      </c>
      <c r="G437">
        <v>59659</v>
      </c>
      <c r="H437">
        <v>45884</v>
      </c>
      <c r="I437">
        <v>45964</v>
      </c>
      <c r="J437">
        <v>74</v>
      </c>
      <c r="K437">
        <v>80</v>
      </c>
      <c r="L437">
        <f t="shared" si="48"/>
        <v>6</v>
      </c>
      <c r="M437" t="str">
        <f t="shared" si="49"/>
        <v>Delayed</v>
      </c>
      <c r="N437">
        <v>11</v>
      </c>
      <c r="O437">
        <v>8</v>
      </c>
      <c r="P437">
        <f t="shared" si="50"/>
        <v>0.72727272727272729</v>
      </c>
      <c r="Q437">
        <v>40</v>
      </c>
      <c r="R437">
        <v>745.7</v>
      </c>
      <c r="S437">
        <v>60659</v>
      </c>
      <c r="T437" t="s">
        <v>45</v>
      </c>
      <c r="U437">
        <v>0</v>
      </c>
      <c r="V437">
        <v>7</v>
      </c>
      <c r="W437">
        <v>3</v>
      </c>
      <c r="X437">
        <v>3</v>
      </c>
      <c r="Y437">
        <v>4.01</v>
      </c>
      <c r="Z437">
        <v>4.3</v>
      </c>
      <c r="AA437">
        <v>0.85</v>
      </c>
      <c r="AB437">
        <f t="shared" si="51"/>
        <v>5</v>
      </c>
      <c r="AC437">
        <f t="shared" si="52"/>
        <v>4.22</v>
      </c>
      <c r="AD437" t="str">
        <f t="shared" si="53"/>
        <v>⭐⭐⭐⭐</v>
      </c>
      <c r="AE437" t="str">
        <f t="shared" si="54"/>
        <v>Increase daily output monitoring</v>
      </c>
      <c r="AF437" t="str">
        <f t="shared" si="55"/>
        <v>Recommended for medium-high orders</v>
      </c>
    </row>
    <row r="438" spans="1:32" ht="24" customHeight="1">
      <c r="A438" t="s">
        <v>928</v>
      </c>
      <c r="B438" t="s">
        <v>53</v>
      </c>
      <c r="C438" t="s">
        <v>54</v>
      </c>
      <c r="D438" t="s">
        <v>55</v>
      </c>
      <c r="E438" t="s">
        <v>929</v>
      </c>
      <c r="F438" t="s">
        <v>57</v>
      </c>
      <c r="G438">
        <v>6668</v>
      </c>
      <c r="H438">
        <v>45671</v>
      </c>
      <c r="I438">
        <v>45705</v>
      </c>
      <c r="J438">
        <v>26</v>
      </c>
      <c r="K438">
        <v>31</v>
      </c>
      <c r="L438">
        <f t="shared" si="48"/>
        <v>5</v>
      </c>
      <c r="M438" t="str">
        <f t="shared" si="49"/>
        <v>Delayed</v>
      </c>
      <c r="N438">
        <v>13</v>
      </c>
      <c r="O438">
        <v>10</v>
      </c>
      <c r="P438">
        <f t="shared" si="50"/>
        <v>0.76923076923076927</v>
      </c>
      <c r="Q438">
        <v>58</v>
      </c>
      <c r="R438">
        <v>215.1</v>
      </c>
      <c r="S438">
        <v>9668</v>
      </c>
      <c r="T438" t="s">
        <v>38</v>
      </c>
      <c r="U438">
        <v>4</v>
      </c>
      <c r="V438">
        <v>13</v>
      </c>
      <c r="W438">
        <v>3</v>
      </c>
      <c r="X438">
        <v>4</v>
      </c>
      <c r="Y438">
        <v>2.75</v>
      </c>
      <c r="Z438">
        <v>4.5</v>
      </c>
      <c r="AA438">
        <v>0.88</v>
      </c>
      <c r="AB438">
        <f t="shared" si="51"/>
        <v>5</v>
      </c>
      <c r="AC438">
        <f t="shared" si="52"/>
        <v>4.3499999999999996</v>
      </c>
      <c r="AD438" t="str">
        <f t="shared" si="53"/>
        <v>⭐⭐⭐⭐</v>
      </c>
      <c r="AE438" t="str">
        <f t="shared" si="54"/>
        <v>Reduce risk days and add supervisor monitoring</v>
      </c>
      <c r="AF438" t="str">
        <f t="shared" si="55"/>
        <v>Recommended for medium-high orders</v>
      </c>
    </row>
    <row r="439" spans="1:32" ht="24" customHeight="1">
      <c r="A439" t="s">
        <v>930</v>
      </c>
      <c r="B439" t="s">
        <v>40</v>
      </c>
      <c r="C439" t="s">
        <v>41</v>
      </c>
      <c r="D439" t="s">
        <v>42</v>
      </c>
      <c r="E439" t="s">
        <v>931</v>
      </c>
      <c r="F439" t="s">
        <v>67</v>
      </c>
      <c r="G439">
        <v>43364</v>
      </c>
      <c r="H439">
        <v>45753</v>
      </c>
      <c r="I439">
        <v>45812</v>
      </c>
      <c r="J439">
        <v>55</v>
      </c>
      <c r="K439">
        <v>58</v>
      </c>
      <c r="L439">
        <f t="shared" si="48"/>
        <v>3</v>
      </c>
      <c r="M439" t="str">
        <f t="shared" si="49"/>
        <v>Delayed</v>
      </c>
      <c r="N439">
        <v>15</v>
      </c>
      <c r="O439">
        <v>11</v>
      </c>
      <c r="P439">
        <f t="shared" si="50"/>
        <v>0.73333333333333328</v>
      </c>
      <c r="Q439">
        <v>53</v>
      </c>
      <c r="R439">
        <v>747.7</v>
      </c>
      <c r="S439">
        <v>47364</v>
      </c>
      <c r="T439" t="s">
        <v>45</v>
      </c>
      <c r="U439">
        <v>3</v>
      </c>
      <c r="V439">
        <v>3</v>
      </c>
      <c r="W439">
        <v>5</v>
      </c>
      <c r="X439">
        <v>4</v>
      </c>
      <c r="Y439">
        <v>3.7</v>
      </c>
      <c r="Z439">
        <v>4.3</v>
      </c>
      <c r="AA439">
        <v>0.85</v>
      </c>
      <c r="AB439">
        <f t="shared" si="51"/>
        <v>5</v>
      </c>
      <c r="AC439">
        <f t="shared" si="52"/>
        <v>4.22</v>
      </c>
      <c r="AD439" t="str">
        <f t="shared" si="53"/>
        <v>⭐⭐⭐⭐</v>
      </c>
      <c r="AE439" t="str">
        <f t="shared" si="54"/>
        <v>Increase machine maintenance support</v>
      </c>
      <c r="AF439" t="str">
        <f t="shared" si="55"/>
        <v>Recommended for medium-high orders</v>
      </c>
    </row>
    <row r="440" spans="1:32" ht="24" customHeight="1">
      <c r="A440" t="s">
        <v>932</v>
      </c>
      <c r="B440" t="s">
        <v>78</v>
      </c>
      <c r="C440" t="s">
        <v>79</v>
      </c>
      <c r="D440" t="s">
        <v>80</v>
      </c>
      <c r="E440" t="s">
        <v>933</v>
      </c>
      <c r="F440" t="s">
        <v>37</v>
      </c>
      <c r="G440">
        <v>14183</v>
      </c>
      <c r="H440">
        <v>45923</v>
      </c>
      <c r="I440">
        <v>45962</v>
      </c>
      <c r="J440">
        <v>33</v>
      </c>
      <c r="K440">
        <v>35</v>
      </c>
      <c r="L440">
        <f t="shared" si="48"/>
        <v>2</v>
      </c>
      <c r="M440" t="str">
        <f t="shared" si="49"/>
        <v>Delayed</v>
      </c>
      <c r="N440">
        <v>17</v>
      </c>
      <c r="O440">
        <v>13</v>
      </c>
      <c r="P440">
        <f t="shared" si="50"/>
        <v>0.76470588235294112</v>
      </c>
      <c r="Q440">
        <v>59</v>
      </c>
      <c r="R440">
        <v>405.2</v>
      </c>
      <c r="S440">
        <v>18183</v>
      </c>
      <c r="T440" t="s">
        <v>45</v>
      </c>
      <c r="U440">
        <v>2</v>
      </c>
      <c r="V440">
        <v>0</v>
      </c>
      <c r="W440">
        <v>1</v>
      </c>
      <c r="X440">
        <v>0</v>
      </c>
      <c r="Y440">
        <v>2.6</v>
      </c>
      <c r="Z440">
        <v>4.8</v>
      </c>
      <c r="AA440">
        <v>0.92</v>
      </c>
      <c r="AB440">
        <f t="shared" si="51"/>
        <v>5</v>
      </c>
      <c r="AC440">
        <f t="shared" si="52"/>
        <v>4.4800000000000004</v>
      </c>
      <c r="AD440" t="str">
        <f t="shared" si="53"/>
        <v>⭐⭐⭐⭐</v>
      </c>
      <c r="AE440" t="str">
        <f t="shared" si="54"/>
        <v>Increase daily output monitoring</v>
      </c>
      <c r="AF440" t="str">
        <f t="shared" si="55"/>
        <v>Recommended for medium-high orders</v>
      </c>
    </row>
    <row r="441" spans="1:32" ht="24" customHeight="1">
      <c r="A441" t="s">
        <v>934</v>
      </c>
      <c r="B441" t="s">
        <v>33</v>
      </c>
      <c r="C441" t="s">
        <v>34</v>
      </c>
      <c r="D441" t="s">
        <v>35</v>
      </c>
      <c r="E441" t="s">
        <v>935</v>
      </c>
      <c r="F441" t="s">
        <v>67</v>
      </c>
      <c r="G441">
        <v>47778</v>
      </c>
      <c r="H441">
        <v>45897</v>
      </c>
      <c r="I441">
        <v>45970</v>
      </c>
      <c r="J441">
        <v>71</v>
      </c>
      <c r="K441">
        <v>69</v>
      </c>
      <c r="L441">
        <f t="shared" si="48"/>
        <v>-2</v>
      </c>
      <c r="M441" t="str">
        <f t="shared" si="49"/>
        <v>Early</v>
      </c>
      <c r="N441">
        <v>13</v>
      </c>
      <c r="O441">
        <v>10</v>
      </c>
      <c r="P441">
        <f t="shared" si="50"/>
        <v>0.76923076923076927</v>
      </c>
      <c r="Q441">
        <v>44</v>
      </c>
      <c r="R441">
        <v>692.4</v>
      </c>
      <c r="S441">
        <v>48778</v>
      </c>
      <c r="T441" t="s">
        <v>45</v>
      </c>
      <c r="U441">
        <v>3</v>
      </c>
      <c r="V441">
        <v>13</v>
      </c>
      <c r="W441">
        <v>2</v>
      </c>
      <c r="X441">
        <v>2</v>
      </c>
      <c r="Y441">
        <v>4.22</v>
      </c>
      <c r="Z441">
        <v>4.2</v>
      </c>
      <c r="AA441">
        <v>0.83</v>
      </c>
      <c r="AB441">
        <f t="shared" si="51"/>
        <v>5</v>
      </c>
      <c r="AC441">
        <f t="shared" si="52"/>
        <v>4.34</v>
      </c>
      <c r="AD441" t="str">
        <f t="shared" si="53"/>
        <v>⭐⭐⭐⭐</v>
      </c>
      <c r="AE441" t="str">
        <f t="shared" si="54"/>
        <v>Maintain current resource allocation</v>
      </c>
      <c r="AF441" t="str">
        <f t="shared" si="55"/>
        <v>Recommended for medium-high orders</v>
      </c>
    </row>
    <row r="442" spans="1:32" ht="24" customHeight="1">
      <c r="A442" t="s">
        <v>936</v>
      </c>
      <c r="B442" t="s">
        <v>33</v>
      </c>
      <c r="C442" t="s">
        <v>34</v>
      </c>
      <c r="D442" t="s">
        <v>35</v>
      </c>
      <c r="E442" t="s">
        <v>937</v>
      </c>
      <c r="F442" t="s">
        <v>44</v>
      </c>
      <c r="G442">
        <v>15719</v>
      </c>
      <c r="H442">
        <v>45827</v>
      </c>
      <c r="I442">
        <v>45868</v>
      </c>
      <c r="J442">
        <v>34</v>
      </c>
      <c r="K442">
        <v>36</v>
      </c>
      <c r="L442">
        <f t="shared" si="48"/>
        <v>2</v>
      </c>
      <c r="M442" t="str">
        <f t="shared" si="49"/>
        <v>Delayed</v>
      </c>
      <c r="N442">
        <v>13</v>
      </c>
      <c r="O442">
        <v>10</v>
      </c>
      <c r="P442">
        <f t="shared" si="50"/>
        <v>0.76923076923076927</v>
      </c>
      <c r="Q442">
        <v>48</v>
      </c>
      <c r="R442">
        <v>436.6</v>
      </c>
      <c r="S442">
        <v>19719</v>
      </c>
      <c r="T442" t="s">
        <v>38</v>
      </c>
      <c r="U442">
        <v>1</v>
      </c>
      <c r="V442">
        <v>1</v>
      </c>
      <c r="W442">
        <v>3</v>
      </c>
      <c r="X442">
        <v>0</v>
      </c>
      <c r="Y442">
        <v>3.25</v>
      </c>
      <c r="Z442">
        <v>4.2</v>
      </c>
      <c r="AA442">
        <v>0.83</v>
      </c>
      <c r="AB442">
        <f t="shared" si="51"/>
        <v>5</v>
      </c>
      <c r="AC442">
        <f t="shared" si="52"/>
        <v>4.1900000000000004</v>
      </c>
      <c r="AD442" t="str">
        <f t="shared" si="53"/>
        <v>⭐⭐⭐⭐</v>
      </c>
      <c r="AE442" t="str">
        <f t="shared" si="54"/>
        <v>Increase daily output monitoring</v>
      </c>
      <c r="AF442" t="str">
        <f t="shared" si="55"/>
        <v>Recommended for medium-high orders</v>
      </c>
    </row>
    <row r="443" spans="1:32" ht="24" customHeight="1">
      <c r="A443" t="s">
        <v>938</v>
      </c>
      <c r="B443" t="s">
        <v>53</v>
      </c>
      <c r="C443" t="s">
        <v>54</v>
      </c>
      <c r="D443" t="s">
        <v>55</v>
      </c>
      <c r="E443" t="s">
        <v>939</v>
      </c>
      <c r="F443" t="s">
        <v>57</v>
      </c>
      <c r="G443">
        <v>18534</v>
      </c>
      <c r="H443">
        <v>45759</v>
      </c>
      <c r="I443">
        <v>45786</v>
      </c>
      <c r="J443">
        <v>24</v>
      </c>
      <c r="K443">
        <v>26</v>
      </c>
      <c r="L443">
        <f t="shared" si="48"/>
        <v>2</v>
      </c>
      <c r="M443" t="str">
        <f t="shared" si="49"/>
        <v>Delayed</v>
      </c>
      <c r="N443">
        <v>16</v>
      </c>
      <c r="O443">
        <v>13</v>
      </c>
      <c r="P443">
        <f t="shared" si="50"/>
        <v>0.8125</v>
      </c>
      <c r="Q443">
        <v>55</v>
      </c>
      <c r="R443">
        <v>712.8</v>
      </c>
      <c r="S443">
        <v>18534</v>
      </c>
      <c r="T443" t="s">
        <v>45</v>
      </c>
      <c r="U443">
        <v>0</v>
      </c>
      <c r="V443">
        <v>9</v>
      </c>
      <c r="W443">
        <v>2</v>
      </c>
      <c r="X443">
        <v>2</v>
      </c>
      <c r="Y443">
        <v>3.3</v>
      </c>
      <c r="Z443">
        <v>4.5</v>
      </c>
      <c r="AA443">
        <v>0.88</v>
      </c>
      <c r="AB443">
        <f t="shared" si="51"/>
        <v>5</v>
      </c>
      <c r="AC443">
        <f t="shared" si="52"/>
        <v>4.38</v>
      </c>
      <c r="AD443" t="str">
        <f t="shared" si="53"/>
        <v>⭐⭐⭐⭐</v>
      </c>
      <c r="AE443" t="str">
        <f t="shared" si="54"/>
        <v>Reduce risk days and add supervisor monitoring</v>
      </c>
      <c r="AF443" t="str">
        <f t="shared" si="55"/>
        <v>Recommended for medium-high orders</v>
      </c>
    </row>
    <row r="444" spans="1:32" ht="24" customHeight="1">
      <c r="A444" t="s">
        <v>940</v>
      </c>
      <c r="B444" t="s">
        <v>53</v>
      </c>
      <c r="C444" t="s">
        <v>54</v>
      </c>
      <c r="D444" t="s">
        <v>55</v>
      </c>
      <c r="E444" t="s">
        <v>941</v>
      </c>
      <c r="F444" t="s">
        <v>67</v>
      </c>
      <c r="G444">
        <v>45710</v>
      </c>
      <c r="H444">
        <v>45891</v>
      </c>
      <c r="I444">
        <v>45960</v>
      </c>
      <c r="J444">
        <v>65</v>
      </c>
      <c r="K444">
        <v>68</v>
      </c>
      <c r="L444">
        <f t="shared" si="48"/>
        <v>3</v>
      </c>
      <c r="M444" t="str">
        <f t="shared" si="49"/>
        <v>Delayed</v>
      </c>
      <c r="N444">
        <v>14</v>
      </c>
      <c r="O444">
        <v>10</v>
      </c>
      <c r="P444">
        <f t="shared" si="50"/>
        <v>0.7142857142857143</v>
      </c>
      <c r="Q444">
        <v>48</v>
      </c>
      <c r="R444">
        <v>672.2</v>
      </c>
      <c r="S444">
        <v>48710</v>
      </c>
      <c r="T444" t="s">
        <v>45</v>
      </c>
      <c r="U444">
        <v>0</v>
      </c>
      <c r="V444">
        <v>4</v>
      </c>
      <c r="W444">
        <v>3</v>
      </c>
      <c r="X444">
        <v>2</v>
      </c>
      <c r="Y444">
        <v>2.89</v>
      </c>
      <c r="Z444">
        <v>4.5</v>
      </c>
      <c r="AA444">
        <v>0.88</v>
      </c>
      <c r="AB444">
        <f t="shared" si="51"/>
        <v>5</v>
      </c>
      <c r="AC444">
        <f t="shared" si="52"/>
        <v>4.3099999999999996</v>
      </c>
      <c r="AD444" t="str">
        <f t="shared" si="53"/>
        <v>⭐⭐⭐⭐</v>
      </c>
      <c r="AE444" t="str">
        <f t="shared" si="54"/>
        <v>Increase daily output monitoring</v>
      </c>
      <c r="AF444" t="str">
        <f t="shared" si="55"/>
        <v>Recommended for medium-high orders</v>
      </c>
    </row>
    <row r="445" spans="1:32" ht="24" customHeight="1">
      <c r="A445" t="s">
        <v>942</v>
      </c>
      <c r="B445" t="s">
        <v>53</v>
      </c>
      <c r="C445" t="s">
        <v>54</v>
      </c>
      <c r="D445" t="s">
        <v>55</v>
      </c>
      <c r="E445" t="s">
        <v>943</v>
      </c>
      <c r="F445" t="s">
        <v>44</v>
      </c>
      <c r="G445">
        <v>19266</v>
      </c>
      <c r="H445">
        <v>45983</v>
      </c>
      <c r="I445">
        <v>46026</v>
      </c>
      <c r="J445">
        <v>37</v>
      </c>
      <c r="K445">
        <v>42</v>
      </c>
      <c r="L445">
        <f t="shared" si="48"/>
        <v>5</v>
      </c>
      <c r="M445" t="str">
        <f t="shared" si="49"/>
        <v>Delayed</v>
      </c>
      <c r="N445">
        <v>16</v>
      </c>
      <c r="O445">
        <v>13</v>
      </c>
      <c r="P445">
        <f t="shared" si="50"/>
        <v>0.8125</v>
      </c>
      <c r="Q445">
        <v>55</v>
      </c>
      <c r="R445">
        <v>458.7</v>
      </c>
      <c r="S445">
        <v>21266</v>
      </c>
      <c r="T445" t="s">
        <v>45</v>
      </c>
      <c r="U445">
        <v>3</v>
      </c>
      <c r="V445">
        <v>5</v>
      </c>
      <c r="W445">
        <v>3</v>
      </c>
      <c r="X445">
        <v>2</v>
      </c>
      <c r="Y445">
        <v>2.68</v>
      </c>
      <c r="Z445">
        <v>4.5</v>
      </c>
      <c r="AA445">
        <v>0.88</v>
      </c>
      <c r="AB445">
        <f t="shared" si="51"/>
        <v>5</v>
      </c>
      <c r="AC445">
        <f t="shared" si="52"/>
        <v>4.38</v>
      </c>
      <c r="AD445" t="str">
        <f t="shared" si="53"/>
        <v>⭐⭐⭐⭐</v>
      </c>
      <c r="AE445" t="str">
        <f t="shared" si="54"/>
        <v>Increase daily output monitoring</v>
      </c>
      <c r="AF445" t="str">
        <f t="shared" si="55"/>
        <v>Recommended for medium-high orders</v>
      </c>
    </row>
    <row r="446" spans="1:32" ht="24" customHeight="1">
      <c r="A446" t="s">
        <v>944</v>
      </c>
      <c r="B446" t="s">
        <v>69</v>
      </c>
      <c r="C446" t="s">
        <v>70</v>
      </c>
      <c r="D446" t="s">
        <v>71</v>
      </c>
      <c r="E446" t="s">
        <v>945</v>
      </c>
      <c r="F446" t="s">
        <v>67</v>
      </c>
      <c r="G446">
        <v>49639</v>
      </c>
      <c r="H446">
        <v>45988</v>
      </c>
      <c r="I446">
        <v>46051</v>
      </c>
      <c r="J446">
        <v>59</v>
      </c>
      <c r="K446">
        <v>59</v>
      </c>
      <c r="L446">
        <f t="shared" si="48"/>
        <v>0</v>
      </c>
      <c r="M446" t="str">
        <f t="shared" si="49"/>
        <v>On Time</v>
      </c>
      <c r="N446">
        <v>15</v>
      </c>
      <c r="O446">
        <v>10</v>
      </c>
      <c r="P446">
        <f t="shared" si="50"/>
        <v>0.66666666666666663</v>
      </c>
      <c r="Q446">
        <v>29</v>
      </c>
      <c r="R446">
        <v>841.3</v>
      </c>
      <c r="S446">
        <v>52639</v>
      </c>
      <c r="T446" t="s">
        <v>45</v>
      </c>
      <c r="U446">
        <v>0</v>
      </c>
      <c r="V446">
        <v>12</v>
      </c>
      <c r="W446">
        <v>4</v>
      </c>
      <c r="X446">
        <v>6</v>
      </c>
      <c r="Y446">
        <v>3.62</v>
      </c>
      <c r="Z446">
        <v>3.8</v>
      </c>
      <c r="AA446">
        <v>0.78</v>
      </c>
      <c r="AB446">
        <f t="shared" si="51"/>
        <v>5</v>
      </c>
      <c r="AC446">
        <f t="shared" si="52"/>
        <v>4.05</v>
      </c>
      <c r="AD446" t="str">
        <f t="shared" si="53"/>
        <v>⭐⭐⭐⭐</v>
      </c>
      <c r="AE446" t="str">
        <f t="shared" si="54"/>
        <v>Maintain current resource allocation</v>
      </c>
      <c r="AF446" t="str">
        <f t="shared" si="55"/>
        <v>Recommended for medium-high orders</v>
      </c>
    </row>
    <row r="447" spans="1:32" ht="24" customHeight="1">
      <c r="A447" t="s">
        <v>946</v>
      </c>
      <c r="B447" t="s">
        <v>53</v>
      </c>
      <c r="C447" t="s">
        <v>54</v>
      </c>
      <c r="D447" t="s">
        <v>55</v>
      </c>
      <c r="E447" t="s">
        <v>947</v>
      </c>
      <c r="F447" t="s">
        <v>57</v>
      </c>
      <c r="G447">
        <v>10272</v>
      </c>
      <c r="H447">
        <v>45860</v>
      </c>
      <c r="I447">
        <v>45894</v>
      </c>
      <c r="J447">
        <v>35</v>
      </c>
      <c r="K447">
        <v>33</v>
      </c>
      <c r="L447">
        <f t="shared" si="48"/>
        <v>-2</v>
      </c>
      <c r="M447" t="str">
        <f t="shared" si="49"/>
        <v>Early</v>
      </c>
      <c r="N447">
        <v>13</v>
      </c>
      <c r="O447">
        <v>10</v>
      </c>
      <c r="P447">
        <f t="shared" si="50"/>
        <v>0.76923076923076927</v>
      </c>
      <c r="Q447">
        <v>50</v>
      </c>
      <c r="R447">
        <v>311.3</v>
      </c>
      <c r="S447">
        <v>13272</v>
      </c>
      <c r="T447" t="s">
        <v>45</v>
      </c>
      <c r="U447">
        <v>1</v>
      </c>
      <c r="V447">
        <v>6</v>
      </c>
      <c r="W447">
        <v>0</v>
      </c>
      <c r="X447">
        <v>2</v>
      </c>
      <c r="Y447">
        <v>3.15</v>
      </c>
      <c r="Z447">
        <v>4.5</v>
      </c>
      <c r="AA447">
        <v>0.88</v>
      </c>
      <c r="AB447">
        <f t="shared" si="51"/>
        <v>5</v>
      </c>
      <c r="AC447">
        <f t="shared" si="52"/>
        <v>4.5</v>
      </c>
      <c r="AD447" t="str">
        <f t="shared" si="53"/>
        <v>⭐⭐⭐⭐⭐</v>
      </c>
      <c r="AE447" t="str">
        <f t="shared" si="54"/>
        <v>Maintain current resource allocation</v>
      </c>
      <c r="AF447" t="str">
        <f t="shared" si="55"/>
        <v>Best for urgent/high priority orders</v>
      </c>
    </row>
    <row r="448" spans="1:32" ht="24" customHeight="1">
      <c r="A448" t="s">
        <v>948</v>
      </c>
      <c r="B448" t="s">
        <v>53</v>
      </c>
      <c r="C448" t="s">
        <v>54</v>
      </c>
      <c r="D448" t="s">
        <v>55</v>
      </c>
      <c r="E448" t="s">
        <v>949</v>
      </c>
      <c r="F448" t="s">
        <v>57</v>
      </c>
      <c r="G448">
        <v>18802</v>
      </c>
      <c r="H448">
        <v>45867</v>
      </c>
      <c r="I448">
        <v>45908</v>
      </c>
      <c r="J448">
        <v>35</v>
      </c>
      <c r="K448">
        <v>39</v>
      </c>
      <c r="L448">
        <f t="shared" si="48"/>
        <v>4</v>
      </c>
      <c r="M448" t="str">
        <f t="shared" si="49"/>
        <v>Delayed</v>
      </c>
      <c r="N448">
        <v>16</v>
      </c>
      <c r="O448">
        <v>13</v>
      </c>
      <c r="P448">
        <f t="shared" si="50"/>
        <v>0.8125</v>
      </c>
      <c r="Q448">
        <v>58</v>
      </c>
      <c r="R448">
        <v>482.1</v>
      </c>
      <c r="S448">
        <v>22802</v>
      </c>
      <c r="T448" t="s">
        <v>45</v>
      </c>
      <c r="U448">
        <v>2</v>
      </c>
      <c r="V448">
        <v>8</v>
      </c>
      <c r="W448">
        <v>3</v>
      </c>
      <c r="X448">
        <v>1</v>
      </c>
      <c r="Y448">
        <v>2.6</v>
      </c>
      <c r="Z448">
        <v>4.5</v>
      </c>
      <c r="AA448">
        <v>0.88</v>
      </c>
      <c r="AB448">
        <f t="shared" si="51"/>
        <v>5</v>
      </c>
      <c r="AC448">
        <f t="shared" si="52"/>
        <v>4.38</v>
      </c>
      <c r="AD448" t="str">
        <f t="shared" si="53"/>
        <v>⭐⭐⭐⭐</v>
      </c>
      <c r="AE448" t="str">
        <f t="shared" si="54"/>
        <v>Increase daily output monitoring</v>
      </c>
      <c r="AF448" t="str">
        <f t="shared" si="55"/>
        <v>Recommended for medium-high orders</v>
      </c>
    </row>
    <row r="449" spans="1:32" ht="24" customHeight="1">
      <c r="A449" t="s">
        <v>950</v>
      </c>
      <c r="B449" t="s">
        <v>61</v>
      </c>
      <c r="C449" t="s">
        <v>62</v>
      </c>
      <c r="D449" t="s">
        <v>63</v>
      </c>
      <c r="E449" t="s">
        <v>951</v>
      </c>
      <c r="F449" t="s">
        <v>44</v>
      </c>
      <c r="G449">
        <v>14529</v>
      </c>
      <c r="H449">
        <v>45694</v>
      </c>
      <c r="I449">
        <v>45726</v>
      </c>
      <c r="J449">
        <v>24</v>
      </c>
      <c r="K449">
        <v>30</v>
      </c>
      <c r="L449">
        <f t="shared" si="48"/>
        <v>6</v>
      </c>
      <c r="M449" t="str">
        <f t="shared" si="49"/>
        <v>Delayed</v>
      </c>
      <c r="N449">
        <v>10</v>
      </c>
      <c r="O449">
        <v>7</v>
      </c>
      <c r="P449">
        <f t="shared" si="50"/>
        <v>0.7</v>
      </c>
      <c r="Q449">
        <v>37</v>
      </c>
      <c r="R449">
        <v>484.3</v>
      </c>
      <c r="S449">
        <v>14529</v>
      </c>
      <c r="T449" t="s">
        <v>38</v>
      </c>
      <c r="U449">
        <v>0</v>
      </c>
      <c r="V449">
        <v>10</v>
      </c>
      <c r="W449">
        <v>3</v>
      </c>
      <c r="X449">
        <v>4</v>
      </c>
      <c r="Y449">
        <v>3.08</v>
      </c>
      <c r="Z449">
        <v>4</v>
      </c>
      <c r="AA449">
        <v>0.8</v>
      </c>
      <c r="AB449">
        <f t="shared" si="51"/>
        <v>5</v>
      </c>
      <c r="AC449">
        <f t="shared" si="52"/>
        <v>4.05</v>
      </c>
      <c r="AD449" t="str">
        <f t="shared" si="53"/>
        <v>⭐⭐⭐⭐</v>
      </c>
      <c r="AE449" t="str">
        <f t="shared" si="54"/>
        <v>Reduce risk days and add supervisor monitoring</v>
      </c>
      <c r="AF449" t="str">
        <f t="shared" si="55"/>
        <v>Recommended for medium-high orders</v>
      </c>
    </row>
    <row r="450" spans="1:32" ht="24" customHeight="1">
      <c r="A450" t="s">
        <v>952</v>
      </c>
      <c r="B450" t="s">
        <v>78</v>
      </c>
      <c r="C450" t="s">
        <v>79</v>
      </c>
      <c r="D450" t="s">
        <v>80</v>
      </c>
      <c r="E450" t="s">
        <v>953</v>
      </c>
      <c r="F450" t="s">
        <v>67</v>
      </c>
      <c r="G450">
        <v>46443</v>
      </c>
      <c r="H450">
        <v>45835</v>
      </c>
      <c r="I450">
        <v>45902</v>
      </c>
      <c r="J450">
        <v>65</v>
      </c>
      <c r="K450">
        <v>64</v>
      </c>
      <c r="L450">
        <f t="shared" ref="L450:L513" si="56">K450-J450</f>
        <v>-1</v>
      </c>
      <c r="M450" t="str">
        <f t="shared" ref="M450:M513" si="57">IF(L450&gt;0,"Delayed",IF(L450&lt;0,"Early","On Time"))</f>
        <v>Early</v>
      </c>
      <c r="N450">
        <v>17</v>
      </c>
      <c r="O450">
        <v>16</v>
      </c>
      <c r="P450">
        <f t="shared" ref="P450:P513" si="58">O450/N450</f>
        <v>0.94117647058823528</v>
      </c>
      <c r="Q450">
        <v>67</v>
      </c>
      <c r="R450">
        <v>725.7</v>
      </c>
      <c r="S450">
        <v>48443</v>
      </c>
      <c r="T450" t="s">
        <v>45</v>
      </c>
      <c r="U450">
        <v>0</v>
      </c>
      <c r="V450">
        <v>2</v>
      </c>
      <c r="W450">
        <v>0</v>
      </c>
      <c r="X450">
        <v>2</v>
      </c>
      <c r="Y450">
        <v>2.95</v>
      </c>
      <c r="Z450">
        <v>4.8</v>
      </c>
      <c r="AA450">
        <v>0.92</v>
      </c>
      <c r="AB450">
        <f t="shared" ref="AB450:AB513" si="59">MIN(5,MAX(1,(R450/MAX(1,Q450))*0.08 + (1-Y450/100)*2.2 + Z450*0.35 + AA450*2))</f>
        <v>5</v>
      </c>
      <c r="AC450">
        <f t="shared" ref="AC450:AC513" si="60">ROUND((0.3*Z450)+(0.25*(AA450*5))+(0.2*AB450)+(0.15*(P450*5))+(0.1*IF(M450="Delayed",3.2,IF(M450="On Time",4.3,4.7))),2)</f>
        <v>4.7699999999999996</v>
      </c>
      <c r="AD450" t="str">
        <f t="shared" ref="AD450:AD513" si="61">IF(AC450&gt;=4.5,"⭐⭐⭐⭐⭐",IF(AC450&gt;=4,"⭐⭐⭐⭐",IF(AC450&gt;=3.5,"⭐⭐⭐",IF(AC450&gt;=3,"⭐⭐","⭐"))))</f>
        <v>⭐⭐⭐⭐⭐</v>
      </c>
      <c r="AE450" t="str">
        <f t="shared" ref="AE450:AE501" si="62">IF(M450="Delayed",IF(V450&gt;8,"Reduce risk days and add supervisor monitoring",IF(W450&gt;3,"Increase machine maintenance support",IF(X450&gt;3,"Improve workforce allocation","Increase daily output monitoring"))),IF(T450="Yes","Suitable for urgent style handling","Maintain current resource allocation"))</f>
        <v>Maintain current resource allocation</v>
      </c>
      <c r="AF450" t="str">
        <f t="shared" ref="AF450:AF501" si="63">IF(AC450&gt;=4.5,"Best for urgent/high priority orders",IF(AC450&gt;=4,"Recommended for medium-high orders",IF(AC450&gt;=3.5,"Use for normal priority orders","Use only with management support")))</f>
        <v>Best for urgent/high priority orders</v>
      </c>
    </row>
    <row r="451" spans="1:32" ht="24" customHeight="1">
      <c r="A451" t="s">
        <v>954</v>
      </c>
      <c r="B451" t="s">
        <v>69</v>
      </c>
      <c r="C451" t="s">
        <v>70</v>
      </c>
      <c r="D451" t="s">
        <v>71</v>
      </c>
      <c r="E451" t="s">
        <v>955</v>
      </c>
      <c r="F451" t="s">
        <v>37</v>
      </c>
      <c r="G451">
        <v>26798</v>
      </c>
      <c r="H451">
        <v>45818</v>
      </c>
      <c r="I451">
        <v>45864</v>
      </c>
      <c r="J451">
        <v>42</v>
      </c>
      <c r="K451">
        <v>45</v>
      </c>
      <c r="L451">
        <f t="shared" si="56"/>
        <v>3</v>
      </c>
      <c r="M451" t="str">
        <f t="shared" si="57"/>
        <v>Delayed</v>
      </c>
      <c r="N451">
        <v>15</v>
      </c>
      <c r="O451">
        <v>11</v>
      </c>
      <c r="P451">
        <f t="shared" si="58"/>
        <v>0.73333333333333328</v>
      </c>
      <c r="Q451">
        <v>41</v>
      </c>
      <c r="R451">
        <v>595.5</v>
      </c>
      <c r="S451">
        <v>28798</v>
      </c>
      <c r="T451" t="s">
        <v>45</v>
      </c>
      <c r="U451">
        <v>0</v>
      </c>
      <c r="V451">
        <v>5</v>
      </c>
      <c r="W451">
        <v>3</v>
      </c>
      <c r="X451">
        <v>6</v>
      </c>
      <c r="Y451">
        <v>3.72</v>
      </c>
      <c r="Z451">
        <v>3.8</v>
      </c>
      <c r="AA451">
        <v>0.78</v>
      </c>
      <c r="AB451">
        <f t="shared" si="59"/>
        <v>5</v>
      </c>
      <c r="AC451">
        <f t="shared" si="60"/>
        <v>3.99</v>
      </c>
      <c r="AD451" t="str">
        <f t="shared" si="61"/>
        <v>⭐⭐⭐</v>
      </c>
      <c r="AE451" t="str">
        <f t="shared" si="62"/>
        <v>Improve workforce allocation</v>
      </c>
      <c r="AF451" t="str">
        <f t="shared" si="63"/>
        <v>Use for normal priority orders</v>
      </c>
    </row>
    <row r="452" spans="1:32" ht="24" customHeight="1">
      <c r="A452" t="s">
        <v>956</v>
      </c>
      <c r="B452" t="s">
        <v>40</v>
      </c>
      <c r="C452" t="s">
        <v>41</v>
      </c>
      <c r="D452" t="s">
        <v>42</v>
      </c>
      <c r="E452" t="s">
        <v>957</v>
      </c>
      <c r="F452" t="s">
        <v>57</v>
      </c>
      <c r="G452">
        <v>12187</v>
      </c>
      <c r="H452">
        <v>45864</v>
      </c>
      <c r="I452">
        <v>45907</v>
      </c>
      <c r="J452">
        <v>38</v>
      </c>
      <c r="K452">
        <v>38</v>
      </c>
      <c r="L452">
        <f t="shared" si="56"/>
        <v>0</v>
      </c>
      <c r="M452" t="str">
        <f t="shared" si="57"/>
        <v>On Time</v>
      </c>
      <c r="N452">
        <v>11</v>
      </c>
      <c r="O452">
        <v>9</v>
      </c>
      <c r="P452">
        <f t="shared" si="58"/>
        <v>0.81818181818181823</v>
      </c>
      <c r="Q452">
        <v>49</v>
      </c>
      <c r="R452">
        <v>320.7</v>
      </c>
      <c r="S452">
        <v>14187</v>
      </c>
      <c r="T452" t="s">
        <v>45</v>
      </c>
      <c r="U452">
        <v>1</v>
      </c>
      <c r="V452">
        <v>6</v>
      </c>
      <c r="W452">
        <v>2</v>
      </c>
      <c r="X452">
        <v>3</v>
      </c>
      <c r="Y452">
        <v>2.5499999999999998</v>
      </c>
      <c r="Z452">
        <v>4.3</v>
      </c>
      <c r="AA452">
        <v>0.85</v>
      </c>
      <c r="AB452">
        <f t="shared" si="59"/>
        <v>5</v>
      </c>
      <c r="AC452">
        <f t="shared" si="60"/>
        <v>4.4000000000000004</v>
      </c>
      <c r="AD452" t="str">
        <f t="shared" si="61"/>
        <v>⭐⭐⭐⭐</v>
      </c>
      <c r="AE452" t="str">
        <f t="shared" si="62"/>
        <v>Maintain current resource allocation</v>
      </c>
      <c r="AF452" t="str">
        <f t="shared" si="63"/>
        <v>Recommended for medium-high orders</v>
      </c>
    </row>
    <row r="453" spans="1:32" ht="24" customHeight="1">
      <c r="A453" t="s">
        <v>958</v>
      </c>
      <c r="B453" t="s">
        <v>40</v>
      </c>
      <c r="C453" t="s">
        <v>41</v>
      </c>
      <c r="D453" t="s">
        <v>42</v>
      </c>
      <c r="E453" t="s">
        <v>959</v>
      </c>
      <c r="F453" t="s">
        <v>44</v>
      </c>
      <c r="G453">
        <v>3055</v>
      </c>
      <c r="H453">
        <v>45855</v>
      </c>
      <c r="I453">
        <v>45892</v>
      </c>
      <c r="J453">
        <v>30</v>
      </c>
      <c r="K453">
        <v>36</v>
      </c>
      <c r="L453">
        <f t="shared" si="56"/>
        <v>6</v>
      </c>
      <c r="M453" t="str">
        <f t="shared" si="57"/>
        <v>Delayed</v>
      </c>
      <c r="N453">
        <v>17</v>
      </c>
      <c r="O453">
        <v>12</v>
      </c>
      <c r="P453">
        <f t="shared" si="58"/>
        <v>0.70588235294117652</v>
      </c>
      <c r="Q453">
        <v>50</v>
      </c>
      <c r="R453">
        <v>84.9</v>
      </c>
      <c r="S453">
        <v>3055</v>
      </c>
      <c r="T453" t="s">
        <v>38</v>
      </c>
      <c r="U453">
        <v>4</v>
      </c>
      <c r="V453">
        <v>10</v>
      </c>
      <c r="W453">
        <v>0</v>
      </c>
      <c r="X453">
        <v>1</v>
      </c>
      <c r="Y453">
        <v>2.85</v>
      </c>
      <c r="Z453">
        <v>4.3</v>
      </c>
      <c r="AA453">
        <v>0.85</v>
      </c>
      <c r="AB453">
        <f t="shared" si="59"/>
        <v>5</v>
      </c>
      <c r="AC453">
        <f t="shared" si="60"/>
        <v>4.2</v>
      </c>
      <c r="AD453" t="str">
        <f t="shared" si="61"/>
        <v>⭐⭐⭐⭐</v>
      </c>
      <c r="AE453" t="str">
        <f t="shared" si="62"/>
        <v>Reduce risk days and add supervisor monitoring</v>
      </c>
      <c r="AF453" t="str">
        <f t="shared" si="63"/>
        <v>Recommended for medium-high orders</v>
      </c>
    </row>
    <row r="454" spans="1:32" ht="24" customHeight="1">
      <c r="A454" t="s">
        <v>960</v>
      </c>
      <c r="B454" t="s">
        <v>40</v>
      </c>
      <c r="C454" t="s">
        <v>41</v>
      </c>
      <c r="D454" t="s">
        <v>42</v>
      </c>
      <c r="E454" t="s">
        <v>961</v>
      </c>
      <c r="F454" t="s">
        <v>44</v>
      </c>
      <c r="G454">
        <v>11982</v>
      </c>
      <c r="H454">
        <v>45846</v>
      </c>
      <c r="I454">
        <v>45881</v>
      </c>
      <c r="J454">
        <v>26</v>
      </c>
      <c r="K454">
        <v>31</v>
      </c>
      <c r="L454">
        <f t="shared" si="56"/>
        <v>5</v>
      </c>
      <c r="M454" t="str">
        <f t="shared" si="57"/>
        <v>Delayed</v>
      </c>
      <c r="N454">
        <v>17</v>
      </c>
      <c r="O454">
        <v>13</v>
      </c>
      <c r="P454">
        <f t="shared" si="58"/>
        <v>0.76470588235294112</v>
      </c>
      <c r="Q454">
        <v>45</v>
      </c>
      <c r="R454">
        <v>386.5</v>
      </c>
      <c r="S454">
        <v>13982</v>
      </c>
      <c r="T454" t="s">
        <v>38</v>
      </c>
      <c r="U454">
        <v>5</v>
      </c>
      <c r="V454">
        <v>8</v>
      </c>
      <c r="W454">
        <v>1</v>
      </c>
      <c r="X454">
        <v>4</v>
      </c>
      <c r="Y454">
        <v>2.66</v>
      </c>
      <c r="Z454">
        <v>4.3</v>
      </c>
      <c r="AA454">
        <v>0.85</v>
      </c>
      <c r="AB454">
        <f t="shared" si="59"/>
        <v>5</v>
      </c>
      <c r="AC454">
        <f t="shared" si="60"/>
        <v>4.25</v>
      </c>
      <c r="AD454" t="str">
        <f t="shared" si="61"/>
        <v>⭐⭐⭐⭐</v>
      </c>
      <c r="AE454" t="str">
        <f t="shared" si="62"/>
        <v>Improve workforce allocation</v>
      </c>
      <c r="AF454" t="str">
        <f t="shared" si="63"/>
        <v>Recommended for medium-high orders</v>
      </c>
    </row>
    <row r="455" spans="1:32" ht="24" customHeight="1">
      <c r="A455" t="s">
        <v>962</v>
      </c>
      <c r="B455" t="s">
        <v>78</v>
      </c>
      <c r="C455" t="s">
        <v>79</v>
      </c>
      <c r="D455" t="s">
        <v>80</v>
      </c>
      <c r="E455" t="s">
        <v>963</v>
      </c>
      <c r="F455" t="s">
        <v>44</v>
      </c>
      <c r="G455">
        <v>14815</v>
      </c>
      <c r="H455">
        <v>45901</v>
      </c>
      <c r="I455">
        <v>45931</v>
      </c>
      <c r="J455">
        <v>29</v>
      </c>
      <c r="K455">
        <v>29</v>
      </c>
      <c r="L455">
        <f t="shared" si="56"/>
        <v>0</v>
      </c>
      <c r="M455" t="str">
        <f t="shared" si="57"/>
        <v>On Time</v>
      </c>
      <c r="N455">
        <v>18</v>
      </c>
      <c r="O455">
        <v>14</v>
      </c>
      <c r="P455">
        <f t="shared" si="58"/>
        <v>0.77777777777777779</v>
      </c>
      <c r="Q455">
        <v>56</v>
      </c>
      <c r="R455">
        <v>510.9</v>
      </c>
      <c r="S455">
        <v>16815</v>
      </c>
      <c r="T455" t="s">
        <v>45</v>
      </c>
      <c r="U455">
        <v>3</v>
      </c>
      <c r="V455">
        <v>2</v>
      </c>
      <c r="W455">
        <v>2</v>
      </c>
      <c r="X455">
        <v>3</v>
      </c>
      <c r="Y455">
        <v>2.4500000000000002</v>
      </c>
      <c r="Z455">
        <v>4.8</v>
      </c>
      <c r="AA455">
        <v>0.92</v>
      </c>
      <c r="AB455">
        <f t="shared" si="59"/>
        <v>5</v>
      </c>
      <c r="AC455">
        <f t="shared" si="60"/>
        <v>4.5999999999999996</v>
      </c>
      <c r="AD455" t="str">
        <f t="shared" si="61"/>
        <v>⭐⭐⭐⭐⭐</v>
      </c>
      <c r="AE455" t="str">
        <f t="shared" si="62"/>
        <v>Maintain current resource allocation</v>
      </c>
      <c r="AF455" t="str">
        <f t="shared" si="63"/>
        <v>Best for urgent/high priority orders</v>
      </c>
    </row>
    <row r="456" spans="1:32" ht="24" customHeight="1">
      <c r="A456" t="s">
        <v>964</v>
      </c>
      <c r="B456" t="s">
        <v>33</v>
      </c>
      <c r="C456" t="s">
        <v>34</v>
      </c>
      <c r="D456" t="s">
        <v>35</v>
      </c>
      <c r="E456" t="s">
        <v>965</v>
      </c>
      <c r="F456" t="s">
        <v>44</v>
      </c>
      <c r="G456">
        <v>18465</v>
      </c>
      <c r="H456">
        <v>45704</v>
      </c>
      <c r="I456">
        <v>45747</v>
      </c>
      <c r="J456">
        <v>38</v>
      </c>
      <c r="K456">
        <v>41</v>
      </c>
      <c r="L456">
        <f t="shared" si="56"/>
        <v>3</v>
      </c>
      <c r="M456" t="str">
        <f t="shared" si="57"/>
        <v>Delayed</v>
      </c>
      <c r="N456">
        <v>13</v>
      </c>
      <c r="O456">
        <v>10</v>
      </c>
      <c r="P456">
        <f t="shared" si="58"/>
        <v>0.76923076923076927</v>
      </c>
      <c r="Q456">
        <v>52</v>
      </c>
      <c r="R456">
        <v>450.4</v>
      </c>
      <c r="S456">
        <v>21465</v>
      </c>
      <c r="T456" t="s">
        <v>45</v>
      </c>
      <c r="U456">
        <v>3</v>
      </c>
      <c r="V456">
        <v>7</v>
      </c>
      <c r="W456">
        <v>3</v>
      </c>
      <c r="X456">
        <v>4</v>
      </c>
      <c r="Y456">
        <v>3.08</v>
      </c>
      <c r="Z456">
        <v>4.2</v>
      </c>
      <c r="AA456">
        <v>0.83</v>
      </c>
      <c r="AB456">
        <f t="shared" si="59"/>
        <v>5</v>
      </c>
      <c r="AC456">
        <f t="shared" si="60"/>
        <v>4.1900000000000004</v>
      </c>
      <c r="AD456" t="str">
        <f t="shared" si="61"/>
        <v>⭐⭐⭐⭐</v>
      </c>
      <c r="AE456" t="str">
        <f t="shared" si="62"/>
        <v>Improve workforce allocation</v>
      </c>
      <c r="AF456" t="str">
        <f t="shared" si="63"/>
        <v>Recommended for medium-high orders</v>
      </c>
    </row>
    <row r="457" spans="1:32" ht="24" customHeight="1">
      <c r="A457" t="s">
        <v>966</v>
      </c>
      <c r="B457" t="s">
        <v>33</v>
      </c>
      <c r="C457" t="s">
        <v>34</v>
      </c>
      <c r="D457" t="s">
        <v>35</v>
      </c>
      <c r="E457" t="s">
        <v>967</v>
      </c>
      <c r="F457" t="s">
        <v>57</v>
      </c>
      <c r="G457">
        <v>16473</v>
      </c>
      <c r="H457">
        <v>45859</v>
      </c>
      <c r="I457">
        <v>45898</v>
      </c>
      <c r="J457">
        <v>33</v>
      </c>
      <c r="K457">
        <v>34</v>
      </c>
      <c r="L457">
        <f t="shared" si="56"/>
        <v>1</v>
      </c>
      <c r="M457" t="str">
        <f t="shared" si="57"/>
        <v>Delayed</v>
      </c>
      <c r="N457">
        <v>16</v>
      </c>
      <c r="O457">
        <v>12</v>
      </c>
      <c r="P457">
        <f t="shared" si="58"/>
        <v>0.75</v>
      </c>
      <c r="Q457">
        <v>39</v>
      </c>
      <c r="R457">
        <v>484.5</v>
      </c>
      <c r="S457">
        <v>20473</v>
      </c>
      <c r="T457" t="s">
        <v>45</v>
      </c>
      <c r="U457">
        <v>0</v>
      </c>
      <c r="V457">
        <v>6</v>
      </c>
      <c r="W457">
        <v>4</v>
      </c>
      <c r="X457">
        <v>0</v>
      </c>
      <c r="Y457">
        <v>3.34</v>
      </c>
      <c r="Z457">
        <v>4.2</v>
      </c>
      <c r="AA457">
        <v>0.83</v>
      </c>
      <c r="AB457">
        <f t="shared" si="59"/>
        <v>5</v>
      </c>
      <c r="AC457">
        <f t="shared" si="60"/>
        <v>4.18</v>
      </c>
      <c r="AD457" t="str">
        <f t="shared" si="61"/>
        <v>⭐⭐⭐⭐</v>
      </c>
      <c r="AE457" t="str">
        <f t="shared" si="62"/>
        <v>Increase machine maintenance support</v>
      </c>
      <c r="AF457" t="str">
        <f t="shared" si="63"/>
        <v>Recommended for medium-high orders</v>
      </c>
    </row>
    <row r="458" spans="1:32" ht="24" customHeight="1">
      <c r="A458" t="s">
        <v>968</v>
      </c>
      <c r="B458" t="s">
        <v>69</v>
      </c>
      <c r="C458" t="s">
        <v>70</v>
      </c>
      <c r="D458" t="s">
        <v>71</v>
      </c>
      <c r="E458" t="s">
        <v>969</v>
      </c>
      <c r="F458" t="s">
        <v>67</v>
      </c>
      <c r="G458">
        <v>48971</v>
      </c>
      <c r="H458">
        <v>45824</v>
      </c>
      <c r="I458">
        <v>45900</v>
      </c>
      <c r="J458">
        <v>75</v>
      </c>
      <c r="K458">
        <v>73</v>
      </c>
      <c r="L458">
        <f t="shared" si="56"/>
        <v>-2</v>
      </c>
      <c r="M458" t="str">
        <f t="shared" si="57"/>
        <v>Early</v>
      </c>
      <c r="N458">
        <v>15</v>
      </c>
      <c r="O458">
        <v>11</v>
      </c>
      <c r="P458">
        <f t="shared" si="58"/>
        <v>0.73333333333333328</v>
      </c>
      <c r="Q458">
        <v>44</v>
      </c>
      <c r="R458">
        <v>670.8</v>
      </c>
      <c r="S458">
        <v>48971</v>
      </c>
      <c r="T458" t="s">
        <v>45</v>
      </c>
      <c r="U458">
        <v>2</v>
      </c>
      <c r="V458">
        <v>7</v>
      </c>
      <c r="W458">
        <v>2</v>
      </c>
      <c r="X458">
        <v>3</v>
      </c>
      <c r="Y458">
        <v>3.59</v>
      </c>
      <c r="Z458">
        <v>3.8</v>
      </c>
      <c r="AA458">
        <v>0.78</v>
      </c>
      <c r="AB458">
        <f t="shared" si="59"/>
        <v>5</v>
      </c>
      <c r="AC458">
        <f t="shared" si="60"/>
        <v>4.1399999999999997</v>
      </c>
      <c r="AD458" t="str">
        <f t="shared" si="61"/>
        <v>⭐⭐⭐⭐</v>
      </c>
      <c r="AE458" t="str">
        <f t="shared" si="62"/>
        <v>Maintain current resource allocation</v>
      </c>
      <c r="AF458" t="str">
        <f t="shared" si="63"/>
        <v>Recommended for medium-high orders</v>
      </c>
    </row>
    <row r="459" spans="1:32" ht="24" customHeight="1">
      <c r="A459" t="s">
        <v>970</v>
      </c>
      <c r="B459" t="s">
        <v>40</v>
      </c>
      <c r="C459" t="s">
        <v>41</v>
      </c>
      <c r="D459" t="s">
        <v>42</v>
      </c>
      <c r="E459" t="s">
        <v>971</v>
      </c>
      <c r="F459" t="s">
        <v>44</v>
      </c>
      <c r="G459">
        <v>18582</v>
      </c>
      <c r="H459">
        <v>45786</v>
      </c>
      <c r="I459">
        <v>45813</v>
      </c>
      <c r="J459">
        <v>25</v>
      </c>
      <c r="K459">
        <v>27</v>
      </c>
      <c r="L459">
        <f t="shared" si="56"/>
        <v>2</v>
      </c>
      <c r="M459" t="str">
        <f t="shared" si="57"/>
        <v>Delayed</v>
      </c>
      <c r="N459">
        <v>17</v>
      </c>
      <c r="O459">
        <v>14</v>
      </c>
      <c r="P459">
        <f t="shared" si="58"/>
        <v>0.82352941176470584</v>
      </c>
      <c r="Q459">
        <v>50</v>
      </c>
      <c r="R459">
        <v>688.2</v>
      </c>
      <c r="S459">
        <v>18582</v>
      </c>
      <c r="T459" t="s">
        <v>45</v>
      </c>
      <c r="U459">
        <v>0</v>
      </c>
      <c r="V459">
        <v>5</v>
      </c>
      <c r="W459">
        <v>4</v>
      </c>
      <c r="X459">
        <v>4</v>
      </c>
      <c r="Y459">
        <v>2.71</v>
      </c>
      <c r="Z459">
        <v>4.3</v>
      </c>
      <c r="AA459">
        <v>0.85</v>
      </c>
      <c r="AB459">
        <f t="shared" si="59"/>
        <v>5</v>
      </c>
      <c r="AC459">
        <f t="shared" si="60"/>
        <v>4.29</v>
      </c>
      <c r="AD459" t="str">
        <f t="shared" si="61"/>
        <v>⭐⭐⭐⭐</v>
      </c>
      <c r="AE459" t="str">
        <f t="shared" si="62"/>
        <v>Increase machine maintenance support</v>
      </c>
      <c r="AF459" t="str">
        <f t="shared" si="63"/>
        <v>Recommended for medium-high orders</v>
      </c>
    </row>
    <row r="460" spans="1:32" ht="24" customHeight="1">
      <c r="A460" t="s">
        <v>972</v>
      </c>
      <c r="B460" t="s">
        <v>33</v>
      </c>
      <c r="C460" t="s">
        <v>34</v>
      </c>
      <c r="D460" t="s">
        <v>35</v>
      </c>
      <c r="E460" t="s">
        <v>973</v>
      </c>
      <c r="F460" t="s">
        <v>67</v>
      </c>
      <c r="G460">
        <v>55212</v>
      </c>
      <c r="H460">
        <v>45721</v>
      </c>
      <c r="I460">
        <v>45794</v>
      </c>
      <c r="J460">
        <v>70</v>
      </c>
      <c r="K460">
        <v>69</v>
      </c>
      <c r="L460">
        <f t="shared" si="56"/>
        <v>-1</v>
      </c>
      <c r="M460" t="str">
        <f t="shared" si="57"/>
        <v>Early</v>
      </c>
      <c r="N460">
        <v>17</v>
      </c>
      <c r="O460">
        <v>14</v>
      </c>
      <c r="P460">
        <f t="shared" si="58"/>
        <v>0.82352941176470584</v>
      </c>
      <c r="Q460">
        <v>39</v>
      </c>
      <c r="R460">
        <v>800.2</v>
      </c>
      <c r="S460">
        <v>56212</v>
      </c>
      <c r="T460" t="s">
        <v>45</v>
      </c>
      <c r="U460">
        <v>0</v>
      </c>
      <c r="V460">
        <v>9</v>
      </c>
      <c r="W460">
        <v>4</v>
      </c>
      <c r="X460">
        <v>2</v>
      </c>
      <c r="Y460">
        <v>2.98</v>
      </c>
      <c r="Z460">
        <v>4.2</v>
      </c>
      <c r="AA460">
        <v>0.83</v>
      </c>
      <c r="AB460">
        <f t="shared" si="59"/>
        <v>5</v>
      </c>
      <c r="AC460">
        <f t="shared" si="60"/>
        <v>4.3899999999999997</v>
      </c>
      <c r="AD460" t="str">
        <f t="shared" si="61"/>
        <v>⭐⭐⭐⭐</v>
      </c>
      <c r="AE460" t="str">
        <f t="shared" si="62"/>
        <v>Maintain current resource allocation</v>
      </c>
      <c r="AF460" t="str">
        <f t="shared" si="63"/>
        <v>Recommended for medium-high orders</v>
      </c>
    </row>
    <row r="461" spans="1:32" ht="24" customHeight="1">
      <c r="A461" t="s">
        <v>974</v>
      </c>
      <c r="B461" t="s">
        <v>61</v>
      </c>
      <c r="C461" t="s">
        <v>62</v>
      </c>
      <c r="D461" t="s">
        <v>63</v>
      </c>
      <c r="E461" t="s">
        <v>975</v>
      </c>
      <c r="F461" t="s">
        <v>67</v>
      </c>
      <c r="G461">
        <v>40367</v>
      </c>
      <c r="H461">
        <v>45815</v>
      </c>
      <c r="I461">
        <v>45888</v>
      </c>
      <c r="J461">
        <v>63</v>
      </c>
      <c r="K461">
        <v>70</v>
      </c>
      <c r="L461">
        <f t="shared" si="56"/>
        <v>7</v>
      </c>
      <c r="M461" t="str">
        <f t="shared" si="57"/>
        <v>Delayed</v>
      </c>
      <c r="N461">
        <v>9</v>
      </c>
      <c r="O461">
        <v>7</v>
      </c>
      <c r="P461">
        <f t="shared" si="58"/>
        <v>0.77777777777777779</v>
      </c>
      <c r="Q461">
        <v>46</v>
      </c>
      <c r="R461">
        <v>576.70000000000005</v>
      </c>
      <c r="S461">
        <v>40367</v>
      </c>
      <c r="T461" t="s">
        <v>38</v>
      </c>
      <c r="U461">
        <v>3</v>
      </c>
      <c r="V461">
        <v>8</v>
      </c>
      <c r="W461">
        <v>4</v>
      </c>
      <c r="X461">
        <v>6</v>
      </c>
      <c r="Y461">
        <v>2.95</v>
      </c>
      <c r="Z461">
        <v>4</v>
      </c>
      <c r="AA461">
        <v>0.8</v>
      </c>
      <c r="AB461">
        <f t="shared" si="59"/>
        <v>5</v>
      </c>
      <c r="AC461">
        <f t="shared" si="60"/>
        <v>4.0999999999999996</v>
      </c>
      <c r="AD461" t="str">
        <f t="shared" si="61"/>
        <v>⭐⭐⭐⭐</v>
      </c>
      <c r="AE461" t="str">
        <f t="shared" si="62"/>
        <v>Increase machine maintenance support</v>
      </c>
      <c r="AF461" t="str">
        <f t="shared" si="63"/>
        <v>Recommended for medium-high orders</v>
      </c>
    </row>
    <row r="462" spans="1:32" ht="24" customHeight="1">
      <c r="A462" t="s">
        <v>976</v>
      </c>
      <c r="B462" t="s">
        <v>78</v>
      </c>
      <c r="C462" t="s">
        <v>79</v>
      </c>
      <c r="D462" t="s">
        <v>80</v>
      </c>
      <c r="E462" t="s">
        <v>977</v>
      </c>
      <c r="F462" t="s">
        <v>37</v>
      </c>
      <c r="G462">
        <v>22366</v>
      </c>
      <c r="H462">
        <v>45743</v>
      </c>
      <c r="I462">
        <v>45779</v>
      </c>
      <c r="J462">
        <v>30</v>
      </c>
      <c r="K462">
        <v>31</v>
      </c>
      <c r="L462">
        <f t="shared" si="56"/>
        <v>1</v>
      </c>
      <c r="M462" t="str">
        <f t="shared" si="57"/>
        <v>Delayed</v>
      </c>
      <c r="N462">
        <v>15</v>
      </c>
      <c r="O462">
        <v>12</v>
      </c>
      <c r="P462">
        <f t="shared" si="58"/>
        <v>0.8</v>
      </c>
      <c r="Q462">
        <v>56</v>
      </c>
      <c r="R462">
        <v>721.5</v>
      </c>
      <c r="S462">
        <v>22366</v>
      </c>
      <c r="T462" t="s">
        <v>45</v>
      </c>
      <c r="U462">
        <v>1</v>
      </c>
      <c r="V462">
        <v>1</v>
      </c>
      <c r="W462">
        <v>2</v>
      </c>
      <c r="X462">
        <v>3</v>
      </c>
      <c r="Y462">
        <v>3.1</v>
      </c>
      <c r="Z462">
        <v>4.8</v>
      </c>
      <c r="AA462">
        <v>0.92</v>
      </c>
      <c r="AB462">
        <f t="shared" si="59"/>
        <v>5</v>
      </c>
      <c r="AC462">
        <f t="shared" si="60"/>
        <v>4.51</v>
      </c>
      <c r="AD462" t="str">
        <f t="shared" si="61"/>
        <v>⭐⭐⭐⭐⭐</v>
      </c>
      <c r="AE462" t="str">
        <f t="shared" si="62"/>
        <v>Increase daily output monitoring</v>
      </c>
      <c r="AF462" t="str">
        <f t="shared" si="63"/>
        <v>Best for urgent/high priority orders</v>
      </c>
    </row>
    <row r="463" spans="1:32" ht="24" customHeight="1">
      <c r="A463" t="s">
        <v>978</v>
      </c>
      <c r="B463" t="s">
        <v>78</v>
      </c>
      <c r="C463" t="s">
        <v>79</v>
      </c>
      <c r="D463" t="s">
        <v>80</v>
      </c>
      <c r="E463" t="s">
        <v>979</v>
      </c>
      <c r="F463" t="s">
        <v>57</v>
      </c>
      <c r="G463">
        <v>6764</v>
      </c>
      <c r="H463">
        <v>45823</v>
      </c>
      <c r="I463">
        <v>45854</v>
      </c>
      <c r="J463">
        <v>29</v>
      </c>
      <c r="K463">
        <v>30</v>
      </c>
      <c r="L463">
        <f t="shared" si="56"/>
        <v>1</v>
      </c>
      <c r="M463" t="str">
        <f t="shared" si="57"/>
        <v>Delayed</v>
      </c>
      <c r="N463">
        <v>21</v>
      </c>
      <c r="O463">
        <v>17</v>
      </c>
      <c r="P463">
        <f t="shared" si="58"/>
        <v>0.80952380952380953</v>
      </c>
      <c r="Q463">
        <v>56</v>
      </c>
      <c r="R463">
        <v>225.5</v>
      </c>
      <c r="S463">
        <v>6764</v>
      </c>
      <c r="T463" t="s">
        <v>45</v>
      </c>
      <c r="U463">
        <v>2</v>
      </c>
      <c r="V463">
        <v>2</v>
      </c>
      <c r="W463">
        <v>0</v>
      </c>
      <c r="X463">
        <v>1</v>
      </c>
      <c r="Y463">
        <v>3.44</v>
      </c>
      <c r="Z463">
        <v>4.8</v>
      </c>
      <c r="AA463">
        <v>0.92</v>
      </c>
      <c r="AB463">
        <f t="shared" si="59"/>
        <v>5</v>
      </c>
      <c r="AC463">
        <f t="shared" si="60"/>
        <v>4.5199999999999996</v>
      </c>
      <c r="AD463" t="str">
        <f t="shared" si="61"/>
        <v>⭐⭐⭐⭐⭐</v>
      </c>
      <c r="AE463" t="str">
        <f t="shared" si="62"/>
        <v>Increase daily output monitoring</v>
      </c>
      <c r="AF463" t="str">
        <f t="shared" si="63"/>
        <v>Best for urgent/high priority orders</v>
      </c>
    </row>
    <row r="464" spans="1:32" ht="24" customHeight="1">
      <c r="A464" t="s">
        <v>980</v>
      </c>
      <c r="B464" t="s">
        <v>78</v>
      </c>
      <c r="C464" t="s">
        <v>79</v>
      </c>
      <c r="D464" t="s">
        <v>80</v>
      </c>
      <c r="E464" t="s">
        <v>981</v>
      </c>
      <c r="F464" t="s">
        <v>44</v>
      </c>
      <c r="G464">
        <v>14752</v>
      </c>
      <c r="H464">
        <v>45932</v>
      </c>
      <c r="I464">
        <v>45964</v>
      </c>
      <c r="J464">
        <v>30</v>
      </c>
      <c r="K464">
        <v>28</v>
      </c>
      <c r="L464">
        <f t="shared" si="56"/>
        <v>-2</v>
      </c>
      <c r="M464" t="str">
        <f t="shared" si="57"/>
        <v>Early</v>
      </c>
      <c r="N464">
        <v>16</v>
      </c>
      <c r="O464">
        <v>15</v>
      </c>
      <c r="P464">
        <f t="shared" si="58"/>
        <v>0.9375</v>
      </c>
      <c r="Q464">
        <v>63</v>
      </c>
      <c r="R464">
        <v>526.9</v>
      </c>
      <c r="S464">
        <v>16752</v>
      </c>
      <c r="T464" t="s">
        <v>45</v>
      </c>
      <c r="U464">
        <v>3</v>
      </c>
      <c r="V464">
        <v>7</v>
      </c>
      <c r="W464">
        <v>2</v>
      </c>
      <c r="X464">
        <v>0</v>
      </c>
      <c r="Y464">
        <v>3.11</v>
      </c>
      <c r="Z464">
        <v>4.8</v>
      </c>
      <c r="AA464">
        <v>0.92</v>
      </c>
      <c r="AB464">
        <f t="shared" si="59"/>
        <v>5</v>
      </c>
      <c r="AC464">
        <f t="shared" si="60"/>
        <v>4.76</v>
      </c>
      <c r="AD464" t="str">
        <f t="shared" si="61"/>
        <v>⭐⭐⭐⭐⭐</v>
      </c>
      <c r="AE464" t="str">
        <f t="shared" si="62"/>
        <v>Maintain current resource allocation</v>
      </c>
      <c r="AF464" t="str">
        <f t="shared" si="63"/>
        <v>Best for urgent/high priority orders</v>
      </c>
    </row>
    <row r="465" spans="1:32" ht="24" customHeight="1">
      <c r="A465" t="s">
        <v>982</v>
      </c>
      <c r="B465" t="s">
        <v>78</v>
      </c>
      <c r="C465" t="s">
        <v>79</v>
      </c>
      <c r="D465" t="s">
        <v>80</v>
      </c>
      <c r="E465" t="s">
        <v>983</v>
      </c>
      <c r="F465" t="s">
        <v>37</v>
      </c>
      <c r="G465">
        <v>20628</v>
      </c>
      <c r="H465">
        <v>45667</v>
      </c>
      <c r="I465">
        <v>45705</v>
      </c>
      <c r="J465">
        <v>36</v>
      </c>
      <c r="K465">
        <v>34</v>
      </c>
      <c r="L465">
        <f t="shared" si="56"/>
        <v>-2</v>
      </c>
      <c r="M465" t="str">
        <f t="shared" si="57"/>
        <v>Early</v>
      </c>
      <c r="N465">
        <v>20</v>
      </c>
      <c r="O465">
        <v>19</v>
      </c>
      <c r="P465">
        <f t="shared" si="58"/>
        <v>0.95</v>
      </c>
      <c r="Q465">
        <v>65</v>
      </c>
      <c r="R465">
        <v>606.70000000000005</v>
      </c>
      <c r="S465">
        <v>20628</v>
      </c>
      <c r="T465" t="s">
        <v>45</v>
      </c>
      <c r="U465">
        <v>2</v>
      </c>
      <c r="V465">
        <v>2</v>
      </c>
      <c r="W465">
        <v>4</v>
      </c>
      <c r="X465">
        <v>0</v>
      </c>
      <c r="Y465">
        <v>3.46</v>
      </c>
      <c r="Z465">
        <v>4.8</v>
      </c>
      <c r="AA465">
        <v>0.92</v>
      </c>
      <c r="AB465">
        <f t="shared" si="59"/>
        <v>5</v>
      </c>
      <c r="AC465">
        <f t="shared" si="60"/>
        <v>4.7699999999999996</v>
      </c>
      <c r="AD465" t="str">
        <f t="shared" si="61"/>
        <v>⭐⭐⭐⭐⭐</v>
      </c>
      <c r="AE465" t="str">
        <f t="shared" si="62"/>
        <v>Maintain current resource allocation</v>
      </c>
      <c r="AF465" t="str">
        <f t="shared" si="63"/>
        <v>Best for urgent/high priority orders</v>
      </c>
    </row>
    <row r="466" spans="1:32" ht="24" customHeight="1">
      <c r="A466" t="s">
        <v>984</v>
      </c>
      <c r="B466" t="s">
        <v>69</v>
      </c>
      <c r="C466" t="s">
        <v>70</v>
      </c>
      <c r="D466" t="s">
        <v>71</v>
      </c>
      <c r="E466" t="s">
        <v>985</v>
      </c>
      <c r="F466" t="s">
        <v>57</v>
      </c>
      <c r="G466">
        <v>13372</v>
      </c>
      <c r="H466">
        <v>45809</v>
      </c>
      <c r="I466">
        <v>45845</v>
      </c>
      <c r="J466">
        <v>31</v>
      </c>
      <c r="K466">
        <v>35</v>
      </c>
      <c r="L466">
        <f t="shared" si="56"/>
        <v>4</v>
      </c>
      <c r="M466" t="str">
        <f t="shared" si="57"/>
        <v>Delayed</v>
      </c>
      <c r="N466">
        <v>9</v>
      </c>
      <c r="O466">
        <v>6</v>
      </c>
      <c r="P466">
        <f t="shared" si="58"/>
        <v>0.66666666666666663</v>
      </c>
      <c r="Q466">
        <v>40</v>
      </c>
      <c r="R466">
        <v>382.1</v>
      </c>
      <c r="S466">
        <v>14372</v>
      </c>
      <c r="T466" t="s">
        <v>45</v>
      </c>
      <c r="U466">
        <v>0</v>
      </c>
      <c r="V466">
        <v>7</v>
      </c>
      <c r="W466">
        <v>3</v>
      </c>
      <c r="X466">
        <v>7</v>
      </c>
      <c r="Y466">
        <v>3.81</v>
      </c>
      <c r="Z466">
        <v>3.8</v>
      </c>
      <c r="AA466">
        <v>0.78</v>
      </c>
      <c r="AB466">
        <f t="shared" si="59"/>
        <v>5</v>
      </c>
      <c r="AC466">
        <f t="shared" si="60"/>
        <v>3.94</v>
      </c>
      <c r="AD466" t="str">
        <f t="shared" si="61"/>
        <v>⭐⭐⭐</v>
      </c>
      <c r="AE466" t="str">
        <f t="shared" si="62"/>
        <v>Improve workforce allocation</v>
      </c>
      <c r="AF466" t="str">
        <f t="shared" si="63"/>
        <v>Use for normal priority orders</v>
      </c>
    </row>
    <row r="467" spans="1:32" ht="24" customHeight="1">
      <c r="A467" t="s">
        <v>986</v>
      </c>
      <c r="B467" t="s">
        <v>78</v>
      </c>
      <c r="C467" t="s">
        <v>79</v>
      </c>
      <c r="D467" t="s">
        <v>80</v>
      </c>
      <c r="E467" t="s">
        <v>987</v>
      </c>
      <c r="F467" t="s">
        <v>67</v>
      </c>
      <c r="G467">
        <v>47800</v>
      </c>
      <c r="H467">
        <v>45775</v>
      </c>
      <c r="I467">
        <v>45855</v>
      </c>
      <c r="J467">
        <v>74</v>
      </c>
      <c r="K467">
        <v>75</v>
      </c>
      <c r="L467">
        <f t="shared" si="56"/>
        <v>1</v>
      </c>
      <c r="M467" t="str">
        <f t="shared" si="57"/>
        <v>Delayed</v>
      </c>
      <c r="N467">
        <v>15</v>
      </c>
      <c r="O467">
        <v>13</v>
      </c>
      <c r="P467">
        <f t="shared" si="58"/>
        <v>0.8666666666666667</v>
      </c>
      <c r="Q467">
        <v>63</v>
      </c>
      <c r="R467">
        <v>637.29999999999995</v>
      </c>
      <c r="S467">
        <v>49800</v>
      </c>
      <c r="T467" t="s">
        <v>45</v>
      </c>
      <c r="U467">
        <v>0</v>
      </c>
      <c r="V467">
        <v>3</v>
      </c>
      <c r="W467">
        <v>0</v>
      </c>
      <c r="X467">
        <v>2</v>
      </c>
      <c r="Y467">
        <v>3.19</v>
      </c>
      <c r="Z467">
        <v>4.8</v>
      </c>
      <c r="AA467">
        <v>0.92</v>
      </c>
      <c r="AB467">
        <f t="shared" si="59"/>
        <v>5</v>
      </c>
      <c r="AC467">
        <f t="shared" si="60"/>
        <v>4.5599999999999996</v>
      </c>
      <c r="AD467" t="str">
        <f t="shared" si="61"/>
        <v>⭐⭐⭐⭐⭐</v>
      </c>
      <c r="AE467" t="str">
        <f t="shared" si="62"/>
        <v>Increase daily output monitoring</v>
      </c>
      <c r="AF467" t="str">
        <f t="shared" si="63"/>
        <v>Best for urgent/high priority orders</v>
      </c>
    </row>
    <row r="468" spans="1:32" ht="24" customHeight="1">
      <c r="A468" t="s">
        <v>988</v>
      </c>
      <c r="B468" t="s">
        <v>53</v>
      </c>
      <c r="C468" t="s">
        <v>54</v>
      </c>
      <c r="D468" t="s">
        <v>55</v>
      </c>
      <c r="E468" t="s">
        <v>989</v>
      </c>
      <c r="F468" t="s">
        <v>67</v>
      </c>
      <c r="G468">
        <v>57672</v>
      </c>
      <c r="H468">
        <v>45756</v>
      </c>
      <c r="I468">
        <v>45809</v>
      </c>
      <c r="J468">
        <v>56</v>
      </c>
      <c r="K468">
        <v>53</v>
      </c>
      <c r="L468">
        <f t="shared" si="56"/>
        <v>-3</v>
      </c>
      <c r="M468" t="str">
        <f t="shared" si="57"/>
        <v>Early</v>
      </c>
      <c r="N468">
        <v>19</v>
      </c>
      <c r="O468">
        <v>15</v>
      </c>
      <c r="P468">
        <f t="shared" si="58"/>
        <v>0.78947368421052633</v>
      </c>
      <c r="Q468">
        <v>49</v>
      </c>
      <c r="R468">
        <v>1088.2</v>
      </c>
      <c r="S468">
        <v>60672</v>
      </c>
      <c r="T468" t="s">
        <v>45</v>
      </c>
      <c r="U468">
        <v>0</v>
      </c>
      <c r="V468">
        <v>3</v>
      </c>
      <c r="W468">
        <v>1</v>
      </c>
      <c r="X468">
        <v>0</v>
      </c>
      <c r="Y468">
        <v>3.53</v>
      </c>
      <c r="Z468">
        <v>4.5</v>
      </c>
      <c r="AA468">
        <v>0.88</v>
      </c>
      <c r="AB468">
        <f t="shared" si="59"/>
        <v>5</v>
      </c>
      <c r="AC468">
        <f t="shared" si="60"/>
        <v>4.51</v>
      </c>
      <c r="AD468" t="str">
        <f t="shared" si="61"/>
        <v>⭐⭐⭐⭐⭐</v>
      </c>
      <c r="AE468" t="str">
        <f t="shared" si="62"/>
        <v>Maintain current resource allocation</v>
      </c>
      <c r="AF468" t="str">
        <f t="shared" si="63"/>
        <v>Best for urgent/high priority orders</v>
      </c>
    </row>
    <row r="469" spans="1:32" ht="24" customHeight="1">
      <c r="A469" t="s">
        <v>990</v>
      </c>
      <c r="B469" t="s">
        <v>33</v>
      </c>
      <c r="C469" t="s">
        <v>34</v>
      </c>
      <c r="D469" t="s">
        <v>35</v>
      </c>
      <c r="E469" t="s">
        <v>991</v>
      </c>
      <c r="F469" t="s">
        <v>67</v>
      </c>
      <c r="G469">
        <v>44114</v>
      </c>
      <c r="H469">
        <v>45953</v>
      </c>
      <c r="I469">
        <v>46017</v>
      </c>
      <c r="J469">
        <v>57</v>
      </c>
      <c r="K469">
        <v>61</v>
      </c>
      <c r="L469">
        <f t="shared" si="56"/>
        <v>4</v>
      </c>
      <c r="M469" t="str">
        <f t="shared" si="57"/>
        <v>Delayed</v>
      </c>
      <c r="N469">
        <v>13</v>
      </c>
      <c r="O469">
        <v>10</v>
      </c>
      <c r="P469">
        <f t="shared" si="58"/>
        <v>0.76923076923076927</v>
      </c>
      <c r="Q469">
        <v>41</v>
      </c>
      <c r="R469">
        <v>723.2</v>
      </c>
      <c r="S469">
        <v>46114</v>
      </c>
      <c r="T469" t="s">
        <v>38</v>
      </c>
      <c r="U469">
        <v>2</v>
      </c>
      <c r="V469">
        <v>9</v>
      </c>
      <c r="W469">
        <v>3</v>
      </c>
      <c r="X469">
        <v>3</v>
      </c>
      <c r="Y469">
        <v>2.82</v>
      </c>
      <c r="Z469">
        <v>4.2</v>
      </c>
      <c r="AA469">
        <v>0.83</v>
      </c>
      <c r="AB469">
        <f t="shared" si="59"/>
        <v>5</v>
      </c>
      <c r="AC469">
        <f t="shared" si="60"/>
        <v>4.1900000000000004</v>
      </c>
      <c r="AD469" t="str">
        <f t="shared" si="61"/>
        <v>⭐⭐⭐⭐</v>
      </c>
      <c r="AE469" t="str">
        <f t="shared" si="62"/>
        <v>Reduce risk days and add supervisor monitoring</v>
      </c>
      <c r="AF469" t="str">
        <f t="shared" si="63"/>
        <v>Recommended for medium-high orders</v>
      </c>
    </row>
    <row r="470" spans="1:32" ht="24" customHeight="1">
      <c r="A470" t="s">
        <v>992</v>
      </c>
      <c r="B470" t="s">
        <v>69</v>
      </c>
      <c r="C470" t="s">
        <v>70</v>
      </c>
      <c r="D470" t="s">
        <v>71</v>
      </c>
      <c r="E470" t="s">
        <v>993</v>
      </c>
      <c r="F470" t="s">
        <v>67</v>
      </c>
      <c r="G470">
        <v>55767</v>
      </c>
      <c r="H470">
        <v>45811</v>
      </c>
      <c r="I470">
        <v>45876</v>
      </c>
      <c r="J470">
        <v>57</v>
      </c>
      <c r="K470">
        <v>61</v>
      </c>
      <c r="L470">
        <f t="shared" si="56"/>
        <v>4</v>
      </c>
      <c r="M470" t="str">
        <f t="shared" si="57"/>
        <v>Delayed</v>
      </c>
      <c r="N470">
        <v>14</v>
      </c>
      <c r="O470">
        <v>11</v>
      </c>
      <c r="P470">
        <f t="shared" si="58"/>
        <v>0.7857142857142857</v>
      </c>
      <c r="Q470">
        <v>42</v>
      </c>
      <c r="R470">
        <v>914.2</v>
      </c>
      <c r="S470">
        <v>55767</v>
      </c>
      <c r="T470" t="s">
        <v>45</v>
      </c>
      <c r="U470">
        <v>3</v>
      </c>
      <c r="V470">
        <v>5</v>
      </c>
      <c r="W470">
        <v>4</v>
      </c>
      <c r="X470">
        <v>1</v>
      </c>
      <c r="Y470">
        <v>3.23</v>
      </c>
      <c r="Z470">
        <v>3.8</v>
      </c>
      <c r="AA470">
        <v>0.78</v>
      </c>
      <c r="AB470">
        <f t="shared" si="59"/>
        <v>5</v>
      </c>
      <c r="AC470">
        <f t="shared" si="60"/>
        <v>4.0199999999999996</v>
      </c>
      <c r="AD470" t="str">
        <f t="shared" si="61"/>
        <v>⭐⭐⭐⭐</v>
      </c>
      <c r="AE470" t="str">
        <f t="shared" si="62"/>
        <v>Increase machine maintenance support</v>
      </c>
      <c r="AF470" t="str">
        <f t="shared" si="63"/>
        <v>Recommended for medium-high orders</v>
      </c>
    </row>
    <row r="471" spans="1:32" ht="24" customHeight="1">
      <c r="A471" t="s">
        <v>994</v>
      </c>
      <c r="B471" t="s">
        <v>40</v>
      </c>
      <c r="C471" t="s">
        <v>41</v>
      </c>
      <c r="D471" t="s">
        <v>42</v>
      </c>
      <c r="E471" t="s">
        <v>995</v>
      </c>
      <c r="F471" t="s">
        <v>67</v>
      </c>
      <c r="G471">
        <v>52466</v>
      </c>
      <c r="H471">
        <v>45914</v>
      </c>
      <c r="I471">
        <v>45987</v>
      </c>
      <c r="J471">
        <v>69</v>
      </c>
      <c r="K471">
        <v>68</v>
      </c>
      <c r="L471">
        <f t="shared" si="56"/>
        <v>-1</v>
      </c>
      <c r="M471" t="str">
        <f t="shared" si="57"/>
        <v>Early</v>
      </c>
      <c r="N471">
        <v>18</v>
      </c>
      <c r="O471">
        <v>13</v>
      </c>
      <c r="P471">
        <f t="shared" si="58"/>
        <v>0.72222222222222221</v>
      </c>
      <c r="Q471">
        <v>44</v>
      </c>
      <c r="R471">
        <v>771.6</v>
      </c>
      <c r="S471">
        <v>52466</v>
      </c>
      <c r="T471" t="s">
        <v>45</v>
      </c>
      <c r="U471">
        <v>0</v>
      </c>
      <c r="V471">
        <v>5</v>
      </c>
      <c r="W471">
        <v>2</v>
      </c>
      <c r="X471">
        <v>5</v>
      </c>
      <c r="Y471">
        <v>3.2</v>
      </c>
      <c r="Z471">
        <v>4.3</v>
      </c>
      <c r="AA471">
        <v>0.85</v>
      </c>
      <c r="AB471">
        <f t="shared" si="59"/>
        <v>5</v>
      </c>
      <c r="AC471">
        <f t="shared" si="60"/>
        <v>4.3600000000000003</v>
      </c>
      <c r="AD471" t="str">
        <f t="shared" si="61"/>
        <v>⭐⭐⭐⭐</v>
      </c>
      <c r="AE471" t="str">
        <f t="shared" si="62"/>
        <v>Maintain current resource allocation</v>
      </c>
      <c r="AF471" t="str">
        <f t="shared" si="63"/>
        <v>Recommended for medium-high orders</v>
      </c>
    </row>
    <row r="472" spans="1:32" ht="24" customHeight="1">
      <c r="A472" t="s">
        <v>996</v>
      </c>
      <c r="B472" t="s">
        <v>33</v>
      </c>
      <c r="C472" t="s">
        <v>34</v>
      </c>
      <c r="D472" t="s">
        <v>35</v>
      </c>
      <c r="E472" t="s">
        <v>997</v>
      </c>
      <c r="F472" t="s">
        <v>57</v>
      </c>
      <c r="G472">
        <v>11812</v>
      </c>
      <c r="H472">
        <v>45788</v>
      </c>
      <c r="I472">
        <v>45828</v>
      </c>
      <c r="J472">
        <v>36</v>
      </c>
      <c r="K472">
        <v>35</v>
      </c>
      <c r="L472">
        <f t="shared" si="56"/>
        <v>-1</v>
      </c>
      <c r="M472" t="str">
        <f t="shared" si="57"/>
        <v>Early</v>
      </c>
      <c r="N472">
        <v>16</v>
      </c>
      <c r="O472">
        <v>13</v>
      </c>
      <c r="P472">
        <f t="shared" si="58"/>
        <v>0.8125</v>
      </c>
      <c r="Q472">
        <v>37</v>
      </c>
      <c r="R472">
        <v>337.5</v>
      </c>
      <c r="S472">
        <v>14812</v>
      </c>
      <c r="T472" t="s">
        <v>45</v>
      </c>
      <c r="U472">
        <v>1</v>
      </c>
      <c r="V472">
        <v>3</v>
      </c>
      <c r="W472">
        <v>4</v>
      </c>
      <c r="X472">
        <v>1</v>
      </c>
      <c r="Y472">
        <v>3.37</v>
      </c>
      <c r="Z472">
        <v>4.2</v>
      </c>
      <c r="AA472">
        <v>0.83</v>
      </c>
      <c r="AB472">
        <f t="shared" si="59"/>
        <v>5</v>
      </c>
      <c r="AC472">
        <f t="shared" si="60"/>
        <v>4.38</v>
      </c>
      <c r="AD472" t="str">
        <f t="shared" si="61"/>
        <v>⭐⭐⭐⭐</v>
      </c>
      <c r="AE472" t="str">
        <f t="shared" si="62"/>
        <v>Maintain current resource allocation</v>
      </c>
      <c r="AF472" t="str">
        <f t="shared" si="63"/>
        <v>Recommended for medium-high orders</v>
      </c>
    </row>
    <row r="473" spans="1:32" ht="24" customHeight="1">
      <c r="A473" t="s">
        <v>998</v>
      </c>
      <c r="B473" t="s">
        <v>53</v>
      </c>
      <c r="C473" t="s">
        <v>54</v>
      </c>
      <c r="D473" t="s">
        <v>55</v>
      </c>
      <c r="E473" t="s">
        <v>999</v>
      </c>
      <c r="F473" t="s">
        <v>57</v>
      </c>
      <c r="G473">
        <v>16410</v>
      </c>
      <c r="H473">
        <v>45967</v>
      </c>
      <c r="I473">
        <v>45996</v>
      </c>
      <c r="J473">
        <v>25</v>
      </c>
      <c r="K473">
        <v>26</v>
      </c>
      <c r="L473">
        <f t="shared" si="56"/>
        <v>1</v>
      </c>
      <c r="M473" t="str">
        <f t="shared" si="57"/>
        <v>Delayed</v>
      </c>
      <c r="N473">
        <v>18</v>
      </c>
      <c r="O473">
        <v>15</v>
      </c>
      <c r="P473">
        <f t="shared" si="58"/>
        <v>0.83333333333333337</v>
      </c>
      <c r="Q473">
        <v>44</v>
      </c>
      <c r="R473">
        <v>631.20000000000005</v>
      </c>
      <c r="S473">
        <v>17410</v>
      </c>
      <c r="T473" t="s">
        <v>45</v>
      </c>
      <c r="U473">
        <v>2</v>
      </c>
      <c r="V473">
        <v>7</v>
      </c>
      <c r="W473">
        <v>4</v>
      </c>
      <c r="X473">
        <v>0</v>
      </c>
      <c r="Y473">
        <v>3.17</v>
      </c>
      <c r="Z473">
        <v>4.5</v>
      </c>
      <c r="AA473">
        <v>0.88</v>
      </c>
      <c r="AB473">
        <f t="shared" si="59"/>
        <v>5</v>
      </c>
      <c r="AC473">
        <f t="shared" si="60"/>
        <v>4.4000000000000004</v>
      </c>
      <c r="AD473" t="str">
        <f t="shared" si="61"/>
        <v>⭐⭐⭐⭐</v>
      </c>
      <c r="AE473" t="str">
        <f t="shared" si="62"/>
        <v>Increase machine maintenance support</v>
      </c>
      <c r="AF473" t="str">
        <f t="shared" si="63"/>
        <v>Recommended for medium-high orders</v>
      </c>
    </row>
    <row r="474" spans="1:32" ht="24" customHeight="1">
      <c r="A474" t="s">
        <v>1000</v>
      </c>
      <c r="B474" t="s">
        <v>69</v>
      </c>
      <c r="C474" t="s">
        <v>70</v>
      </c>
      <c r="D474" t="s">
        <v>71</v>
      </c>
      <c r="E474" t="s">
        <v>1001</v>
      </c>
      <c r="F474" t="s">
        <v>67</v>
      </c>
      <c r="G474">
        <v>59731</v>
      </c>
      <c r="H474">
        <v>45876</v>
      </c>
      <c r="I474">
        <v>45950</v>
      </c>
      <c r="J474">
        <v>73</v>
      </c>
      <c r="K474">
        <v>72</v>
      </c>
      <c r="L474">
        <f t="shared" si="56"/>
        <v>-1</v>
      </c>
      <c r="M474" t="str">
        <f t="shared" si="57"/>
        <v>Early</v>
      </c>
      <c r="N474">
        <v>14</v>
      </c>
      <c r="O474">
        <v>10</v>
      </c>
      <c r="P474">
        <f t="shared" si="58"/>
        <v>0.7142857142857143</v>
      </c>
      <c r="Q474">
        <v>45</v>
      </c>
      <c r="R474">
        <v>829.6</v>
      </c>
      <c r="S474">
        <v>59731</v>
      </c>
      <c r="T474" t="s">
        <v>45</v>
      </c>
      <c r="U474">
        <v>1</v>
      </c>
      <c r="V474">
        <v>7</v>
      </c>
      <c r="W474">
        <v>3</v>
      </c>
      <c r="X474">
        <v>4</v>
      </c>
      <c r="Y474">
        <v>3.59</v>
      </c>
      <c r="Z474">
        <v>3.8</v>
      </c>
      <c r="AA474">
        <v>0.78</v>
      </c>
      <c r="AB474">
        <f t="shared" si="59"/>
        <v>5</v>
      </c>
      <c r="AC474">
        <f t="shared" si="60"/>
        <v>4.12</v>
      </c>
      <c r="AD474" t="str">
        <f t="shared" si="61"/>
        <v>⭐⭐⭐⭐</v>
      </c>
      <c r="AE474" t="str">
        <f t="shared" si="62"/>
        <v>Maintain current resource allocation</v>
      </c>
      <c r="AF474" t="str">
        <f t="shared" si="63"/>
        <v>Recommended for medium-high orders</v>
      </c>
    </row>
    <row r="475" spans="1:32" ht="24" customHeight="1">
      <c r="A475" t="s">
        <v>1002</v>
      </c>
      <c r="B475" t="s">
        <v>33</v>
      </c>
      <c r="C475" t="s">
        <v>34</v>
      </c>
      <c r="D475" t="s">
        <v>35</v>
      </c>
      <c r="E475" t="s">
        <v>1003</v>
      </c>
      <c r="F475" t="s">
        <v>57</v>
      </c>
      <c r="G475">
        <v>17024</v>
      </c>
      <c r="H475">
        <v>45815</v>
      </c>
      <c r="I475">
        <v>45856</v>
      </c>
      <c r="J475">
        <v>37</v>
      </c>
      <c r="K475">
        <v>41</v>
      </c>
      <c r="L475">
        <f t="shared" si="56"/>
        <v>4</v>
      </c>
      <c r="M475" t="str">
        <f t="shared" si="57"/>
        <v>Delayed</v>
      </c>
      <c r="N475">
        <v>15</v>
      </c>
      <c r="O475">
        <v>12</v>
      </c>
      <c r="P475">
        <f t="shared" si="58"/>
        <v>0.8</v>
      </c>
      <c r="Q475">
        <v>42</v>
      </c>
      <c r="R475">
        <v>415.2</v>
      </c>
      <c r="S475">
        <v>18024</v>
      </c>
      <c r="T475" t="s">
        <v>45</v>
      </c>
      <c r="U475">
        <v>3</v>
      </c>
      <c r="V475">
        <v>4</v>
      </c>
      <c r="W475">
        <v>5</v>
      </c>
      <c r="X475">
        <v>1</v>
      </c>
      <c r="Y475">
        <v>3.57</v>
      </c>
      <c r="Z475">
        <v>4.2</v>
      </c>
      <c r="AA475">
        <v>0.83</v>
      </c>
      <c r="AB475">
        <f t="shared" si="59"/>
        <v>5</v>
      </c>
      <c r="AC475">
        <f t="shared" si="60"/>
        <v>4.22</v>
      </c>
      <c r="AD475" t="str">
        <f t="shared" si="61"/>
        <v>⭐⭐⭐⭐</v>
      </c>
      <c r="AE475" t="str">
        <f t="shared" si="62"/>
        <v>Increase machine maintenance support</v>
      </c>
      <c r="AF475" t="str">
        <f t="shared" si="63"/>
        <v>Recommended for medium-high orders</v>
      </c>
    </row>
    <row r="476" spans="1:32" ht="24" customHeight="1">
      <c r="A476" t="s">
        <v>1004</v>
      </c>
      <c r="B476" t="s">
        <v>69</v>
      </c>
      <c r="C476" t="s">
        <v>70</v>
      </c>
      <c r="D476" t="s">
        <v>71</v>
      </c>
      <c r="E476" t="s">
        <v>1005</v>
      </c>
      <c r="F476" t="s">
        <v>57</v>
      </c>
      <c r="G476">
        <v>6587</v>
      </c>
      <c r="H476">
        <v>45888</v>
      </c>
      <c r="I476">
        <v>45915</v>
      </c>
      <c r="J476">
        <v>17</v>
      </c>
      <c r="K476">
        <v>23</v>
      </c>
      <c r="L476">
        <f t="shared" si="56"/>
        <v>6</v>
      </c>
      <c r="M476" t="str">
        <f t="shared" si="57"/>
        <v>Delayed</v>
      </c>
      <c r="N476">
        <v>10</v>
      </c>
      <c r="O476">
        <v>7</v>
      </c>
      <c r="P476">
        <f t="shared" si="58"/>
        <v>0.7</v>
      </c>
      <c r="Q476">
        <v>31</v>
      </c>
      <c r="R476">
        <v>286.39999999999998</v>
      </c>
      <c r="S476">
        <v>7587</v>
      </c>
      <c r="T476" t="s">
        <v>45</v>
      </c>
      <c r="U476">
        <v>3</v>
      </c>
      <c r="V476">
        <v>4</v>
      </c>
      <c r="W476">
        <v>4</v>
      </c>
      <c r="X476">
        <v>3</v>
      </c>
      <c r="Y476">
        <v>3.85</v>
      </c>
      <c r="Z476">
        <v>3.8</v>
      </c>
      <c r="AA476">
        <v>0.78</v>
      </c>
      <c r="AB476">
        <f t="shared" si="59"/>
        <v>5</v>
      </c>
      <c r="AC476">
        <f t="shared" si="60"/>
        <v>3.96</v>
      </c>
      <c r="AD476" t="str">
        <f t="shared" si="61"/>
        <v>⭐⭐⭐</v>
      </c>
      <c r="AE476" t="str">
        <f t="shared" si="62"/>
        <v>Increase machine maintenance support</v>
      </c>
      <c r="AF476" t="str">
        <f t="shared" si="63"/>
        <v>Use for normal priority orders</v>
      </c>
    </row>
    <row r="477" spans="1:32" ht="24" customHeight="1">
      <c r="A477" t="s">
        <v>1006</v>
      </c>
      <c r="B477" t="s">
        <v>61</v>
      </c>
      <c r="C477" t="s">
        <v>62</v>
      </c>
      <c r="D477" t="s">
        <v>63</v>
      </c>
      <c r="E477" t="s">
        <v>1007</v>
      </c>
      <c r="F477" t="s">
        <v>67</v>
      </c>
      <c r="G477">
        <v>41932</v>
      </c>
      <c r="H477">
        <v>45701</v>
      </c>
      <c r="I477">
        <v>45768</v>
      </c>
      <c r="J477">
        <v>60</v>
      </c>
      <c r="K477">
        <v>64</v>
      </c>
      <c r="L477">
        <f t="shared" si="56"/>
        <v>4</v>
      </c>
      <c r="M477" t="str">
        <f t="shared" si="57"/>
        <v>Delayed</v>
      </c>
      <c r="N477">
        <v>10</v>
      </c>
      <c r="O477">
        <v>8</v>
      </c>
      <c r="P477">
        <f t="shared" si="58"/>
        <v>0.8</v>
      </c>
      <c r="Q477">
        <v>35</v>
      </c>
      <c r="R477">
        <v>655.20000000000005</v>
      </c>
      <c r="S477">
        <v>41932</v>
      </c>
      <c r="T477" t="s">
        <v>45</v>
      </c>
      <c r="U477">
        <v>2</v>
      </c>
      <c r="V477">
        <v>13</v>
      </c>
      <c r="W477">
        <v>5</v>
      </c>
      <c r="X477">
        <v>8</v>
      </c>
      <c r="Y477">
        <v>2.95</v>
      </c>
      <c r="Z477">
        <v>4</v>
      </c>
      <c r="AA477">
        <v>0.8</v>
      </c>
      <c r="AB477">
        <f t="shared" si="59"/>
        <v>5</v>
      </c>
      <c r="AC477">
        <f t="shared" si="60"/>
        <v>4.12</v>
      </c>
      <c r="AD477" t="str">
        <f t="shared" si="61"/>
        <v>⭐⭐⭐⭐</v>
      </c>
      <c r="AE477" t="str">
        <f t="shared" si="62"/>
        <v>Reduce risk days and add supervisor monitoring</v>
      </c>
      <c r="AF477" t="str">
        <f t="shared" si="63"/>
        <v>Recommended for medium-high orders</v>
      </c>
    </row>
    <row r="478" spans="1:32" ht="24" customHeight="1">
      <c r="A478" t="s">
        <v>1008</v>
      </c>
      <c r="B478" t="s">
        <v>78</v>
      </c>
      <c r="C478" t="s">
        <v>79</v>
      </c>
      <c r="D478" t="s">
        <v>80</v>
      </c>
      <c r="E478" t="s">
        <v>1009</v>
      </c>
      <c r="F478" t="s">
        <v>37</v>
      </c>
      <c r="G478">
        <v>10972</v>
      </c>
      <c r="H478">
        <v>45966</v>
      </c>
      <c r="I478">
        <v>46013</v>
      </c>
      <c r="J478">
        <v>42</v>
      </c>
      <c r="K478">
        <v>43</v>
      </c>
      <c r="L478">
        <f t="shared" si="56"/>
        <v>1</v>
      </c>
      <c r="M478" t="str">
        <f t="shared" si="57"/>
        <v>Delayed</v>
      </c>
      <c r="N478">
        <v>15</v>
      </c>
      <c r="O478">
        <v>13</v>
      </c>
      <c r="P478">
        <f t="shared" si="58"/>
        <v>0.8666666666666667</v>
      </c>
      <c r="Q478">
        <v>51</v>
      </c>
      <c r="R478">
        <v>255.2</v>
      </c>
      <c r="S478">
        <v>10972</v>
      </c>
      <c r="T478" t="s">
        <v>38</v>
      </c>
      <c r="U478">
        <v>1</v>
      </c>
      <c r="V478">
        <v>1</v>
      </c>
      <c r="W478">
        <v>2</v>
      </c>
      <c r="X478">
        <v>4</v>
      </c>
      <c r="Y478">
        <v>2.85</v>
      </c>
      <c r="Z478">
        <v>4.8</v>
      </c>
      <c r="AA478">
        <v>0.92</v>
      </c>
      <c r="AB478">
        <f t="shared" si="59"/>
        <v>5</v>
      </c>
      <c r="AC478">
        <f t="shared" si="60"/>
        <v>4.5599999999999996</v>
      </c>
      <c r="AD478" t="str">
        <f t="shared" si="61"/>
        <v>⭐⭐⭐⭐⭐</v>
      </c>
      <c r="AE478" t="str">
        <f t="shared" si="62"/>
        <v>Improve workforce allocation</v>
      </c>
      <c r="AF478" t="str">
        <f t="shared" si="63"/>
        <v>Best for urgent/high priority orders</v>
      </c>
    </row>
    <row r="479" spans="1:32" ht="24" customHeight="1">
      <c r="A479" t="s">
        <v>1010</v>
      </c>
      <c r="B479" t="s">
        <v>69</v>
      </c>
      <c r="C479" t="s">
        <v>70</v>
      </c>
      <c r="D479" t="s">
        <v>71</v>
      </c>
      <c r="E479" t="s">
        <v>1011</v>
      </c>
      <c r="F479" t="s">
        <v>44</v>
      </c>
      <c r="G479">
        <v>17506</v>
      </c>
      <c r="H479">
        <v>45840</v>
      </c>
      <c r="I479">
        <v>45878</v>
      </c>
      <c r="J479">
        <v>34</v>
      </c>
      <c r="K479">
        <v>36</v>
      </c>
      <c r="L479">
        <f t="shared" si="56"/>
        <v>2</v>
      </c>
      <c r="M479" t="str">
        <f t="shared" si="57"/>
        <v>Delayed</v>
      </c>
      <c r="N479">
        <v>11</v>
      </c>
      <c r="O479">
        <v>9</v>
      </c>
      <c r="P479">
        <f t="shared" si="58"/>
        <v>0.81818181818181823</v>
      </c>
      <c r="Q479">
        <v>39</v>
      </c>
      <c r="R479">
        <v>486.3</v>
      </c>
      <c r="S479">
        <v>20506</v>
      </c>
      <c r="T479" t="s">
        <v>45</v>
      </c>
      <c r="U479">
        <v>0</v>
      </c>
      <c r="V479">
        <v>7</v>
      </c>
      <c r="W479">
        <v>2</v>
      </c>
      <c r="X479">
        <v>6</v>
      </c>
      <c r="Y479">
        <v>3.73</v>
      </c>
      <c r="Z479">
        <v>3.8</v>
      </c>
      <c r="AA479">
        <v>0.78</v>
      </c>
      <c r="AB479">
        <f t="shared" si="59"/>
        <v>5</v>
      </c>
      <c r="AC479">
        <f t="shared" si="60"/>
        <v>4.05</v>
      </c>
      <c r="AD479" t="str">
        <f t="shared" si="61"/>
        <v>⭐⭐⭐⭐</v>
      </c>
      <c r="AE479" t="str">
        <f t="shared" si="62"/>
        <v>Improve workforce allocation</v>
      </c>
      <c r="AF479" t="str">
        <f t="shared" si="63"/>
        <v>Recommended for medium-high orders</v>
      </c>
    </row>
    <row r="480" spans="1:32" ht="24" customHeight="1">
      <c r="A480" t="s">
        <v>1012</v>
      </c>
      <c r="B480" t="s">
        <v>61</v>
      </c>
      <c r="C480" t="s">
        <v>62</v>
      </c>
      <c r="D480" t="s">
        <v>63</v>
      </c>
      <c r="E480" t="s">
        <v>1013</v>
      </c>
      <c r="F480" t="s">
        <v>37</v>
      </c>
      <c r="G480">
        <v>23166</v>
      </c>
      <c r="H480">
        <v>45666</v>
      </c>
      <c r="I480">
        <v>45706</v>
      </c>
      <c r="J480">
        <v>28</v>
      </c>
      <c r="K480">
        <v>35</v>
      </c>
      <c r="L480">
        <f t="shared" si="56"/>
        <v>7</v>
      </c>
      <c r="M480" t="str">
        <f t="shared" si="57"/>
        <v>Delayed</v>
      </c>
      <c r="N480">
        <v>16</v>
      </c>
      <c r="O480">
        <v>11</v>
      </c>
      <c r="P480">
        <f t="shared" si="58"/>
        <v>0.6875</v>
      </c>
      <c r="Q480">
        <v>36</v>
      </c>
      <c r="R480">
        <v>661.9</v>
      </c>
      <c r="S480">
        <v>23166</v>
      </c>
      <c r="T480" t="s">
        <v>38</v>
      </c>
      <c r="U480">
        <v>5</v>
      </c>
      <c r="V480">
        <v>11</v>
      </c>
      <c r="W480">
        <v>4</v>
      </c>
      <c r="X480">
        <v>1</v>
      </c>
      <c r="Y480">
        <v>4.09</v>
      </c>
      <c r="Z480">
        <v>4</v>
      </c>
      <c r="AA480">
        <v>0.8</v>
      </c>
      <c r="AB480">
        <f t="shared" si="59"/>
        <v>5</v>
      </c>
      <c r="AC480">
        <f t="shared" si="60"/>
        <v>4.04</v>
      </c>
      <c r="AD480" t="str">
        <f t="shared" si="61"/>
        <v>⭐⭐⭐⭐</v>
      </c>
      <c r="AE480" t="str">
        <f t="shared" si="62"/>
        <v>Reduce risk days and add supervisor monitoring</v>
      </c>
      <c r="AF480" t="str">
        <f t="shared" si="63"/>
        <v>Recommended for medium-high orders</v>
      </c>
    </row>
    <row r="481" spans="1:32" ht="24" customHeight="1">
      <c r="A481" t="s">
        <v>1014</v>
      </c>
      <c r="B481" t="s">
        <v>53</v>
      </c>
      <c r="C481" t="s">
        <v>54</v>
      </c>
      <c r="D481" t="s">
        <v>55</v>
      </c>
      <c r="E481" t="s">
        <v>1015</v>
      </c>
      <c r="F481" t="s">
        <v>37</v>
      </c>
      <c r="G481">
        <v>20666</v>
      </c>
      <c r="H481">
        <v>45968</v>
      </c>
      <c r="I481">
        <v>46013</v>
      </c>
      <c r="J481">
        <v>38</v>
      </c>
      <c r="K481">
        <v>44</v>
      </c>
      <c r="L481">
        <f t="shared" si="56"/>
        <v>6</v>
      </c>
      <c r="M481" t="str">
        <f t="shared" si="57"/>
        <v>Delayed</v>
      </c>
      <c r="N481">
        <v>20</v>
      </c>
      <c r="O481">
        <v>18</v>
      </c>
      <c r="P481">
        <f t="shared" si="58"/>
        <v>0.9</v>
      </c>
      <c r="Q481">
        <v>47</v>
      </c>
      <c r="R481">
        <v>469.7</v>
      </c>
      <c r="S481">
        <v>23666</v>
      </c>
      <c r="T481" t="s">
        <v>38</v>
      </c>
      <c r="U481">
        <v>2</v>
      </c>
      <c r="V481">
        <v>6</v>
      </c>
      <c r="W481">
        <v>0</v>
      </c>
      <c r="X481">
        <v>3</v>
      </c>
      <c r="Y481">
        <v>3.28</v>
      </c>
      <c r="Z481">
        <v>4.5</v>
      </c>
      <c r="AA481">
        <v>0.88</v>
      </c>
      <c r="AB481">
        <f t="shared" si="59"/>
        <v>5</v>
      </c>
      <c r="AC481">
        <f t="shared" si="60"/>
        <v>4.45</v>
      </c>
      <c r="AD481" t="str">
        <f t="shared" si="61"/>
        <v>⭐⭐⭐⭐</v>
      </c>
      <c r="AE481" t="str">
        <f t="shared" si="62"/>
        <v>Increase daily output monitoring</v>
      </c>
      <c r="AF481" t="str">
        <f t="shared" si="63"/>
        <v>Recommended for medium-high orders</v>
      </c>
    </row>
    <row r="482" spans="1:32" ht="24" customHeight="1">
      <c r="A482" t="s">
        <v>1016</v>
      </c>
      <c r="B482" t="s">
        <v>33</v>
      </c>
      <c r="C482" t="s">
        <v>34</v>
      </c>
      <c r="D482" t="s">
        <v>35</v>
      </c>
      <c r="E482" t="s">
        <v>1017</v>
      </c>
      <c r="F482" t="s">
        <v>37</v>
      </c>
      <c r="G482">
        <v>26316</v>
      </c>
      <c r="H482">
        <v>45703</v>
      </c>
      <c r="I482">
        <v>45744</v>
      </c>
      <c r="J482">
        <v>40</v>
      </c>
      <c r="K482">
        <v>41</v>
      </c>
      <c r="L482">
        <f t="shared" si="56"/>
        <v>1</v>
      </c>
      <c r="M482" t="str">
        <f t="shared" si="57"/>
        <v>Delayed</v>
      </c>
      <c r="N482">
        <v>17</v>
      </c>
      <c r="O482">
        <v>14</v>
      </c>
      <c r="P482">
        <f t="shared" si="58"/>
        <v>0.82352941176470584</v>
      </c>
      <c r="Q482">
        <v>49</v>
      </c>
      <c r="R482">
        <v>641.9</v>
      </c>
      <c r="S482">
        <v>30316</v>
      </c>
      <c r="T482" t="s">
        <v>45</v>
      </c>
      <c r="U482">
        <v>1</v>
      </c>
      <c r="V482">
        <v>4</v>
      </c>
      <c r="W482">
        <v>1</v>
      </c>
      <c r="X482">
        <v>3</v>
      </c>
      <c r="Y482">
        <v>3.21</v>
      </c>
      <c r="Z482">
        <v>4.2</v>
      </c>
      <c r="AA482">
        <v>0.83</v>
      </c>
      <c r="AB482">
        <f t="shared" si="59"/>
        <v>5</v>
      </c>
      <c r="AC482">
        <f t="shared" si="60"/>
        <v>4.24</v>
      </c>
      <c r="AD482" t="str">
        <f t="shared" si="61"/>
        <v>⭐⭐⭐⭐</v>
      </c>
      <c r="AE482" t="str">
        <f t="shared" si="62"/>
        <v>Increase daily output monitoring</v>
      </c>
      <c r="AF482" t="str">
        <f t="shared" si="63"/>
        <v>Recommended for medium-high orders</v>
      </c>
    </row>
    <row r="483" spans="1:32" ht="24" customHeight="1">
      <c r="A483" t="s">
        <v>1018</v>
      </c>
      <c r="B483" t="s">
        <v>40</v>
      </c>
      <c r="C483" t="s">
        <v>41</v>
      </c>
      <c r="D483" t="s">
        <v>42</v>
      </c>
      <c r="E483" t="s">
        <v>1019</v>
      </c>
      <c r="F483" t="s">
        <v>37</v>
      </c>
      <c r="G483">
        <v>20698</v>
      </c>
      <c r="H483">
        <v>45828</v>
      </c>
      <c r="I483">
        <v>45861</v>
      </c>
      <c r="J483">
        <v>36</v>
      </c>
      <c r="K483">
        <v>32</v>
      </c>
      <c r="L483">
        <f t="shared" si="56"/>
        <v>-4</v>
      </c>
      <c r="M483" t="str">
        <f t="shared" si="57"/>
        <v>Early</v>
      </c>
      <c r="N483">
        <v>12</v>
      </c>
      <c r="O483">
        <v>10</v>
      </c>
      <c r="P483">
        <f t="shared" si="58"/>
        <v>0.83333333333333337</v>
      </c>
      <c r="Q483">
        <v>55</v>
      </c>
      <c r="R483">
        <v>646.79999999999995</v>
      </c>
      <c r="S483">
        <v>23698</v>
      </c>
      <c r="T483" t="s">
        <v>45</v>
      </c>
      <c r="U483">
        <v>0</v>
      </c>
      <c r="V483">
        <v>7</v>
      </c>
      <c r="W483">
        <v>2</v>
      </c>
      <c r="X483">
        <v>4</v>
      </c>
      <c r="Y483">
        <v>3.29</v>
      </c>
      <c r="Z483">
        <v>4.3</v>
      </c>
      <c r="AA483">
        <v>0.85</v>
      </c>
      <c r="AB483">
        <f t="shared" si="59"/>
        <v>5</v>
      </c>
      <c r="AC483">
        <f t="shared" si="60"/>
        <v>4.45</v>
      </c>
      <c r="AD483" t="str">
        <f t="shared" si="61"/>
        <v>⭐⭐⭐⭐</v>
      </c>
      <c r="AE483" t="str">
        <f t="shared" si="62"/>
        <v>Maintain current resource allocation</v>
      </c>
      <c r="AF483" t="str">
        <f t="shared" si="63"/>
        <v>Recommended for medium-high orders</v>
      </c>
    </row>
    <row r="484" spans="1:32" ht="24" customHeight="1">
      <c r="A484" t="s">
        <v>1020</v>
      </c>
      <c r="B484" t="s">
        <v>69</v>
      </c>
      <c r="C484" t="s">
        <v>70</v>
      </c>
      <c r="D484" t="s">
        <v>71</v>
      </c>
      <c r="E484" t="s">
        <v>1021</v>
      </c>
      <c r="F484" t="s">
        <v>37</v>
      </c>
      <c r="G484">
        <v>21246</v>
      </c>
      <c r="H484">
        <v>45832</v>
      </c>
      <c r="I484">
        <v>45872</v>
      </c>
      <c r="J484">
        <v>36</v>
      </c>
      <c r="K484">
        <v>35</v>
      </c>
      <c r="L484">
        <f t="shared" si="56"/>
        <v>-1</v>
      </c>
      <c r="M484" t="str">
        <f t="shared" si="57"/>
        <v>Early</v>
      </c>
      <c r="N484">
        <v>14</v>
      </c>
      <c r="O484">
        <v>11</v>
      </c>
      <c r="P484">
        <f t="shared" si="58"/>
        <v>0.7857142857142857</v>
      </c>
      <c r="Q484">
        <v>34</v>
      </c>
      <c r="R484">
        <v>607</v>
      </c>
      <c r="S484">
        <v>23246</v>
      </c>
      <c r="T484" t="s">
        <v>45</v>
      </c>
      <c r="U484">
        <v>0</v>
      </c>
      <c r="V484">
        <v>7</v>
      </c>
      <c r="W484">
        <v>0</v>
      </c>
      <c r="X484">
        <v>1</v>
      </c>
      <c r="Y484">
        <v>3.34</v>
      </c>
      <c r="Z484">
        <v>3.8</v>
      </c>
      <c r="AA484">
        <v>0.78</v>
      </c>
      <c r="AB484">
        <f t="shared" si="59"/>
        <v>5</v>
      </c>
      <c r="AC484">
        <f t="shared" si="60"/>
        <v>4.17</v>
      </c>
      <c r="AD484" t="str">
        <f t="shared" si="61"/>
        <v>⭐⭐⭐⭐</v>
      </c>
      <c r="AE484" t="str">
        <f t="shared" si="62"/>
        <v>Maintain current resource allocation</v>
      </c>
      <c r="AF484" t="str">
        <f t="shared" si="63"/>
        <v>Recommended for medium-high orders</v>
      </c>
    </row>
    <row r="485" spans="1:32" ht="24" customHeight="1">
      <c r="A485" t="s">
        <v>1022</v>
      </c>
      <c r="B485" t="s">
        <v>33</v>
      </c>
      <c r="C485" t="s">
        <v>34</v>
      </c>
      <c r="D485" t="s">
        <v>35</v>
      </c>
      <c r="E485" t="s">
        <v>1023</v>
      </c>
      <c r="F485" t="s">
        <v>67</v>
      </c>
      <c r="G485">
        <v>58770</v>
      </c>
      <c r="H485">
        <v>45722</v>
      </c>
      <c r="I485">
        <v>45797</v>
      </c>
      <c r="J485">
        <v>66</v>
      </c>
      <c r="K485">
        <v>71</v>
      </c>
      <c r="L485">
        <f t="shared" si="56"/>
        <v>5</v>
      </c>
      <c r="M485" t="str">
        <f t="shared" si="57"/>
        <v>Delayed</v>
      </c>
      <c r="N485">
        <v>16</v>
      </c>
      <c r="O485">
        <v>13</v>
      </c>
      <c r="P485">
        <f t="shared" si="58"/>
        <v>0.8125</v>
      </c>
      <c r="Q485">
        <v>44</v>
      </c>
      <c r="R485">
        <v>827.7</v>
      </c>
      <c r="S485">
        <v>60770</v>
      </c>
      <c r="T485" t="s">
        <v>38</v>
      </c>
      <c r="U485">
        <v>6</v>
      </c>
      <c r="V485">
        <v>10</v>
      </c>
      <c r="W485">
        <v>4</v>
      </c>
      <c r="X485">
        <v>2</v>
      </c>
      <c r="Y485">
        <v>3.2</v>
      </c>
      <c r="Z485">
        <v>4.2</v>
      </c>
      <c r="AA485">
        <v>0.83</v>
      </c>
      <c r="AB485">
        <f t="shared" si="59"/>
        <v>5</v>
      </c>
      <c r="AC485">
        <f t="shared" si="60"/>
        <v>4.2300000000000004</v>
      </c>
      <c r="AD485" t="str">
        <f t="shared" si="61"/>
        <v>⭐⭐⭐⭐</v>
      </c>
      <c r="AE485" t="str">
        <f t="shared" si="62"/>
        <v>Reduce risk days and add supervisor monitoring</v>
      </c>
      <c r="AF485" t="str">
        <f t="shared" si="63"/>
        <v>Recommended for medium-high orders</v>
      </c>
    </row>
    <row r="486" spans="1:32" ht="24" customHeight="1">
      <c r="A486" t="s">
        <v>1024</v>
      </c>
      <c r="B486" t="s">
        <v>33</v>
      </c>
      <c r="C486" t="s">
        <v>34</v>
      </c>
      <c r="D486" t="s">
        <v>35</v>
      </c>
      <c r="E486" t="s">
        <v>1025</v>
      </c>
      <c r="F486" t="s">
        <v>67</v>
      </c>
      <c r="G486">
        <v>52953</v>
      </c>
      <c r="H486">
        <v>45675</v>
      </c>
      <c r="I486">
        <v>45734</v>
      </c>
      <c r="J486">
        <v>55</v>
      </c>
      <c r="K486">
        <v>55</v>
      </c>
      <c r="L486">
        <f t="shared" si="56"/>
        <v>0</v>
      </c>
      <c r="M486" t="str">
        <f t="shared" si="57"/>
        <v>On Time</v>
      </c>
      <c r="N486">
        <v>17</v>
      </c>
      <c r="O486">
        <v>13</v>
      </c>
      <c r="P486">
        <f t="shared" si="58"/>
        <v>0.76470588235294112</v>
      </c>
      <c r="Q486">
        <v>38</v>
      </c>
      <c r="R486">
        <v>962.8</v>
      </c>
      <c r="S486">
        <v>56953</v>
      </c>
      <c r="T486" t="s">
        <v>45</v>
      </c>
      <c r="U486">
        <v>2</v>
      </c>
      <c r="V486">
        <v>4</v>
      </c>
      <c r="W486">
        <v>3</v>
      </c>
      <c r="X486">
        <v>6</v>
      </c>
      <c r="Y486">
        <v>3.61</v>
      </c>
      <c r="Z486">
        <v>4.2</v>
      </c>
      <c r="AA486">
        <v>0.83</v>
      </c>
      <c r="AB486">
        <f t="shared" si="59"/>
        <v>5</v>
      </c>
      <c r="AC486">
        <f t="shared" si="60"/>
        <v>4.3</v>
      </c>
      <c r="AD486" t="str">
        <f t="shared" si="61"/>
        <v>⭐⭐⭐⭐</v>
      </c>
      <c r="AE486" t="str">
        <f t="shared" si="62"/>
        <v>Maintain current resource allocation</v>
      </c>
      <c r="AF486" t="str">
        <f t="shared" si="63"/>
        <v>Recommended for medium-high orders</v>
      </c>
    </row>
    <row r="487" spans="1:32" ht="24" customHeight="1">
      <c r="A487" t="s">
        <v>1026</v>
      </c>
      <c r="B487" t="s">
        <v>53</v>
      </c>
      <c r="C487" t="s">
        <v>54</v>
      </c>
      <c r="D487" t="s">
        <v>55</v>
      </c>
      <c r="E487" t="s">
        <v>1027</v>
      </c>
      <c r="F487" t="s">
        <v>37</v>
      </c>
      <c r="G487">
        <v>28807</v>
      </c>
      <c r="H487">
        <v>45749</v>
      </c>
      <c r="I487">
        <v>45807</v>
      </c>
      <c r="J487">
        <v>53</v>
      </c>
      <c r="K487">
        <v>55</v>
      </c>
      <c r="L487">
        <f t="shared" si="56"/>
        <v>2</v>
      </c>
      <c r="M487" t="str">
        <f t="shared" si="57"/>
        <v>Delayed</v>
      </c>
      <c r="N487">
        <v>18</v>
      </c>
      <c r="O487">
        <v>13</v>
      </c>
      <c r="P487">
        <f t="shared" si="58"/>
        <v>0.72222222222222221</v>
      </c>
      <c r="Q487">
        <v>50</v>
      </c>
      <c r="R487">
        <v>523.79999999999995</v>
      </c>
      <c r="S487">
        <v>29807</v>
      </c>
      <c r="T487" t="s">
        <v>45</v>
      </c>
      <c r="U487">
        <v>0</v>
      </c>
      <c r="V487">
        <v>7</v>
      </c>
      <c r="W487">
        <v>2</v>
      </c>
      <c r="X487">
        <v>3</v>
      </c>
      <c r="Y487">
        <v>3.02</v>
      </c>
      <c r="Z487">
        <v>4.5</v>
      </c>
      <c r="AA487">
        <v>0.88</v>
      </c>
      <c r="AB487">
        <f t="shared" si="59"/>
        <v>5</v>
      </c>
      <c r="AC487">
        <f t="shared" si="60"/>
        <v>4.3099999999999996</v>
      </c>
      <c r="AD487" t="str">
        <f t="shared" si="61"/>
        <v>⭐⭐⭐⭐</v>
      </c>
      <c r="AE487" t="str">
        <f t="shared" si="62"/>
        <v>Increase daily output monitoring</v>
      </c>
      <c r="AF487" t="str">
        <f t="shared" si="63"/>
        <v>Recommended for medium-high orders</v>
      </c>
    </row>
    <row r="488" spans="1:32" ht="24" customHeight="1">
      <c r="A488" t="s">
        <v>1028</v>
      </c>
      <c r="B488" t="s">
        <v>33</v>
      </c>
      <c r="C488" t="s">
        <v>34</v>
      </c>
      <c r="D488" t="s">
        <v>35</v>
      </c>
      <c r="E488" t="s">
        <v>1029</v>
      </c>
      <c r="F488" t="s">
        <v>44</v>
      </c>
      <c r="G488">
        <v>2706</v>
      </c>
      <c r="H488">
        <v>45707</v>
      </c>
      <c r="I488">
        <v>45736</v>
      </c>
      <c r="J488">
        <v>24</v>
      </c>
      <c r="K488">
        <v>28</v>
      </c>
      <c r="L488">
        <f t="shared" si="56"/>
        <v>4</v>
      </c>
      <c r="M488" t="str">
        <f t="shared" si="57"/>
        <v>Delayed</v>
      </c>
      <c r="N488">
        <v>11</v>
      </c>
      <c r="O488">
        <v>8</v>
      </c>
      <c r="P488">
        <f t="shared" si="58"/>
        <v>0.72727272727272729</v>
      </c>
      <c r="Q488">
        <v>43</v>
      </c>
      <c r="R488">
        <v>96.6</v>
      </c>
      <c r="S488">
        <v>4706</v>
      </c>
      <c r="T488" t="s">
        <v>45</v>
      </c>
      <c r="U488">
        <v>1</v>
      </c>
      <c r="V488">
        <v>2</v>
      </c>
      <c r="W488">
        <v>3</v>
      </c>
      <c r="X488">
        <v>1</v>
      </c>
      <c r="Y488">
        <v>3.03</v>
      </c>
      <c r="Z488">
        <v>4.2</v>
      </c>
      <c r="AA488">
        <v>0.83</v>
      </c>
      <c r="AB488">
        <f t="shared" si="59"/>
        <v>5</v>
      </c>
      <c r="AC488">
        <f t="shared" si="60"/>
        <v>4.16</v>
      </c>
      <c r="AD488" t="str">
        <f t="shared" si="61"/>
        <v>⭐⭐⭐⭐</v>
      </c>
      <c r="AE488" t="str">
        <f t="shared" si="62"/>
        <v>Increase daily output monitoring</v>
      </c>
      <c r="AF488" t="str">
        <f t="shared" si="63"/>
        <v>Recommended for medium-high orders</v>
      </c>
    </row>
    <row r="489" spans="1:32" ht="24" customHeight="1">
      <c r="A489" t="s">
        <v>1030</v>
      </c>
      <c r="B489" t="s">
        <v>53</v>
      </c>
      <c r="C489" t="s">
        <v>54</v>
      </c>
      <c r="D489" t="s">
        <v>55</v>
      </c>
      <c r="E489" t="s">
        <v>1031</v>
      </c>
      <c r="F489" t="s">
        <v>37</v>
      </c>
      <c r="G489">
        <v>19963</v>
      </c>
      <c r="H489">
        <v>45952</v>
      </c>
      <c r="I489">
        <v>45986</v>
      </c>
      <c r="J489">
        <v>38</v>
      </c>
      <c r="K489">
        <v>34</v>
      </c>
      <c r="L489">
        <f t="shared" si="56"/>
        <v>-4</v>
      </c>
      <c r="M489" t="str">
        <f t="shared" si="57"/>
        <v>Early</v>
      </c>
      <c r="N489">
        <v>16</v>
      </c>
      <c r="O489">
        <v>12</v>
      </c>
      <c r="P489">
        <f t="shared" si="58"/>
        <v>0.75</v>
      </c>
      <c r="Q489">
        <v>50</v>
      </c>
      <c r="R489">
        <v>587.1</v>
      </c>
      <c r="S489">
        <v>19963</v>
      </c>
      <c r="T489" t="s">
        <v>45</v>
      </c>
      <c r="U489">
        <v>2</v>
      </c>
      <c r="V489">
        <v>0</v>
      </c>
      <c r="W489">
        <v>0</v>
      </c>
      <c r="X489">
        <v>0</v>
      </c>
      <c r="Y489">
        <v>3.16</v>
      </c>
      <c r="Z489">
        <v>4.5</v>
      </c>
      <c r="AA489">
        <v>0.88</v>
      </c>
      <c r="AB489">
        <f t="shared" si="59"/>
        <v>5</v>
      </c>
      <c r="AC489">
        <f t="shared" si="60"/>
        <v>4.4800000000000004</v>
      </c>
      <c r="AD489" t="str">
        <f t="shared" si="61"/>
        <v>⭐⭐⭐⭐</v>
      </c>
      <c r="AE489" t="str">
        <f t="shared" si="62"/>
        <v>Maintain current resource allocation</v>
      </c>
      <c r="AF489" t="str">
        <f t="shared" si="63"/>
        <v>Recommended for medium-high orders</v>
      </c>
    </row>
    <row r="490" spans="1:32" ht="24" customHeight="1">
      <c r="A490" t="s">
        <v>1032</v>
      </c>
      <c r="B490" t="s">
        <v>33</v>
      </c>
      <c r="C490" t="s">
        <v>34</v>
      </c>
      <c r="D490" t="s">
        <v>35</v>
      </c>
      <c r="E490" t="s">
        <v>1033</v>
      </c>
      <c r="F490" t="s">
        <v>67</v>
      </c>
      <c r="G490">
        <v>53995</v>
      </c>
      <c r="H490">
        <v>45908</v>
      </c>
      <c r="I490">
        <v>45973</v>
      </c>
      <c r="J490">
        <v>60</v>
      </c>
      <c r="K490">
        <v>63</v>
      </c>
      <c r="L490">
        <f t="shared" si="56"/>
        <v>3</v>
      </c>
      <c r="M490" t="str">
        <f t="shared" si="57"/>
        <v>Delayed</v>
      </c>
      <c r="N490">
        <v>15</v>
      </c>
      <c r="O490">
        <v>11</v>
      </c>
      <c r="P490">
        <f t="shared" si="58"/>
        <v>0.73333333333333328</v>
      </c>
      <c r="Q490">
        <v>38</v>
      </c>
      <c r="R490">
        <v>857.1</v>
      </c>
      <c r="S490">
        <v>56995</v>
      </c>
      <c r="T490" t="s">
        <v>45</v>
      </c>
      <c r="U490">
        <v>1</v>
      </c>
      <c r="V490">
        <v>12</v>
      </c>
      <c r="W490">
        <v>5</v>
      </c>
      <c r="X490">
        <v>3</v>
      </c>
      <c r="Y490">
        <v>3.53</v>
      </c>
      <c r="Z490">
        <v>4.2</v>
      </c>
      <c r="AA490">
        <v>0.83</v>
      </c>
      <c r="AB490">
        <f t="shared" si="59"/>
        <v>5</v>
      </c>
      <c r="AC490">
        <f t="shared" si="60"/>
        <v>4.17</v>
      </c>
      <c r="AD490" t="str">
        <f t="shared" si="61"/>
        <v>⭐⭐⭐⭐</v>
      </c>
      <c r="AE490" t="str">
        <f t="shared" si="62"/>
        <v>Reduce risk days and add supervisor monitoring</v>
      </c>
      <c r="AF490" t="str">
        <f t="shared" si="63"/>
        <v>Recommended for medium-high orders</v>
      </c>
    </row>
    <row r="491" spans="1:32" ht="24" customHeight="1">
      <c r="A491" t="s">
        <v>1034</v>
      </c>
      <c r="B491" t="s">
        <v>33</v>
      </c>
      <c r="C491" t="s">
        <v>34</v>
      </c>
      <c r="D491" t="s">
        <v>35</v>
      </c>
      <c r="E491" t="s">
        <v>1035</v>
      </c>
      <c r="F491" t="s">
        <v>67</v>
      </c>
      <c r="G491">
        <v>42936</v>
      </c>
      <c r="H491">
        <v>45669</v>
      </c>
      <c r="I491">
        <v>45743</v>
      </c>
      <c r="J491">
        <v>69</v>
      </c>
      <c r="K491">
        <v>70</v>
      </c>
      <c r="L491">
        <f t="shared" si="56"/>
        <v>1</v>
      </c>
      <c r="M491" t="str">
        <f t="shared" si="57"/>
        <v>Delayed</v>
      </c>
      <c r="N491">
        <v>11</v>
      </c>
      <c r="O491">
        <v>8</v>
      </c>
      <c r="P491">
        <f t="shared" si="58"/>
        <v>0.72727272727272729</v>
      </c>
      <c r="Q491">
        <v>37</v>
      </c>
      <c r="R491">
        <v>613.4</v>
      </c>
      <c r="S491">
        <v>45936</v>
      </c>
      <c r="T491" t="s">
        <v>45</v>
      </c>
      <c r="U491">
        <v>1</v>
      </c>
      <c r="V491">
        <v>6</v>
      </c>
      <c r="W491">
        <v>2</v>
      </c>
      <c r="X491">
        <v>1</v>
      </c>
      <c r="Y491">
        <v>2.85</v>
      </c>
      <c r="Z491">
        <v>4.2</v>
      </c>
      <c r="AA491">
        <v>0.83</v>
      </c>
      <c r="AB491">
        <f t="shared" si="59"/>
        <v>5</v>
      </c>
      <c r="AC491">
        <f t="shared" si="60"/>
        <v>4.16</v>
      </c>
      <c r="AD491" t="str">
        <f t="shared" si="61"/>
        <v>⭐⭐⭐⭐</v>
      </c>
      <c r="AE491" t="str">
        <f t="shared" si="62"/>
        <v>Increase daily output monitoring</v>
      </c>
      <c r="AF491" t="str">
        <f t="shared" si="63"/>
        <v>Recommended for medium-high orders</v>
      </c>
    </row>
    <row r="492" spans="1:32" ht="24" customHeight="1">
      <c r="A492" t="s">
        <v>1036</v>
      </c>
      <c r="B492" t="s">
        <v>33</v>
      </c>
      <c r="C492" t="s">
        <v>34</v>
      </c>
      <c r="D492" t="s">
        <v>35</v>
      </c>
      <c r="E492" t="s">
        <v>1037</v>
      </c>
      <c r="F492" t="s">
        <v>57</v>
      </c>
      <c r="G492">
        <v>16366</v>
      </c>
      <c r="H492">
        <v>45859</v>
      </c>
      <c r="I492">
        <v>45890</v>
      </c>
      <c r="J492">
        <v>27</v>
      </c>
      <c r="K492">
        <v>27</v>
      </c>
      <c r="L492">
        <f t="shared" si="56"/>
        <v>0</v>
      </c>
      <c r="M492" t="str">
        <f t="shared" si="57"/>
        <v>On Time</v>
      </c>
      <c r="N492">
        <v>12</v>
      </c>
      <c r="O492">
        <v>8</v>
      </c>
      <c r="P492">
        <f t="shared" si="58"/>
        <v>0.66666666666666663</v>
      </c>
      <c r="Q492">
        <v>36</v>
      </c>
      <c r="R492">
        <v>606.1</v>
      </c>
      <c r="S492">
        <v>20366</v>
      </c>
      <c r="T492" t="s">
        <v>45</v>
      </c>
      <c r="U492">
        <v>1</v>
      </c>
      <c r="V492">
        <v>7</v>
      </c>
      <c r="W492">
        <v>4</v>
      </c>
      <c r="X492">
        <v>1</v>
      </c>
      <c r="Y492">
        <v>2.62</v>
      </c>
      <c r="Z492">
        <v>4.2</v>
      </c>
      <c r="AA492">
        <v>0.83</v>
      </c>
      <c r="AB492">
        <f t="shared" si="59"/>
        <v>5</v>
      </c>
      <c r="AC492">
        <f t="shared" si="60"/>
        <v>4.2300000000000004</v>
      </c>
      <c r="AD492" t="str">
        <f t="shared" si="61"/>
        <v>⭐⭐⭐⭐</v>
      </c>
      <c r="AE492" t="str">
        <f t="shared" si="62"/>
        <v>Maintain current resource allocation</v>
      </c>
      <c r="AF492" t="str">
        <f t="shared" si="63"/>
        <v>Recommended for medium-high orders</v>
      </c>
    </row>
    <row r="493" spans="1:32" ht="24" customHeight="1">
      <c r="A493" t="s">
        <v>1038</v>
      </c>
      <c r="B493" t="s">
        <v>61</v>
      </c>
      <c r="C493" t="s">
        <v>62</v>
      </c>
      <c r="D493" t="s">
        <v>63</v>
      </c>
      <c r="E493" t="s">
        <v>1039</v>
      </c>
      <c r="F493" t="s">
        <v>57</v>
      </c>
      <c r="G493">
        <v>13501</v>
      </c>
      <c r="H493">
        <v>45818</v>
      </c>
      <c r="I493">
        <v>45863</v>
      </c>
      <c r="J493">
        <v>42</v>
      </c>
      <c r="K493">
        <v>45</v>
      </c>
      <c r="L493">
        <f t="shared" si="56"/>
        <v>3</v>
      </c>
      <c r="M493" t="str">
        <f t="shared" si="57"/>
        <v>Delayed</v>
      </c>
      <c r="N493">
        <v>10</v>
      </c>
      <c r="O493">
        <v>6</v>
      </c>
      <c r="P493">
        <f t="shared" si="58"/>
        <v>0.6</v>
      </c>
      <c r="Q493">
        <v>35</v>
      </c>
      <c r="R493">
        <v>300</v>
      </c>
      <c r="S493">
        <v>13501</v>
      </c>
      <c r="T493" t="s">
        <v>45</v>
      </c>
      <c r="U493">
        <v>3</v>
      </c>
      <c r="V493">
        <v>9</v>
      </c>
      <c r="W493">
        <v>4</v>
      </c>
      <c r="X493">
        <v>0</v>
      </c>
      <c r="Y493">
        <v>2.99</v>
      </c>
      <c r="Z493">
        <v>4</v>
      </c>
      <c r="AA493">
        <v>0.8</v>
      </c>
      <c r="AB493">
        <f t="shared" si="59"/>
        <v>5</v>
      </c>
      <c r="AC493">
        <f t="shared" si="60"/>
        <v>3.97</v>
      </c>
      <c r="AD493" t="str">
        <f t="shared" si="61"/>
        <v>⭐⭐⭐</v>
      </c>
      <c r="AE493" t="str">
        <f t="shared" si="62"/>
        <v>Reduce risk days and add supervisor monitoring</v>
      </c>
      <c r="AF493" t="str">
        <f t="shared" si="63"/>
        <v>Use for normal priority orders</v>
      </c>
    </row>
    <row r="494" spans="1:32" ht="24" customHeight="1">
      <c r="A494" t="s">
        <v>1040</v>
      </c>
      <c r="B494" t="s">
        <v>78</v>
      </c>
      <c r="C494" t="s">
        <v>79</v>
      </c>
      <c r="D494" t="s">
        <v>80</v>
      </c>
      <c r="E494" t="s">
        <v>1041</v>
      </c>
      <c r="F494" t="s">
        <v>67</v>
      </c>
      <c r="G494">
        <v>58431</v>
      </c>
      <c r="H494">
        <v>45808</v>
      </c>
      <c r="I494">
        <v>45876</v>
      </c>
      <c r="J494">
        <v>63</v>
      </c>
      <c r="K494">
        <v>63</v>
      </c>
      <c r="L494">
        <f t="shared" si="56"/>
        <v>0</v>
      </c>
      <c r="M494" t="str">
        <f t="shared" si="57"/>
        <v>On Time</v>
      </c>
      <c r="N494">
        <v>17</v>
      </c>
      <c r="O494">
        <v>14</v>
      </c>
      <c r="P494">
        <f t="shared" si="58"/>
        <v>0.82352941176470584</v>
      </c>
      <c r="Q494">
        <v>50</v>
      </c>
      <c r="R494">
        <v>927.5</v>
      </c>
      <c r="S494">
        <v>59431</v>
      </c>
      <c r="T494" t="s">
        <v>45</v>
      </c>
      <c r="U494">
        <v>2</v>
      </c>
      <c r="V494">
        <v>10</v>
      </c>
      <c r="W494">
        <v>2</v>
      </c>
      <c r="X494">
        <v>0</v>
      </c>
      <c r="Y494">
        <v>3.94</v>
      </c>
      <c r="Z494">
        <v>4.8</v>
      </c>
      <c r="AA494">
        <v>0.92</v>
      </c>
      <c r="AB494">
        <f t="shared" si="59"/>
        <v>5</v>
      </c>
      <c r="AC494">
        <f t="shared" si="60"/>
        <v>4.6399999999999997</v>
      </c>
      <c r="AD494" t="str">
        <f t="shared" si="61"/>
        <v>⭐⭐⭐⭐⭐</v>
      </c>
      <c r="AE494" t="str">
        <f t="shared" si="62"/>
        <v>Maintain current resource allocation</v>
      </c>
      <c r="AF494" t="str">
        <f t="shared" si="63"/>
        <v>Best for urgent/high priority orders</v>
      </c>
    </row>
    <row r="495" spans="1:32" ht="24" customHeight="1">
      <c r="A495" t="s">
        <v>1042</v>
      </c>
      <c r="B495" t="s">
        <v>40</v>
      </c>
      <c r="C495" t="s">
        <v>41</v>
      </c>
      <c r="D495" t="s">
        <v>42</v>
      </c>
      <c r="E495" t="s">
        <v>1043</v>
      </c>
      <c r="F495" t="s">
        <v>67</v>
      </c>
      <c r="G495">
        <v>50254</v>
      </c>
      <c r="H495">
        <v>45768</v>
      </c>
      <c r="I495">
        <v>45838</v>
      </c>
      <c r="J495">
        <v>71</v>
      </c>
      <c r="K495">
        <v>69</v>
      </c>
      <c r="L495">
        <f t="shared" si="56"/>
        <v>-2</v>
      </c>
      <c r="M495" t="str">
        <f t="shared" si="57"/>
        <v>Early</v>
      </c>
      <c r="N495">
        <v>11</v>
      </c>
      <c r="O495">
        <v>8</v>
      </c>
      <c r="P495">
        <f t="shared" si="58"/>
        <v>0.72727272727272729</v>
      </c>
      <c r="Q495">
        <v>44</v>
      </c>
      <c r="R495">
        <v>728.3</v>
      </c>
      <c r="S495">
        <v>51254</v>
      </c>
      <c r="T495" t="s">
        <v>45</v>
      </c>
      <c r="U495">
        <v>2</v>
      </c>
      <c r="V495">
        <v>7</v>
      </c>
      <c r="W495">
        <v>4</v>
      </c>
      <c r="X495">
        <v>2</v>
      </c>
      <c r="Y495">
        <v>3.1</v>
      </c>
      <c r="Z495">
        <v>4.3</v>
      </c>
      <c r="AA495">
        <v>0.85</v>
      </c>
      <c r="AB495">
        <f t="shared" si="59"/>
        <v>5</v>
      </c>
      <c r="AC495">
        <f t="shared" si="60"/>
        <v>4.37</v>
      </c>
      <c r="AD495" t="str">
        <f t="shared" si="61"/>
        <v>⭐⭐⭐⭐</v>
      </c>
      <c r="AE495" t="str">
        <f t="shared" si="62"/>
        <v>Maintain current resource allocation</v>
      </c>
      <c r="AF495" t="str">
        <f t="shared" si="63"/>
        <v>Recommended for medium-high orders</v>
      </c>
    </row>
    <row r="496" spans="1:32" ht="24" customHeight="1">
      <c r="A496" t="s">
        <v>1044</v>
      </c>
      <c r="B496" t="s">
        <v>33</v>
      </c>
      <c r="C496" t="s">
        <v>34</v>
      </c>
      <c r="D496" t="s">
        <v>35</v>
      </c>
      <c r="E496" t="s">
        <v>1045</v>
      </c>
      <c r="F496" t="s">
        <v>67</v>
      </c>
      <c r="G496">
        <v>49089</v>
      </c>
      <c r="H496">
        <v>45762</v>
      </c>
      <c r="I496">
        <v>45827</v>
      </c>
      <c r="J496">
        <v>59</v>
      </c>
      <c r="K496">
        <v>65</v>
      </c>
      <c r="L496">
        <f t="shared" si="56"/>
        <v>6</v>
      </c>
      <c r="M496" t="str">
        <f t="shared" si="57"/>
        <v>Delayed</v>
      </c>
      <c r="N496">
        <v>12</v>
      </c>
      <c r="O496">
        <v>9</v>
      </c>
      <c r="P496">
        <f t="shared" si="58"/>
        <v>0.75</v>
      </c>
      <c r="Q496">
        <v>36</v>
      </c>
      <c r="R496">
        <v>755.2</v>
      </c>
      <c r="S496">
        <v>51089</v>
      </c>
      <c r="T496" t="s">
        <v>45</v>
      </c>
      <c r="U496">
        <v>3</v>
      </c>
      <c r="V496">
        <v>2</v>
      </c>
      <c r="W496">
        <v>3</v>
      </c>
      <c r="X496">
        <v>2</v>
      </c>
      <c r="Y496">
        <v>3.43</v>
      </c>
      <c r="Z496">
        <v>4.2</v>
      </c>
      <c r="AA496">
        <v>0.83</v>
      </c>
      <c r="AB496">
        <f t="shared" si="59"/>
        <v>5</v>
      </c>
      <c r="AC496">
        <f t="shared" si="60"/>
        <v>4.18</v>
      </c>
      <c r="AD496" t="str">
        <f t="shared" si="61"/>
        <v>⭐⭐⭐⭐</v>
      </c>
      <c r="AE496" t="str">
        <f t="shared" si="62"/>
        <v>Increase daily output monitoring</v>
      </c>
      <c r="AF496" t="str">
        <f t="shared" si="63"/>
        <v>Recommended for medium-high orders</v>
      </c>
    </row>
    <row r="497" spans="1:32" ht="24" customHeight="1">
      <c r="A497" t="s">
        <v>1046</v>
      </c>
      <c r="B497" t="s">
        <v>33</v>
      </c>
      <c r="C497" t="s">
        <v>34</v>
      </c>
      <c r="D497" t="s">
        <v>35</v>
      </c>
      <c r="E497" t="s">
        <v>1047</v>
      </c>
      <c r="F497" t="s">
        <v>44</v>
      </c>
      <c r="G497">
        <v>14194</v>
      </c>
      <c r="H497">
        <v>45721</v>
      </c>
      <c r="I497">
        <v>45768</v>
      </c>
      <c r="J497">
        <v>42</v>
      </c>
      <c r="K497">
        <v>43</v>
      </c>
      <c r="L497">
        <f t="shared" si="56"/>
        <v>1</v>
      </c>
      <c r="M497" t="str">
        <f t="shared" si="57"/>
        <v>Delayed</v>
      </c>
      <c r="N497">
        <v>16</v>
      </c>
      <c r="O497">
        <v>12</v>
      </c>
      <c r="P497">
        <f t="shared" si="58"/>
        <v>0.75</v>
      </c>
      <c r="Q497">
        <v>41</v>
      </c>
      <c r="R497">
        <v>330.1</v>
      </c>
      <c r="S497">
        <v>14194</v>
      </c>
      <c r="T497" t="s">
        <v>45</v>
      </c>
      <c r="U497">
        <v>2</v>
      </c>
      <c r="V497">
        <v>5</v>
      </c>
      <c r="W497">
        <v>3</v>
      </c>
      <c r="X497">
        <v>0</v>
      </c>
      <c r="Y497">
        <v>3.33</v>
      </c>
      <c r="Z497">
        <v>4.2</v>
      </c>
      <c r="AA497">
        <v>0.83</v>
      </c>
      <c r="AB497">
        <f t="shared" si="59"/>
        <v>5</v>
      </c>
      <c r="AC497">
        <f t="shared" si="60"/>
        <v>4.18</v>
      </c>
      <c r="AD497" t="str">
        <f t="shared" si="61"/>
        <v>⭐⭐⭐⭐</v>
      </c>
      <c r="AE497" t="str">
        <f t="shared" si="62"/>
        <v>Increase daily output monitoring</v>
      </c>
      <c r="AF497" t="str">
        <f t="shared" si="63"/>
        <v>Recommended for medium-high orders</v>
      </c>
    </row>
    <row r="498" spans="1:32" ht="24" customHeight="1">
      <c r="A498" t="s">
        <v>1048</v>
      </c>
      <c r="B498" t="s">
        <v>78</v>
      </c>
      <c r="C498" t="s">
        <v>79</v>
      </c>
      <c r="D498" t="s">
        <v>80</v>
      </c>
      <c r="E498" t="s">
        <v>1049</v>
      </c>
      <c r="F498" t="s">
        <v>57</v>
      </c>
      <c r="G498">
        <v>10396</v>
      </c>
      <c r="H498">
        <v>45927</v>
      </c>
      <c r="I498">
        <v>45957</v>
      </c>
      <c r="J498">
        <v>26</v>
      </c>
      <c r="K498">
        <v>25</v>
      </c>
      <c r="L498">
        <f t="shared" si="56"/>
        <v>-1</v>
      </c>
      <c r="M498" t="str">
        <f t="shared" si="57"/>
        <v>Early</v>
      </c>
      <c r="N498">
        <v>15</v>
      </c>
      <c r="O498">
        <v>12</v>
      </c>
      <c r="P498">
        <f t="shared" si="58"/>
        <v>0.8</v>
      </c>
      <c r="Q498">
        <v>57</v>
      </c>
      <c r="R498">
        <v>415.8</v>
      </c>
      <c r="S498">
        <v>13396</v>
      </c>
      <c r="T498" t="s">
        <v>45</v>
      </c>
      <c r="U498">
        <v>0</v>
      </c>
      <c r="V498">
        <v>1</v>
      </c>
      <c r="W498">
        <v>2</v>
      </c>
      <c r="X498">
        <v>2</v>
      </c>
      <c r="Y498">
        <v>2.95</v>
      </c>
      <c r="Z498">
        <v>4.8</v>
      </c>
      <c r="AA498">
        <v>0.92</v>
      </c>
      <c r="AB498">
        <f t="shared" si="59"/>
        <v>5</v>
      </c>
      <c r="AC498">
        <f t="shared" si="60"/>
        <v>4.66</v>
      </c>
      <c r="AD498" t="str">
        <f t="shared" si="61"/>
        <v>⭐⭐⭐⭐⭐</v>
      </c>
      <c r="AE498" t="str">
        <f t="shared" si="62"/>
        <v>Maintain current resource allocation</v>
      </c>
      <c r="AF498" t="str">
        <f t="shared" si="63"/>
        <v>Best for urgent/high priority orders</v>
      </c>
    </row>
    <row r="499" spans="1:32" ht="24" customHeight="1">
      <c r="A499" t="s">
        <v>1050</v>
      </c>
      <c r="B499" t="s">
        <v>69</v>
      </c>
      <c r="C499" t="s">
        <v>70</v>
      </c>
      <c r="D499" t="s">
        <v>71</v>
      </c>
      <c r="E499" t="s">
        <v>1051</v>
      </c>
      <c r="F499" t="s">
        <v>57</v>
      </c>
      <c r="G499">
        <v>13666</v>
      </c>
      <c r="H499">
        <v>45930</v>
      </c>
      <c r="I499">
        <v>45968</v>
      </c>
      <c r="J499">
        <v>35</v>
      </c>
      <c r="K499">
        <v>34</v>
      </c>
      <c r="L499">
        <f t="shared" si="56"/>
        <v>-1</v>
      </c>
      <c r="M499" t="str">
        <f t="shared" si="57"/>
        <v>Early</v>
      </c>
      <c r="N499">
        <v>10</v>
      </c>
      <c r="O499">
        <v>7</v>
      </c>
      <c r="P499">
        <f t="shared" si="58"/>
        <v>0.7</v>
      </c>
      <c r="Q499">
        <v>39</v>
      </c>
      <c r="R499">
        <v>401.9</v>
      </c>
      <c r="S499">
        <v>14666</v>
      </c>
      <c r="T499" t="s">
        <v>45</v>
      </c>
      <c r="U499">
        <v>2</v>
      </c>
      <c r="V499">
        <v>6</v>
      </c>
      <c r="W499">
        <v>4</v>
      </c>
      <c r="X499">
        <v>1</v>
      </c>
      <c r="Y499">
        <v>2.8</v>
      </c>
      <c r="Z499">
        <v>3.8</v>
      </c>
      <c r="AA499">
        <v>0.78</v>
      </c>
      <c r="AB499">
        <f t="shared" si="59"/>
        <v>5</v>
      </c>
      <c r="AC499">
        <f t="shared" si="60"/>
        <v>4.1100000000000003</v>
      </c>
      <c r="AD499" t="str">
        <f t="shared" si="61"/>
        <v>⭐⭐⭐⭐</v>
      </c>
      <c r="AE499" t="str">
        <f t="shared" si="62"/>
        <v>Maintain current resource allocation</v>
      </c>
      <c r="AF499" t="str">
        <f t="shared" si="63"/>
        <v>Recommended for medium-high orders</v>
      </c>
    </row>
    <row r="500" spans="1:32" ht="24" customHeight="1">
      <c r="A500" t="s">
        <v>1052</v>
      </c>
      <c r="B500" t="s">
        <v>33</v>
      </c>
      <c r="C500" t="s">
        <v>34</v>
      </c>
      <c r="D500" t="s">
        <v>35</v>
      </c>
      <c r="E500" t="s">
        <v>1053</v>
      </c>
      <c r="F500" t="s">
        <v>57</v>
      </c>
      <c r="G500">
        <v>14704</v>
      </c>
      <c r="H500">
        <v>45839</v>
      </c>
      <c r="I500">
        <v>45871</v>
      </c>
      <c r="J500">
        <v>28</v>
      </c>
      <c r="K500">
        <v>29</v>
      </c>
      <c r="L500">
        <f t="shared" si="56"/>
        <v>1</v>
      </c>
      <c r="M500" t="str">
        <f t="shared" si="57"/>
        <v>Delayed</v>
      </c>
      <c r="N500">
        <v>14</v>
      </c>
      <c r="O500">
        <v>9</v>
      </c>
      <c r="P500">
        <f t="shared" si="58"/>
        <v>0.6428571428571429</v>
      </c>
      <c r="Q500">
        <v>45</v>
      </c>
      <c r="R500">
        <v>507</v>
      </c>
      <c r="S500">
        <v>15704</v>
      </c>
      <c r="T500" t="s">
        <v>45</v>
      </c>
      <c r="U500">
        <v>3</v>
      </c>
      <c r="V500">
        <v>4</v>
      </c>
      <c r="W500">
        <v>0</v>
      </c>
      <c r="X500">
        <v>2</v>
      </c>
      <c r="Y500">
        <v>3.12</v>
      </c>
      <c r="Z500">
        <v>4.2</v>
      </c>
      <c r="AA500">
        <v>0.83</v>
      </c>
      <c r="AB500">
        <f t="shared" si="59"/>
        <v>5</v>
      </c>
      <c r="AC500">
        <f t="shared" si="60"/>
        <v>4.0999999999999996</v>
      </c>
      <c r="AD500" t="str">
        <f t="shared" si="61"/>
        <v>⭐⭐⭐⭐</v>
      </c>
      <c r="AE500" t="str">
        <f t="shared" si="62"/>
        <v>Increase daily output monitoring</v>
      </c>
      <c r="AF500" t="str">
        <f t="shared" si="63"/>
        <v>Recommended for medium-high orders</v>
      </c>
    </row>
    <row r="501" spans="1:32" ht="24" customHeight="1">
      <c r="A501" t="s">
        <v>1054</v>
      </c>
      <c r="B501" t="s">
        <v>40</v>
      </c>
      <c r="C501" t="s">
        <v>41</v>
      </c>
      <c r="D501" t="s">
        <v>42</v>
      </c>
      <c r="E501" t="s">
        <v>1055</v>
      </c>
      <c r="F501" t="s">
        <v>44</v>
      </c>
      <c r="G501">
        <v>19058</v>
      </c>
      <c r="H501">
        <v>45742</v>
      </c>
      <c r="I501">
        <v>45777</v>
      </c>
      <c r="J501">
        <v>31</v>
      </c>
      <c r="K501">
        <v>31</v>
      </c>
      <c r="L501">
        <f t="shared" si="56"/>
        <v>0</v>
      </c>
      <c r="M501" t="str">
        <f t="shared" si="57"/>
        <v>On Time</v>
      </c>
      <c r="N501">
        <v>12</v>
      </c>
      <c r="O501">
        <v>10</v>
      </c>
      <c r="P501">
        <f t="shared" si="58"/>
        <v>0.83333333333333337</v>
      </c>
      <c r="Q501">
        <v>40</v>
      </c>
      <c r="R501">
        <v>614.79999999999995</v>
      </c>
      <c r="S501">
        <v>20058</v>
      </c>
      <c r="T501" t="s">
        <v>45</v>
      </c>
      <c r="U501">
        <v>0</v>
      </c>
      <c r="V501">
        <v>3</v>
      </c>
      <c r="W501">
        <v>4</v>
      </c>
      <c r="X501">
        <v>0</v>
      </c>
      <c r="Y501">
        <v>3.37</v>
      </c>
      <c r="Z501">
        <v>4.3</v>
      </c>
      <c r="AA501">
        <v>0.85</v>
      </c>
      <c r="AB501">
        <f t="shared" si="59"/>
        <v>5</v>
      </c>
      <c r="AC501">
        <f t="shared" si="60"/>
        <v>4.41</v>
      </c>
      <c r="AD501" t="str">
        <f t="shared" si="61"/>
        <v>⭐⭐⭐⭐</v>
      </c>
      <c r="AE501" t="str">
        <f t="shared" si="62"/>
        <v>Maintain current resource allocation</v>
      </c>
      <c r="AF501" t="str">
        <f t="shared" si="63"/>
        <v>Recommended for medium-high orders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"/>
  <sheetViews>
    <sheetView workbookViewId="0"/>
  </sheetViews>
  <sheetFormatPr baseColWidth="10" defaultColWidth="8.83203125" defaultRowHeight="14"/>
  <cols>
    <col min="1" max="1" width="12" customWidth="1"/>
    <col min="2" max="2" width="22" customWidth="1"/>
    <col min="3" max="3" width="18" customWidth="1"/>
    <col min="4" max="4" width="13" customWidth="1"/>
    <col min="5" max="5" width="12" customWidth="1"/>
    <col min="6" max="6" width="14" customWidth="1"/>
    <col min="7" max="7" width="15" customWidth="1"/>
    <col min="8" max="8" width="10" customWidth="1"/>
    <col min="9" max="9" width="8" customWidth="1"/>
  </cols>
  <sheetData>
    <row r="1" spans="1:9" ht="15">
      <c r="A1" s="1" t="s">
        <v>1</v>
      </c>
      <c r="B1" s="1" t="s">
        <v>2</v>
      </c>
      <c r="C1" s="1" t="s">
        <v>3</v>
      </c>
      <c r="D1" s="1" t="s">
        <v>25</v>
      </c>
      <c r="E1" s="5" t="s">
        <v>26</v>
      </c>
      <c r="F1" s="5" t="s">
        <v>1056</v>
      </c>
      <c r="G1" s="5" t="s">
        <v>1057</v>
      </c>
      <c r="H1" s="1" t="s">
        <v>1058</v>
      </c>
      <c r="I1" s="1" t="s">
        <v>1059</v>
      </c>
    </row>
    <row r="2" spans="1:9">
      <c r="A2" t="s">
        <v>78</v>
      </c>
      <c r="B2" t="s">
        <v>79</v>
      </c>
      <c r="C2" t="s">
        <v>80</v>
      </c>
      <c r="D2">
        <v>4.8</v>
      </c>
      <c r="E2">
        <v>0.92</v>
      </c>
      <c r="F2">
        <v>0.9</v>
      </c>
      <c r="G2">
        <v>0.85</v>
      </c>
      <c r="H2">
        <v>4.3499999999999996</v>
      </c>
      <c r="I2">
        <f t="shared" ref="I2:I7" si="0">RANK(H2,$H$2:$H$7,0)</f>
        <v>1</v>
      </c>
    </row>
    <row r="3" spans="1:9">
      <c r="A3" t="s">
        <v>53</v>
      </c>
      <c r="B3" t="s">
        <v>54</v>
      </c>
      <c r="C3" t="s">
        <v>55</v>
      </c>
      <c r="D3">
        <v>4.5</v>
      </c>
      <c r="E3">
        <v>0.88</v>
      </c>
      <c r="F3">
        <v>0.87</v>
      </c>
      <c r="G3">
        <v>0.8</v>
      </c>
      <c r="H3">
        <v>4.07</v>
      </c>
      <c r="I3">
        <f t="shared" si="0"/>
        <v>2</v>
      </c>
    </row>
    <row r="4" spans="1:9">
      <c r="A4" t="s">
        <v>40</v>
      </c>
      <c r="B4" t="s">
        <v>41</v>
      </c>
      <c r="C4" t="s">
        <v>42</v>
      </c>
      <c r="D4">
        <v>4.3</v>
      </c>
      <c r="E4">
        <v>0.85</v>
      </c>
      <c r="F4">
        <v>0.82</v>
      </c>
      <c r="G4">
        <v>0.78</v>
      </c>
      <c r="H4">
        <v>3.92</v>
      </c>
      <c r="I4">
        <f t="shared" si="0"/>
        <v>3</v>
      </c>
    </row>
    <row r="5" spans="1:9">
      <c r="A5" t="s">
        <v>33</v>
      </c>
      <c r="B5" t="s">
        <v>34</v>
      </c>
      <c r="C5" t="s">
        <v>35</v>
      </c>
      <c r="D5">
        <v>4.2</v>
      </c>
      <c r="E5">
        <v>0.83</v>
      </c>
      <c r="F5">
        <v>0.8</v>
      </c>
      <c r="G5">
        <v>0.75</v>
      </c>
      <c r="H5">
        <v>3.84</v>
      </c>
      <c r="I5">
        <f t="shared" si="0"/>
        <v>4</v>
      </c>
    </row>
    <row r="6" spans="1:9">
      <c r="A6" t="s">
        <v>61</v>
      </c>
      <c r="B6" t="s">
        <v>62</v>
      </c>
      <c r="C6" t="s">
        <v>63</v>
      </c>
      <c r="D6">
        <v>4</v>
      </c>
      <c r="E6">
        <v>0.8</v>
      </c>
      <c r="F6">
        <v>0.78</v>
      </c>
      <c r="G6">
        <v>0.7</v>
      </c>
      <c r="H6">
        <v>3.7</v>
      </c>
      <c r="I6">
        <f t="shared" si="0"/>
        <v>5</v>
      </c>
    </row>
    <row r="7" spans="1:9">
      <c r="A7" t="s">
        <v>69</v>
      </c>
      <c r="B7" t="s">
        <v>70</v>
      </c>
      <c r="C7" t="s">
        <v>71</v>
      </c>
      <c r="D7">
        <v>3.8</v>
      </c>
      <c r="E7">
        <v>0.78</v>
      </c>
      <c r="F7">
        <v>0.75</v>
      </c>
      <c r="G7">
        <v>0.72</v>
      </c>
      <c r="H7">
        <v>3.6</v>
      </c>
      <c r="I7">
        <f t="shared" si="0"/>
        <v>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"/>
  <sheetViews>
    <sheetView workbookViewId="0"/>
  </sheetViews>
  <sheetFormatPr baseColWidth="10" defaultColWidth="8.83203125" defaultRowHeight="14"/>
  <cols>
    <col min="1" max="1" width="28" customWidth="1"/>
    <col min="2" max="2" width="22" customWidth="1"/>
    <col min="4" max="4" width="24" customWidth="1"/>
    <col min="5" max="5" width="10" customWidth="1"/>
    <col min="6" max="6" width="12" customWidth="1"/>
    <col min="7" max="8" width="14" customWidth="1"/>
    <col min="9" max="9" width="15" customWidth="1"/>
  </cols>
  <sheetData>
    <row r="1" spans="1:9" ht="21">
      <c r="A1" s="2" t="s">
        <v>1060</v>
      </c>
      <c r="B1" s="2"/>
      <c r="C1" s="2"/>
      <c r="D1" s="2"/>
      <c r="E1" s="2"/>
      <c r="F1" s="2"/>
      <c r="G1" s="2"/>
      <c r="H1" s="2"/>
    </row>
    <row r="3" spans="1:9" ht="15">
      <c r="A3" s="3" t="s">
        <v>1061</v>
      </c>
      <c r="B3">
        <f>COUNTA(Component4_Dataset!A2:A501)</f>
        <v>500</v>
      </c>
      <c r="D3" s="1" t="s">
        <v>1062</v>
      </c>
      <c r="E3" s="1" t="s">
        <v>1063</v>
      </c>
      <c r="F3" s="1" t="s">
        <v>1064</v>
      </c>
      <c r="G3" s="1" t="s">
        <v>1065</v>
      </c>
      <c r="H3" s="1" t="s">
        <v>1066</v>
      </c>
      <c r="I3" s="1" t="s">
        <v>1067</v>
      </c>
    </row>
    <row r="4" spans="1:9" ht="15">
      <c r="A4" s="3" t="s">
        <v>1068</v>
      </c>
      <c r="B4">
        <f>ROUND(AVERAGE(Component4_Dataset!AC2:AC501),2)</f>
        <v>4.3</v>
      </c>
      <c r="D4" t="s">
        <v>79</v>
      </c>
      <c r="E4">
        <f>COUNTIF(Component4_Dataset!C:C,D4)</f>
        <v>95</v>
      </c>
      <c r="F4">
        <f>ROUND(AVERAGEIF(Component4_Dataset!C:C,D4,Component4_Dataset!AC:AC),2)</f>
        <v>4.63</v>
      </c>
      <c r="G4">
        <f>ROUND(AVERAGEIF(Component4_Dataset!C:C,D4,Component4_Dataset!P:P),2)</f>
        <v>0.84</v>
      </c>
      <c r="H4">
        <f>COUNTIFS(Component4_Dataset!C:C,D4,Component4_Dataset!M:M,"Delayed")</f>
        <v>37</v>
      </c>
      <c r="I4">
        <f>ROUND(AVERAGEIF(Component4_Dataset!C:C,D4,Component4_Dataset!Y:Y),2)</f>
        <v>2.96</v>
      </c>
    </row>
    <row r="5" spans="1:9" ht="15">
      <c r="A5" s="3" t="s">
        <v>1066</v>
      </c>
      <c r="B5">
        <f>COUNTIF(Component4_Dataset!M2:M501,"Delayed")</f>
        <v>332</v>
      </c>
      <c r="D5" t="s">
        <v>54</v>
      </c>
      <c r="E5">
        <f>COUNTIF(Component4_Dataset!C:C,D5)</f>
        <v>87</v>
      </c>
      <c r="F5">
        <f>ROUND(AVERAGEIF(Component4_Dataset!C:C,D5,Component4_Dataset!AC:AC),2)</f>
        <v>4.43</v>
      </c>
      <c r="G5">
        <f>ROUND(AVERAGEIF(Component4_Dataset!C:C,D5,Component4_Dataset!P:P),2)</f>
        <v>0.8</v>
      </c>
      <c r="H5">
        <f>COUNTIFS(Component4_Dataset!C:C,D5,Component4_Dataset!M:M,"Delayed")</f>
        <v>52</v>
      </c>
      <c r="I5">
        <f>ROUND(AVERAGEIF(Component4_Dataset!C:C,D5,Component4_Dataset!Y:Y),2)</f>
        <v>3.01</v>
      </c>
    </row>
    <row r="6" spans="1:9" ht="15">
      <c r="A6" s="3" t="s">
        <v>1069</v>
      </c>
      <c r="B6">
        <f>COUNTIF(Component4_Dataset!M2:M501,"On Time")</f>
        <v>52</v>
      </c>
      <c r="D6" t="s">
        <v>41</v>
      </c>
      <c r="E6">
        <f>COUNTIF(Component4_Dataset!C:C,D6)</f>
        <v>84</v>
      </c>
      <c r="F6">
        <f>ROUND(AVERAGEIF(Component4_Dataset!C:C,D6,Component4_Dataset!AC:AC),2)</f>
        <v>4.3</v>
      </c>
      <c r="G6">
        <f>ROUND(AVERAGEIF(Component4_Dataset!C:C,D6,Component4_Dataset!P:P),2)</f>
        <v>0.78</v>
      </c>
      <c r="H6">
        <f>COUNTIFS(Component4_Dataset!C:C,D6,Component4_Dataset!M:M,"Delayed")</f>
        <v>60</v>
      </c>
      <c r="I6">
        <f>ROUND(AVERAGEIF(Component4_Dataset!C:C,D6,Component4_Dataset!Y:Y),2)</f>
        <v>3.13</v>
      </c>
    </row>
    <row r="7" spans="1:9" ht="15">
      <c r="A7" s="3" t="s">
        <v>1070</v>
      </c>
      <c r="B7">
        <f>COUNTIF(Component4_Dataset!M2:M501,"Early")</f>
        <v>116</v>
      </c>
      <c r="D7" t="s">
        <v>34</v>
      </c>
      <c r="E7">
        <f>COUNTIF(Component4_Dataset!C:C,D7)</f>
        <v>100</v>
      </c>
      <c r="F7">
        <f>ROUND(AVERAGEIF(Component4_Dataset!C:C,D7,Component4_Dataset!AC:AC),2)</f>
        <v>4.2300000000000004</v>
      </c>
      <c r="G7">
        <f>ROUND(AVERAGEIF(Component4_Dataset!C:C,D7,Component4_Dataset!P:P),2)</f>
        <v>0.75</v>
      </c>
      <c r="H7">
        <f>COUNTIFS(Component4_Dataset!C:C,D7,Component4_Dataset!M:M,"Delayed")</f>
        <v>67</v>
      </c>
      <c r="I7">
        <f>ROUND(AVERAGEIF(Component4_Dataset!C:C,D7,Component4_Dataset!Y:Y),2)</f>
        <v>3.17</v>
      </c>
    </row>
    <row r="8" spans="1:9" ht="15">
      <c r="A8" s="3" t="s">
        <v>1071</v>
      </c>
      <c r="B8" t="str">
        <f>INDEX(Plant_Ratings!B2:B7,MATCH(MAX(Plant_Ratings!H2:H7),Plant_Ratings!H2:H7,0))</f>
        <v>Dinusha Embroidery</v>
      </c>
      <c r="D8" t="s">
        <v>62</v>
      </c>
      <c r="E8">
        <f>COUNTIF(Component4_Dataset!C:C,D8)</f>
        <v>67</v>
      </c>
      <c r="F8">
        <f>ROUND(AVERAGEIF(Component4_Dataset!C:C,D8,Component4_Dataset!AC:AC),2)</f>
        <v>4.07</v>
      </c>
      <c r="G8">
        <f>ROUND(AVERAGEIF(Component4_Dataset!C:C,D8,Component4_Dataset!P:P),2)</f>
        <v>0.71</v>
      </c>
      <c r="H8">
        <f>COUNTIFS(Component4_Dataset!C:C,D8,Component4_Dataset!M:M,"Delayed")</f>
        <v>57</v>
      </c>
      <c r="I8">
        <f>ROUND(AVERAGEIF(Component4_Dataset!C:C,D8,Component4_Dataset!Y:Y),2)</f>
        <v>3.28</v>
      </c>
    </row>
    <row r="9" spans="1:9">
      <c r="D9" t="s">
        <v>70</v>
      </c>
      <c r="E9">
        <f>COUNTIF(Component4_Dataset!C:C,D9)</f>
        <v>67</v>
      </c>
      <c r="F9">
        <f>ROUND(AVERAGEIF(Component4_Dataset!C:C,D9,Component4_Dataset!AC:AC),2)</f>
        <v>3.99</v>
      </c>
      <c r="G9">
        <f>ROUND(AVERAGEIF(Component4_Dataset!C:C,D9,Component4_Dataset!P:P),2)</f>
        <v>0.71</v>
      </c>
      <c r="H9">
        <f>COUNTIFS(Component4_Dataset!C:C,D9,Component4_Dataset!M:M,"Delayed")</f>
        <v>59</v>
      </c>
      <c r="I9">
        <f>ROUND(AVERAGEIF(Component4_Dataset!C:C,D9,Component4_Dataset!Y:Y),2)</f>
        <v>3.4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Component4_Dataset</vt:lpstr>
      <vt:lpstr>Plant_Ratings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RAVINJITH A.A.R it22554840</cp:lastModifiedBy>
  <dcterms:created xsi:type="dcterms:W3CDTF">2026-04-26T19:10:02Z</dcterms:created>
  <dcterms:modified xsi:type="dcterms:W3CDTF">2026-04-26T19:10:02Z</dcterms:modified>
</cp:coreProperties>
</file>